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904" codeName="{00000000-0000-0000-0000-000000000000}"/>
  <workbookPr codeName="ThisWorkbook"/>
  <xr:revisionPtr revIDLastSave="0" documentId="11_E73F26603E7242405FCC3781256B4C1429CCF085" xr6:coauthVersionLast="37" xr6:coauthVersionMax="37" xr10:uidLastSave="{00000000-0000-0000-0000-000000000000}"/>
  <bookViews>
    <workbookView xWindow="150" yWindow="75" windowWidth="16515" windowHeight="11760" tabRatio="815" firstSheet="6" activeTab="6" xr2:uid="{00000000-000D-0000-FFFF-FFFF00000000}"/>
  </bookViews>
  <sheets>
    <sheet name="Prisliste 2014" sheetId="16" r:id="rId1"/>
    <sheet name="KM tal på biler 2012" sheetId="38" r:id="rId2"/>
    <sheet name="KM tal på biler 2013" sheetId="56" r:id="rId3"/>
    <sheet name="KM tal på biler 2014" sheetId="73" r:id="rId4"/>
    <sheet name="KM tal på biler 2015" sheetId="77" r:id="rId5"/>
    <sheet name="KM tal på biler 2016" sheetId="79" r:id="rId6"/>
    <sheet name="Statistik 2017" sheetId="80" r:id="rId7"/>
    <sheet name="Statistik 2016 (2)" sheetId="81" r:id="rId8"/>
    <sheet name="Statistik 2016" sheetId="78" r:id="rId9"/>
    <sheet name="Statistik 2015" sheetId="76" r:id="rId10"/>
    <sheet name="Statistik 2014" sheetId="74" r:id="rId11"/>
    <sheet name="Statistik 2013" sheetId="75" r:id="rId12"/>
    <sheet name="Statistik 2012" sheetId="53" r:id="rId13"/>
    <sheet name="Statistik 2011" sheetId="23" r:id="rId14"/>
    <sheet name="Statistik 2010" sheetId="21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calcPr calcId="179020"/>
</workbook>
</file>

<file path=xl/calcChain.xml><?xml version="1.0" encoding="utf-8"?>
<calcChain xmlns="http://schemas.openxmlformats.org/spreadsheetml/2006/main">
  <c r="N438" i="81" l="1"/>
  <c r="N437" i="81"/>
  <c r="N436" i="81"/>
  <c r="N434" i="81"/>
  <c r="M433" i="81"/>
  <c r="L433" i="81"/>
  <c r="K433" i="81"/>
  <c r="J433" i="81"/>
  <c r="I433" i="81"/>
  <c r="H433" i="81"/>
  <c r="G433" i="81"/>
  <c r="F433" i="81"/>
  <c r="E433" i="81"/>
  <c r="D433" i="81"/>
  <c r="C433" i="81"/>
  <c r="B433" i="81"/>
  <c r="N433" i="81"/>
  <c r="N432" i="81"/>
  <c r="N431" i="81"/>
  <c r="N430" i="81"/>
  <c r="N429" i="81"/>
  <c r="N427" i="81"/>
  <c r="D422" i="81"/>
  <c r="L426" i="81"/>
  <c r="L428" i="81"/>
  <c r="L435" i="81"/>
  <c r="L439" i="81"/>
  <c r="H426" i="81"/>
  <c r="H428" i="81"/>
  <c r="H435" i="81"/>
  <c r="H439" i="81"/>
  <c r="D426" i="81"/>
  <c r="D428" i="81"/>
  <c r="D435" i="81"/>
  <c r="D439" i="81"/>
  <c r="M426" i="81"/>
  <c r="M428" i="81"/>
  <c r="M435" i="81"/>
  <c r="M439" i="81"/>
  <c r="D411" i="81"/>
  <c r="D412" i="81"/>
  <c r="D413" i="81"/>
  <c r="I411" i="81"/>
  <c r="I412" i="81"/>
  <c r="H411" i="81"/>
  <c r="H412" i="81"/>
  <c r="E411" i="81"/>
  <c r="E412" i="81"/>
  <c r="N411" i="81"/>
  <c r="J408" i="81"/>
  <c r="J411" i="81"/>
  <c r="G411" i="81"/>
  <c r="G412" i="81"/>
  <c r="F411" i="81"/>
  <c r="F412" i="81"/>
  <c r="C411" i="81"/>
  <c r="C412" i="81"/>
  <c r="B411" i="81"/>
  <c r="B412" i="81"/>
  <c r="N410" i="81"/>
  <c r="N409" i="81"/>
  <c r="K391" i="81"/>
  <c r="K405" i="81"/>
  <c r="J391" i="81"/>
  <c r="J405" i="81"/>
  <c r="G391" i="81"/>
  <c r="G405" i="81"/>
  <c r="F391" i="81"/>
  <c r="F405" i="81"/>
  <c r="C391" i="81"/>
  <c r="C405" i="81"/>
  <c r="B391" i="81"/>
  <c r="B405" i="81"/>
  <c r="K404" i="81"/>
  <c r="G404" i="81"/>
  <c r="C404" i="81"/>
  <c r="L391" i="81"/>
  <c r="L403" i="81"/>
  <c r="M391" i="81"/>
  <c r="M402" i="81"/>
  <c r="J402" i="81"/>
  <c r="I391" i="81"/>
  <c r="I402" i="81"/>
  <c r="F402" i="81"/>
  <c r="E391" i="81"/>
  <c r="E402" i="81"/>
  <c r="B402" i="81"/>
  <c r="N400" i="81"/>
  <c r="M397" i="81"/>
  <c r="J397" i="81"/>
  <c r="I397" i="81"/>
  <c r="F397" i="81"/>
  <c r="E397" i="81"/>
  <c r="B397" i="81"/>
  <c r="K396" i="81"/>
  <c r="K398" i="81"/>
  <c r="J396" i="81"/>
  <c r="J398" i="81"/>
  <c r="G396" i="81"/>
  <c r="G398" i="81"/>
  <c r="F396" i="81"/>
  <c r="F398" i="81"/>
  <c r="C396" i="81"/>
  <c r="C398" i="81"/>
  <c r="B396" i="81"/>
  <c r="B398" i="81"/>
  <c r="K394" i="81"/>
  <c r="J394" i="81"/>
  <c r="G394" i="81"/>
  <c r="F394" i="81"/>
  <c r="C394" i="81"/>
  <c r="B394" i="81"/>
  <c r="M403" i="81"/>
  <c r="K402" i="81"/>
  <c r="J403" i="81"/>
  <c r="I403" i="81"/>
  <c r="H391" i="81"/>
  <c r="G402" i="81"/>
  <c r="F403" i="81"/>
  <c r="E403" i="81"/>
  <c r="D391" i="81"/>
  <c r="C402" i="81"/>
  <c r="B403" i="81"/>
  <c r="N390" i="81"/>
  <c r="N389" i="81"/>
  <c r="N388" i="81"/>
  <c r="N387" i="81"/>
  <c r="N386" i="81"/>
  <c r="N385" i="81"/>
  <c r="N384" i="81"/>
  <c r="N383" i="81"/>
  <c r="N382" i="81"/>
  <c r="N381" i="81"/>
  <c r="N380" i="81"/>
  <c r="N391" i="81"/>
  <c r="F247" i="81"/>
  <c r="F248" i="81"/>
  <c r="F249" i="81"/>
  <c r="K253" i="81"/>
  <c r="K254" i="81"/>
  <c r="K260" i="81"/>
  <c r="K262" i="81"/>
  <c r="K278" i="81"/>
  <c r="J362" i="81"/>
  <c r="N355" i="81"/>
  <c r="M355" i="81"/>
  <c r="L355" i="81"/>
  <c r="K355" i="81"/>
  <c r="J355" i="81"/>
  <c r="I355" i="81"/>
  <c r="H355" i="81"/>
  <c r="G355" i="81"/>
  <c r="F355" i="81"/>
  <c r="E355" i="81"/>
  <c r="D355" i="81"/>
  <c r="C355" i="81"/>
  <c r="O354" i="81"/>
  <c r="O353" i="81"/>
  <c r="O352" i="81"/>
  <c r="O351" i="81"/>
  <c r="O350" i="81"/>
  <c r="O349" i="81"/>
  <c r="O348" i="81"/>
  <c r="O347" i="81"/>
  <c r="O345" i="81"/>
  <c r="O346" i="81"/>
  <c r="O355" i="81"/>
  <c r="O343" i="81"/>
  <c r="N342" i="81"/>
  <c r="M342" i="81"/>
  <c r="L342" i="81"/>
  <c r="K342" i="81"/>
  <c r="J342" i="81"/>
  <c r="I342" i="81"/>
  <c r="H342" i="81"/>
  <c r="G342" i="81"/>
  <c r="F342" i="81"/>
  <c r="E342" i="81"/>
  <c r="D342" i="81"/>
  <c r="C342" i="81"/>
  <c r="O341" i="81"/>
  <c r="O340" i="81"/>
  <c r="O339" i="81"/>
  <c r="D332" i="81"/>
  <c r="D333" i="81"/>
  <c r="B315" i="81"/>
  <c r="B316" i="81"/>
  <c r="N315" i="81"/>
  <c r="E315" i="81"/>
  <c r="E316" i="81"/>
  <c r="D315" i="81"/>
  <c r="D316" i="81"/>
  <c r="D317" i="81"/>
  <c r="C315" i="81"/>
  <c r="C316" i="81"/>
  <c r="N314" i="81"/>
  <c r="N313" i="81"/>
  <c r="F312" i="81"/>
  <c r="F315" i="81"/>
  <c r="G312" i="81"/>
  <c r="G315" i="81"/>
  <c r="L295" i="81"/>
  <c r="L309" i="81"/>
  <c r="K295" i="81"/>
  <c r="K309" i="81"/>
  <c r="H295" i="81"/>
  <c r="H309" i="81"/>
  <c r="G295" i="81"/>
  <c r="G309" i="81"/>
  <c r="D295" i="81"/>
  <c r="D309" i="81"/>
  <c r="C295" i="81"/>
  <c r="C309" i="81"/>
  <c r="L308" i="81"/>
  <c r="H308" i="81"/>
  <c r="D308" i="81"/>
  <c r="E295" i="81"/>
  <c r="E307" i="81"/>
  <c r="K306" i="81"/>
  <c r="J295" i="81"/>
  <c r="J306" i="81"/>
  <c r="G306" i="81"/>
  <c r="F295" i="81"/>
  <c r="F306" i="81"/>
  <c r="C306" i="81"/>
  <c r="B295" i="81"/>
  <c r="B306" i="81"/>
  <c r="N304" i="81"/>
  <c r="K301" i="81"/>
  <c r="J301" i="81"/>
  <c r="G301" i="81"/>
  <c r="F301" i="81"/>
  <c r="C301" i="81"/>
  <c r="B301" i="81"/>
  <c r="L300" i="81"/>
  <c r="L302" i="81"/>
  <c r="K300" i="81"/>
  <c r="K302" i="81"/>
  <c r="H300" i="81"/>
  <c r="H302" i="81"/>
  <c r="G300" i="81"/>
  <c r="G302" i="81"/>
  <c r="D300" i="81"/>
  <c r="D302" i="81"/>
  <c r="C300" i="81"/>
  <c r="C302" i="81"/>
  <c r="L298" i="81"/>
  <c r="H298" i="81"/>
  <c r="D298" i="81"/>
  <c r="M295" i="81"/>
  <c r="L306" i="81"/>
  <c r="K307" i="81"/>
  <c r="J307" i="81"/>
  <c r="I295" i="81"/>
  <c r="H306" i="81"/>
  <c r="G307" i="81"/>
  <c r="F307" i="81"/>
  <c r="D306" i="81"/>
  <c r="C307" i="81"/>
  <c r="B307" i="81"/>
  <c r="N294" i="81"/>
  <c r="N293" i="81"/>
  <c r="N292" i="81"/>
  <c r="N291" i="81"/>
  <c r="N290" i="81"/>
  <c r="N289" i="81"/>
  <c r="N288" i="81"/>
  <c r="N287" i="81"/>
  <c r="N286" i="81"/>
  <c r="N284" i="81"/>
  <c r="N285" i="81"/>
  <c r="N295" i="81"/>
  <c r="N277" i="81"/>
  <c r="M277" i="81"/>
  <c r="L277" i="81"/>
  <c r="K277" i="81"/>
  <c r="J277" i="81"/>
  <c r="I277" i="81"/>
  <c r="H277" i="81"/>
  <c r="G277" i="81"/>
  <c r="F277" i="81"/>
  <c r="E277" i="81"/>
  <c r="D277" i="81"/>
  <c r="C277" i="81"/>
  <c r="O276" i="81"/>
  <c r="O275" i="81"/>
  <c r="O274" i="81"/>
  <c r="O273" i="81"/>
  <c r="O272" i="81"/>
  <c r="O271" i="81"/>
  <c r="O270" i="81"/>
  <c r="O269" i="81"/>
  <c r="O268" i="81"/>
  <c r="O267" i="81"/>
  <c r="O266" i="81"/>
  <c r="O265" i="81"/>
  <c r="O263" i="81"/>
  <c r="O264" i="81"/>
  <c r="O277" i="81"/>
  <c r="O261" i="81"/>
  <c r="N260" i="81"/>
  <c r="M260" i="81"/>
  <c r="L260" i="81"/>
  <c r="J260" i="81"/>
  <c r="I260" i="81"/>
  <c r="H260" i="81"/>
  <c r="G260" i="81"/>
  <c r="F260" i="81"/>
  <c r="E260" i="81"/>
  <c r="D260" i="81"/>
  <c r="C260" i="81"/>
  <c r="O259" i="81"/>
  <c r="O258" i="81"/>
  <c r="O257" i="81"/>
  <c r="O256" i="81"/>
  <c r="O255" i="81"/>
  <c r="G253" i="81"/>
  <c r="G254" i="81"/>
  <c r="G262" i="81"/>
  <c r="G278" i="81"/>
  <c r="F362" i="81"/>
  <c r="C253" i="81"/>
  <c r="C254" i="81"/>
  <c r="E238" i="81"/>
  <c r="E239" i="81"/>
  <c r="N238" i="81"/>
  <c r="F235" i="81"/>
  <c r="F238" i="81"/>
  <c r="D238" i="81"/>
  <c r="D239" i="81"/>
  <c r="D240" i="81"/>
  <c r="C238" i="81"/>
  <c r="C239" i="81"/>
  <c r="B238" i="81"/>
  <c r="B239" i="81"/>
  <c r="N237" i="81"/>
  <c r="N236" i="81"/>
  <c r="K218" i="81"/>
  <c r="K232" i="81"/>
  <c r="J218" i="81"/>
  <c r="J232" i="81"/>
  <c r="G218" i="81"/>
  <c r="G232" i="81"/>
  <c r="F218" i="81"/>
  <c r="F232" i="81"/>
  <c r="C218" i="81"/>
  <c r="C232" i="81"/>
  <c r="B218" i="81"/>
  <c r="B232" i="81"/>
  <c r="K231" i="81"/>
  <c r="G231" i="81"/>
  <c r="C231" i="81"/>
  <c r="M218" i="81"/>
  <c r="M229" i="81"/>
  <c r="J229" i="81"/>
  <c r="I218" i="81"/>
  <c r="I229" i="81"/>
  <c r="F229" i="81"/>
  <c r="E218" i="81"/>
  <c r="E229" i="81"/>
  <c r="B229" i="81"/>
  <c r="N227" i="81"/>
  <c r="M224" i="81"/>
  <c r="J224" i="81"/>
  <c r="I224" i="81"/>
  <c r="F224" i="81"/>
  <c r="E224" i="81"/>
  <c r="B224" i="81"/>
  <c r="K223" i="81"/>
  <c r="K225" i="81"/>
  <c r="J223" i="81"/>
  <c r="J225" i="81"/>
  <c r="G223" i="81"/>
  <c r="G225" i="81"/>
  <c r="F223" i="81"/>
  <c r="F225" i="81"/>
  <c r="C223" i="81"/>
  <c r="C225" i="81"/>
  <c r="B223" i="81"/>
  <c r="B225" i="81"/>
  <c r="K221" i="81"/>
  <c r="G221" i="81"/>
  <c r="C221" i="81"/>
  <c r="M230" i="81"/>
  <c r="L218" i="81"/>
  <c r="L230" i="81"/>
  <c r="K229" i="81"/>
  <c r="J230" i="81"/>
  <c r="I230" i="81"/>
  <c r="H218" i="81"/>
  <c r="G229" i="81"/>
  <c r="F230" i="81"/>
  <c r="E230" i="81"/>
  <c r="D218" i="81"/>
  <c r="D230" i="81"/>
  <c r="C229" i="81"/>
  <c r="B230" i="81"/>
  <c r="N217" i="81"/>
  <c r="N216" i="81"/>
  <c r="N215" i="81"/>
  <c r="N214" i="81"/>
  <c r="N213" i="81"/>
  <c r="N212" i="81"/>
  <c r="N211" i="81"/>
  <c r="N210" i="81"/>
  <c r="N209" i="81"/>
  <c r="N208" i="81"/>
  <c r="N207" i="81"/>
  <c r="N200" i="81"/>
  <c r="N199" i="81"/>
  <c r="N198" i="81"/>
  <c r="L189" i="81"/>
  <c r="L195" i="81"/>
  <c r="L197" i="81"/>
  <c r="L201" i="81"/>
  <c r="L361" i="81"/>
  <c r="H189" i="81"/>
  <c r="H195" i="81"/>
  <c r="H197" i="81"/>
  <c r="H201" i="81"/>
  <c r="H361" i="81"/>
  <c r="N196" i="81"/>
  <c r="M195" i="81"/>
  <c r="K195" i="81"/>
  <c r="J195" i="81"/>
  <c r="I195" i="81"/>
  <c r="G195" i="81"/>
  <c r="F195" i="81"/>
  <c r="E195" i="81"/>
  <c r="D195" i="81"/>
  <c r="C195" i="81"/>
  <c r="B195" i="81"/>
  <c r="N195" i="81"/>
  <c r="N194" i="81"/>
  <c r="N193" i="81"/>
  <c r="N192" i="81"/>
  <c r="N191" i="81"/>
  <c r="N190" i="81"/>
  <c r="M189" i="81"/>
  <c r="M197" i="81"/>
  <c r="M201" i="81"/>
  <c r="M361" i="81"/>
  <c r="K189" i="81"/>
  <c r="K197" i="81"/>
  <c r="K201" i="81"/>
  <c r="K361" i="81"/>
  <c r="J189" i="81"/>
  <c r="I189" i="81"/>
  <c r="I197" i="81"/>
  <c r="I201" i="81"/>
  <c r="I361" i="81"/>
  <c r="G189" i="81"/>
  <c r="G197" i="81"/>
  <c r="G201" i="81"/>
  <c r="G361" i="81"/>
  <c r="F189" i="81"/>
  <c r="E189" i="81"/>
  <c r="E197" i="81"/>
  <c r="E201" i="81"/>
  <c r="E361" i="81"/>
  <c r="D189" i="81"/>
  <c r="D197" i="81"/>
  <c r="D201" i="81"/>
  <c r="D361" i="81"/>
  <c r="C189" i="81"/>
  <c r="C197" i="81"/>
  <c r="C201" i="81"/>
  <c r="C361" i="81"/>
  <c r="B189" i="81"/>
  <c r="N188" i="81"/>
  <c r="N187" i="81"/>
  <c r="N186" i="81"/>
  <c r="N185" i="81"/>
  <c r="H179" i="81"/>
  <c r="H180" i="81"/>
  <c r="D179" i="81"/>
  <c r="D180" i="81"/>
  <c r="D181" i="81"/>
  <c r="N179" i="81"/>
  <c r="I176" i="81"/>
  <c r="I179" i="81"/>
  <c r="G179" i="81"/>
  <c r="G180" i="81"/>
  <c r="F179" i="81"/>
  <c r="F180" i="81"/>
  <c r="E179" i="81"/>
  <c r="E180" i="81"/>
  <c r="G181" i="81"/>
  <c r="C179" i="81"/>
  <c r="C180" i="81"/>
  <c r="B179" i="81"/>
  <c r="B180" i="81"/>
  <c r="N178" i="81"/>
  <c r="N177" i="81"/>
  <c r="N168" i="81"/>
  <c r="M159" i="81"/>
  <c r="M165" i="81"/>
  <c r="M172" i="81"/>
  <c r="L159" i="81"/>
  <c r="L172" i="81"/>
  <c r="K159" i="81"/>
  <c r="K172" i="81"/>
  <c r="J159" i="81"/>
  <c r="J171" i="81"/>
  <c r="I159" i="81"/>
  <c r="I172" i="81"/>
  <c r="H159" i="81"/>
  <c r="H172" i="81"/>
  <c r="G159" i="81"/>
  <c r="G172" i="81"/>
  <c r="F159" i="81"/>
  <c r="F171" i="81"/>
  <c r="E159" i="81"/>
  <c r="E172" i="81"/>
  <c r="D159" i="81"/>
  <c r="D172" i="81"/>
  <c r="C159" i="81"/>
  <c r="C162" i="81"/>
  <c r="B159" i="81"/>
  <c r="B171" i="81"/>
  <c r="N158" i="81"/>
  <c r="N157" i="81"/>
  <c r="N156" i="81"/>
  <c r="N155" i="81"/>
  <c r="N154" i="81"/>
  <c r="N153" i="81"/>
  <c r="N152" i="81"/>
  <c r="N151" i="81"/>
  <c r="N150" i="81"/>
  <c r="N149" i="81"/>
  <c r="N148" i="81"/>
  <c r="P142" i="81"/>
  <c r="N142" i="81"/>
  <c r="M142" i="81"/>
  <c r="L142" i="81"/>
  <c r="K142" i="81"/>
  <c r="J142" i="81"/>
  <c r="I142" i="81"/>
  <c r="H142" i="81"/>
  <c r="G142" i="81"/>
  <c r="F142" i="81"/>
  <c r="E142" i="81"/>
  <c r="D142" i="81"/>
  <c r="C142" i="81"/>
  <c r="O142" i="81"/>
  <c r="O141" i="81"/>
  <c r="O140" i="81"/>
  <c r="O139" i="81"/>
  <c r="O138" i="81"/>
  <c r="O137" i="81"/>
  <c r="O136" i="81"/>
  <c r="O135" i="81"/>
  <c r="O134" i="81"/>
  <c r="O133" i="81"/>
  <c r="O132" i="81"/>
  <c r="O131" i="81"/>
  <c r="O130" i="81"/>
  <c r="O129" i="81"/>
  <c r="Q128" i="81"/>
  <c r="O128" i="81"/>
  <c r="O125" i="81"/>
  <c r="P124" i="81"/>
  <c r="P143" i="81"/>
  <c r="N124" i="81"/>
  <c r="M124" i="81"/>
  <c r="L124" i="81"/>
  <c r="K124" i="81"/>
  <c r="J124" i="81"/>
  <c r="I124" i="81"/>
  <c r="H124" i="81"/>
  <c r="G124" i="81"/>
  <c r="F124" i="81"/>
  <c r="E124" i="81"/>
  <c r="D124" i="81"/>
  <c r="C124" i="81"/>
  <c r="O123" i="81"/>
  <c r="O122" i="81"/>
  <c r="O121" i="81"/>
  <c r="O120" i="81"/>
  <c r="O119" i="81"/>
  <c r="O118" i="81"/>
  <c r="O117" i="81"/>
  <c r="O116" i="81"/>
  <c r="O115" i="81"/>
  <c r="N104" i="81"/>
  <c r="M113" i="81"/>
  <c r="I113" i="81"/>
  <c r="E113" i="81"/>
  <c r="N102" i="81"/>
  <c r="N106" i="81"/>
  <c r="D70" i="81"/>
  <c r="N107" i="81"/>
  <c r="N108" i="81"/>
  <c r="O108" i="81"/>
  <c r="M108" i="81"/>
  <c r="L108" i="81"/>
  <c r="K108" i="81"/>
  <c r="I108" i="81"/>
  <c r="E108" i="81"/>
  <c r="D108" i="81"/>
  <c r="C108" i="81"/>
  <c r="B108" i="81"/>
  <c r="A108" i="81"/>
  <c r="O107" i="81"/>
  <c r="M107" i="81"/>
  <c r="L107" i="81"/>
  <c r="K107" i="81"/>
  <c r="I107" i="81"/>
  <c r="E107" i="81"/>
  <c r="D107" i="81"/>
  <c r="C107" i="81"/>
  <c r="B107" i="81"/>
  <c r="A107" i="81"/>
  <c r="O106" i="81"/>
  <c r="M106" i="81"/>
  <c r="L106" i="81"/>
  <c r="K106" i="81"/>
  <c r="I106" i="81"/>
  <c r="E106" i="81"/>
  <c r="D106" i="81"/>
  <c r="C106" i="81"/>
  <c r="B106" i="81"/>
  <c r="A106" i="81"/>
  <c r="M105" i="81"/>
  <c r="L105" i="81"/>
  <c r="K105" i="81"/>
  <c r="J105" i="81"/>
  <c r="I105" i="81"/>
  <c r="E105" i="81"/>
  <c r="D105" i="81"/>
  <c r="C105" i="81"/>
  <c r="B105" i="81"/>
  <c r="A105" i="81"/>
  <c r="N113" i="81"/>
  <c r="L104" i="81"/>
  <c r="K104" i="81"/>
  <c r="J104" i="81"/>
  <c r="I104" i="81"/>
  <c r="H104" i="81"/>
  <c r="G104" i="81"/>
  <c r="F104" i="81"/>
  <c r="E104" i="81"/>
  <c r="D104" i="81"/>
  <c r="C104" i="81"/>
  <c r="B104" i="81"/>
  <c r="A104" i="81"/>
  <c r="N103" i="81"/>
  <c r="L103" i="81"/>
  <c r="K103" i="81"/>
  <c r="J103" i="81"/>
  <c r="I103" i="81"/>
  <c r="H103" i="81"/>
  <c r="G103" i="81"/>
  <c r="F103" i="81"/>
  <c r="E103" i="81"/>
  <c r="D103" i="81"/>
  <c r="C103" i="81"/>
  <c r="B103" i="81"/>
  <c r="A103" i="81"/>
  <c r="L102" i="81"/>
  <c r="K102" i="81"/>
  <c r="J102" i="81"/>
  <c r="I102" i="81"/>
  <c r="H102" i="81"/>
  <c r="G102" i="81"/>
  <c r="F102" i="81"/>
  <c r="D102" i="81"/>
  <c r="C102" i="81"/>
  <c r="B102" i="81"/>
  <c r="A102" i="81"/>
  <c r="N101" i="81"/>
  <c r="L101" i="81"/>
  <c r="K101" i="81"/>
  <c r="J101" i="81"/>
  <c r="I101" i="81"/>
  <c r="H101" i="81"/>
  <c r="G101" i="81"/>
  <c r="F101" i="81"/>
  <c r="D101" i="81"/>
  <c r="C101" i="81"/>
  <c r="B101" i="81"/>
  <c r="A101" i="81"/>
  <c r="N100" i="81"/>
  <c r="L100" i="81"/>
  <c r="K100" i="81"/>
  <c r="J100" i="81"/>
  <c r="I100" i="81"/>
  <c r="H100" i="81"/>
  <c r="G100" i="81"/>
  <c r="F100" i="81"/>
  <c r="D100" i="81"/>
  <c r="C100" i="81"/>
  <c r="B100" i="81"/>
  <c r="A100" i="81"/>
  <c r="N99" i="81"/>
  <c r="L99" i="81"/>
  <c r="K99" i="81"/>
  <c r="J99" i="81"/>
  <c r="I99" i="81"/>
  <c r="H99" i="81"/>
  <c r="G99" i="81"/>
  <c r="F99" i="81"/>
  <c r="D99" i="81"/>
  <c r="C99" i="81"/>
  <c r="B99" i="81"/>
  <c r="A99" i="81"/>
  <c r="N98" i="81"/>
  <c r="L98" i="81"/>
  <c r="K98" i="81"/>
  <c r="J98" i="81"/>
  <c r="I98" i="81"/>
  <c r="H98" i="81"/>
  <c r="G98" i="81"/>
  <c r="F98" i="81"/>
  <c r="D98" i="81"/>
  <c r="C98" i="81"/>
  <c r="B98" i="81"/>
  <c r="A98" i="81"/>
  <c r="N97" i="81"/>
  <c r="L97" i="81"/>
  <c r="K97" i="81"/>
  <c r="J97" i="81"/>
  <c r="I97" i="81"/>
  <c r="H97" i="81"/>
  <c r="G97" i="81"/>
  <c r="F97" i="81"/>
  <c r="D97" i="81"/>
  <c r="C97" i="81"/>
  <c r="B97" i="81"/>
  <c r="A97" i="81"/>
  <c r="N96" i="81"/>
  <c r="L96" i="81"/>
  <c r="K96" i="81"/>
  <c r="J96" i="81"/>
  <c r="I96" i="81"/>
  <c r="H96" i="81"/>
  <c r="G96" i="81"/>
  <c r="F96" i="81"/>
  <c r="D96" i="81"/>
  <c r="C96" i="81"/>
  <c r="B96" i="81"/>
  <c r="A96" i="81"/>
  <c r="N95" i="81"/>
  <c r="L95" i="81"/>
  <c r="K95" i="81"/>
  <c r="J95" i="81"/>
  <c r="I95" i="81"/>
  <c r="H95" i="81"/>
  <c r="G95" i="81"/>
  <c r="F95" i="81"/>
  <c r="D95" i="81"/>
  <c r="C95" i="81"/>
  <c r="B95" i="81"/>
  <c r="A95" i="81"/>
  <c r="N94" i="81"/>
  <c r="L94" i="81"/>
  <c r="K94" i="81"/>
  <c r="J94" i="81"/>
  <c r="I94" i="81"/>
  <c r="H94" i="81"/>
  <c r="G94" i="81"/>
  <c r="F94" i="81"/>
  <c r="D94" i="81"/>
  <c r="C94" i="81"/>
  <c r="B94" i="81"/>
  <c r="A94" i="81"/>
  <c r="N93" i="81"/>
  <c r="L93" i="81"/>
  <c r="K93" i="81"/>
  <c r="J93" i="81"/>
  <c r="I93" i="81"/>
  <c r="H93" i="81"/>
  <c r="G93" i="81"/>
  <c r="F93" i="81"/>
  <c r="D93" i="81"/>
  <c r="C93" i="81"/>
  <c r="B93" i="81"/>
  <c r="A93" i="81"/>
  <c r="N92" i="81"/>
  <c r="L92" i="81"/>
  <c r="K92" i="81"/>
  <c r="J92" i="81"/>
  <c r="I92" i="81"/>
  <c r="H92" i="81"/>
  <c r="G92" i="81"/>
  <c r="F92" i="81"/>
  <c r="D92" i="81"/>
  <c r="C92" i="81"/>
  <c r="B92" i="81"/>
  <c r="A92" i="81"/>
  <c r="N91" i="81"/>
  <c r="L91" i="81"/>
  <c r="K91" i="81"/>
  <c r="J91" i="81"/>
  <c r="I91" i="81"/>
  <c r="H91" i="81"/>
  <c r="G91" i="81"/>
  <c r="F91" i="81"/>
  <c r="D91" i="81"/>
  <c r="C91" i="81"/>
  <c r="B91" i="81"/>
  <c r="A91" i="81"/>
  <c r="N90" i="81"/>
  <c r="L90" i="81"/>
  <c r="K90" i="81"/>
  <c r="J90" i="81"/>
  <c r="I90" i="81"/>
  <c r="H90" i="81"/>
  <c r="G90" i="81"/>
  <c r="F90" i="81"/>
  <c r="D90" i="81"/>
  <c r="C90" i="81"/>
  <c r="B90" i="81"/>
  <c r="A90" i="81"/>
  <c r="N89" i="81"/>
  <c r="L89" i="81"/>
  <c r="K89" i="81"/>
  <c r="J89" i="81"/>
  <c r="I89" i="81"/>
  <c r="H89" i="81"/>
  <c r="G89" i="81"/>
  <c r="F89" i="81"/>
  <c r="D89" i="81"/>
  <c r="C89" i="81"/>
  <c r="B89" i="81"/>
  <c r="A89" i="81"/>
  <c r="N88" i="81"/>
  <c r="L88" i="81"/>
  <c r="K88" i="81"/>
  <c r="J88" i="81"/>
  <c r="I88" i="81"/>
  <c r="H88" i="81"/>
  <c r="G88" i="81"/>
  <c r="F88" i="81"/>
  <c r="D88" i="81"/>
  <c r="C88" i="81"/>
  <c r="B88" i="81"/>
  <c r="A88" i="81"/>
  <c r="N87" i="81"/>
  <c r="L87" i="81"/>
  <c r="K87" i="81"/>
  <c r="J87" i="81"/>
  <c r="I87" i="81"/>
  <c r="H87" i="81"/>
  <c r="G87" i="81"/>
  <c r="F87" i="81"/>
  <c r="D87" i="81"/>
  <c r="C87" i="81"/>
  <c r="B87" i="81"/>
  <c r="A87" i="81"/>
  <c r="N86" i="81"/>
  <c r="L86" i="81"/>
  <c r="K86" i="81"/>
  <c r="J86" i="81"/>
  <c r="I86" i="81"/>
  <c r="H86" i="81"/>
  <c r="G86" i="81"/>
  <c r="F86" i="81"/>
  <c r="D86" i="81"/>
  <c r="C86" i="81"/>
  <c r="B86" i="81"/>
  <c r="A86" i="81"/>
  <c r="N85" i="81"/>
  <c r="L85" i="81"/>
  <c r="K85" i="81"/>
  <c r="J85" i="81"/>
  <c r="I85" i="81"/>
  <c r="H85" i="81"/>
  <c r="G85" i="81"/>
  <c r="F85" i="81"/>
  <c r="D85" i="81"/>
  <c r="C85" i="81"/>
  <c r="B85" i="81"/>
  <c r="A85" i="81"/>
  <c r="N84" i="81"/>
  <c r="L84" i="81"/>
  <c r="K84" i="81"/>
  <c r="J84" i="81"/>
  <c r="I84" i="81"/>
  <c r="H84" i="81"/>
  <c r="G84" i="81"/>
  <c r="F84" i="81"/>
  <c r="D84" i="81"/>
  <c r="C84" i="81"/>
  <c r="B84" i="81"/>
  <c r="A84" i="81"/>
  <c r="N83" i="81"/>
  <c r="L83" i="81"/>
  <c r="K83" i="81"/>
  <c r="J83" i="81"/>
  <c r="I83" i="81"/>
  <c r="H83" i="81"/>
  <c r="G83" i="81"/>
  <c r="F83" i="81"/>
  <c r="D83" i="81"/>
  <c r="C83" i="81"/>
  <c r="B83" i="81"/>
  <c r="A83" i="81"/>
  <c r="N82" i="81"/>
  <c r="L82" i="81"/>
  <c r="K82" i="81"/>
  <c r="J82" i="81"/>
  <c r="I82" i="81"/>
  <c r="H82" i="81"/>
  <c r="G82" i="81"/>
  <c r="F82" i="81"/>
  <c r="D82" i="81"/>
  <c r="C82" i="81"/>
  <c r="B82" i="81"/>
  <c r="A82" i="81"/>
  <c r="N81" i="81"/>
  <c r="L81" i="81"/>
  <c r="K81" i="81"/>
  <c r="J81" i="81"/>
  <c r="I81" i="81"/>
  <c r="H81" i="81"/>
  <c r="G81" i="81"/>
  <c r="F81" i="81"/>
  <c r="D81" i="81"/>
  <c r="C81" i="81"/>
  <c r="B81" i="81"/>
  <c r="A81" i="81"/>
  <c r="N80" i="81"/>
  <c r="L80" i="81"/>
  <c r="K80" i="81"/>
  <c r="J80" i="81"/>
  <c r="I80" i="81"/>
  <c r="H80" i="81"/>
  <c r="G80" i="81"/>
  <c r="F80" i="81"/>
  <c r="D80" i="81"/>
  <c r="C80" i="81"/>
  <c r="B80" i="81"/>
  <c r="A80" i="81"/>
  <c r="N79" i="81"/>
  <c r="L79" i="81"/>
  <c r="K79" i="81"/>
  <c r="J79" i="81"/>
  <c r="I79" i="81"/>
  <c r="H79" i="81"/>
  <c r="G79" i="81"/>
  <c r="F79" i="81"/>
  <c r="D79" i="81"/>
  <c r="C79" i="81"/>
  <c r="B79" i="81"/>
  <c r="A79" i="81"/>
  <c r="N78" i="81"/>
  <c r="L78" i="81"/>
  <c r="K78" i="81"/>
  <c r="J78" i="81"/>
  <c r="I78" i="81"/>
  <c r="H78" i="81"/>
  <c r="G78" i="81"/>
  <c r="F78" i="81"/>
  <c r="D78" i="81"/>
  <c r="C78" i="81"/>
  <c r="B78" i="81"/>
  <c r="A78" i="81"/>
  <c r="N77" i="81"/>
  <c r="L77" i="81"/>
  <c r="K77" i="81"/>
  <c r="J77" i="81"/>
  <c r="I77" i="81"/>
  <c r="H77" i="81"/>
  <c r="G77" i="81"/>
  <c r="F77" i="81"/>
  <c r="D77" i="81"/>
  <c r="C77" i="81"/>
  <c r="B77" i="81"/>
  <c r="A77" i="81"/>
  <c r="N76" i="81"/>
  <c r="L76" i="81"/>
  <c r="K76" i="81"/>
  <c r="J76" i="81"/>
  <c r="I76" i="81"/>
  <c r="H76" i="81"/>
  <c r="G76" i="81"/>
  <c r="F76" i="81"/>
  <c r="D76" i="81"/>
  <c r="C76" i="81"/>
  <c r="B76" i="81"/>
  <c r="A76" i="81"/>
  <c r="N75" i="81"/>
  <c r="L75" i="81"/>
  <c r="K75" i="81"/>
  <c r="J75" i="81"/>
  <c r="I75" i="81"/>
  <c r="H75" i="81"/>
  <c r="G75" i="81"/>
  <c r="F75" i="81"/>
  <c r="D75" i="81"/>
  <c r="C75" i="81"/>
  <c r="B75" i="81"/>
  <c r="A75" i="81"/>
  <c r="N74" i="81"/>
  <c r="L74" i="81"/>
  <c r="K74" i="81"/>
  <c r="J74" i="81"/>
  <c r="I74" i="81"/>
  <c r="H74" i="81"/>
  <c r="G74" i="81"/>
  <c r="F74" i="81"/>
  <c r="E74" i="81"/>
  <c r="D74" i="81"/>
  <c r="C74" i="81"/>
  <c r="B74" i="81"/>
  <c r="A74" i="81"/>
  <c r="J73" i="81"/>
  <c r="I73" i="81"/>
  <c r="H73" i="81"/>
  <c r="G73" i="81"/>
  <c r="B73" i="81"/>
  <c r="E72" i="81"/>
  <c r="D72" i="81"/>
  <c r="C72" i="81"/>
  <c r="B72" i="81"/>
  <c r="A72" i="81"/>
  <c r="E71" i="81"/>
  <c r="D71" i="81"/>
  <c r="F112" i="81"/>
  <c r="C71" i="81"/>
  <c r="B71" i="81"/>
  <c r="A71" i="81"/>
  <c r="E70" i="81"/>
  <c r="C70" i="81"/>
  <c r="B70" i="81"/>
  <c r="A70" i="81"/>
  <c r="E69" i="81"/>
  <c r="D69" i="81"/>
  <c r="C69" i="81"/>
  <c r="B69" i="81"/>
  <c r="A69" i="81"/>
  <c r="E68" i="81"/>
  <c r="C68" i="81"/>
  <c r="B68" i="81"/>
  <c r="A68" i="81"/>
  <c r="E67" i="81"/>
  <c r="D67" i="81"/>
  <c r="C67" i="81"/>
  <c r="B67" i="81"/>
  <c r="A67" i="81"/>
  <c r="E66" i="81"/>
  <c r="D66" i="81"/>
  <c r="C66" i="81"/>
  <c r="B66" i="81"/>
  <c r="A66" i="81"/>
  <c r="E65" i="81"/>
  <c r="D65" i="81"/>
  <c r="C65" i="81"/>
  <c r="B65" i="81"/>
  <c r="A65" i="81"/>
  <c r="E64" i="81"/>
  <c r="D64" i="81"/>
  <c r="C64" i="81"/>
  <c r="B64" i="81"/>
  <c r="A64" i="81"/>
  <c r="E63" i="81"/>
  <c r="C63" i="81"/>
  <c r="B63" i="81"/>
  <c r="A63" i="81"/>
  <c r="E62" i="81"/>
  <c r="D62" i="81"/>
  <c r="C62" i="81"/>
  <c r="B62" i="81"/>
  <c r="A62" i="81"/>
  <c r="E61" i="81"/>
  <c r="C61" i="81"/>
  <c r="B61" i="81"/>
  <c r="A61" i="81"/>
  <c r="E60" i="81"/>
  <c r="D60" i="81"/>
  <c r="A60" i="81"/>
  <c r="N56" i="81"/>
  <c r="N55" i="81"/>
  <c r="N54" i="81"/>
  <c r="N53" i="81"/>
  <c r="N52" i="81"/>
  <c r="N51" i="81"/>
  <c r="N50" i="81"/>
  <c r="N57" i="81"/>
  <c r="N46" i="81"/>
  <c r="N45" i="81"/>
  <c r="N44" i="81"/>
  <c r="N43" i="81"/>
  <c r="N42" i="81"/>
  <c r="N47" i="81"/>
  <c r="M37" i="81"/>
  <c r="L37" i="81"/>
  <c r="K37" i="81"/>
  <c r="M38" i="81"/>
  <c r="J37" i="81"/>
  <c r="I37" i="81"/>
  <c r="H37" i="81"/>
  <c r="G37" i="81"/>
  <c r="E37" i="81"/>
  <c r="F37" i="81"/>
  <c r="G38" i="81"/>
  <c r="D37" i="81"/>
  <c r="D38" i="81"/>
  <c r="C37" i="81"/>
  <c r="B37" i="81"/>
  <c r="M16" i="81"/>
  <c r="M30" i="81"/>
  <c r="L16" i="81"/>
  <c r="L30" i="81"/>
  <c r="J16" i="81"/>
  <c r="J30" i="81"/>
  <c r="I16" i="81"/>
  <c r="I30" i="81"/>
  <c r="F16" i="81"/>
  <c r="F30" i="81"/>
  <c r="E16" i="81"/>
  <c r="E30" i="81"/>
  <c r="M29" i="81"/>
  <c r="K16" i="81"/>
  <c r="K29" i="81"/>
  <c r="I29" i="81"/>
  <c r="G16" i="81"/>
  <c r="G29" i="81"/>
  <c r="E29" i="81"/>
  <c r="C16" i="81"/>
  <c r="C29" i="81"/>
  <c r="J28" i="81"/>
  <c r="F28" i="81"/>
  <c r="B16" i="81"/>
  <c r="B28" i="81"/>
  <c r="M27" i="81"/>
  <c r="K27" i="81"/>
  <c r="I27" i="81"/>
  <c r="G27" i="81"/>
  <c r="E27" i="81"/>
  <c r="C27" i="81"/>
  <c r="N25" i="81"/>
  <c r="J21" i="81"/>
  <c r="J23" i="81"/>
  <c r="M22" i="81"/>
  <c r="K22" i="81"/>
  <c r="I22" i="81"/>
  <c r="G22" i="81"/>
  <c r="E22" i="81"/>
  <c r="C22" i="81"/>
  <c r="M21" i="81"/>
  <c r="M23" i="81"/>
  <c r="I21" i="81"/>
  <c r="I23" i="81"/>
  <c r="H16" i="81"/>
  <c r="H21" i="81"/>
  <c r="H23" i="81"/>
  <c r="J24" i="81"/>
  <c r="F21" i="81"/>
  <c r="F23" i="81"/>
  <c r="E21" i="81"/>
  <c r="E23" i="81"/>
  <c r="B21" i="81"/>
  <c r="B23" i="81"/>
  <c r="M19" i="81"/>
  <c r="K19" i="81"/>
  <c r="I19" i="81"/>
  <c r="G19" i="81"/>
  <c r="E19" i="81"/>
  <c r="C19" i="81"/>
  <c r="M28" i="81"/>
  <c r="L28" i="81"/>
  <c r="K28" i="81"/>
  <c r="I28" i="81"/>
  <c r="G28" i="81"/>
  <c r="E28" i="81"/>
  <c r="D16" i="81"/>
  <c r="D28" i="81"/>
  <c r="C28" i="81"/>
  <c r="N15" i="81"/>
  <c r="N14" i="81"/>
  <c r="N13" i="81"/>
  <c r="N12" i="81"/>
  <c r="N11" i="81"/>
  <c r="N10" i="81"/>
  <c r="N9" i="81"/>
  <c r="N8" i="81"/>
  <c r="N7" i="81"/>
  <c r="N6" i="81"/>
  <c r="N5" i="81"/>
  <c r="N4" i="81"/>
  <c r="C295" i="80"/>
  <c r="C306" i="80"/>
  <c r="D295" i="80"/>
  <c r="D306" i="80"/>
  <c r="E295" i="80"/>
  <c r="E306" i="80"/>
  <c r="F295" i="80"/>
  <c r="F306" i="80"/>
  <c r="G295" i="80"/>
  <c r="G306" i="80"/>
  <c r="H295" i="80"/>
  <c r="H306" i="80"/>
  <c r="I295" i="80"/>
  <c r="I306" i="80"/>
  <c r="J295" i="80"/>
  <c r="J306" i="80"/>
  <c r="K295" i="80"/>
  <c r="K306" i="80"/>
  <c r="L295" i="80"/>
  <c r="L306" i="80"/>
  <c r="M295" i="80"/>
  <c r="M306" i="80"/>
  <c r="C307" i="80"/>
  <c r="D307" i="80"/>
  <c r="E307" i="80"/>
  <c r="F307" i="80"/>
  <c r="G307" i="80"/>
  <c r="H307" i="80"/>
  <c r="I307" i="80"/>
  <c r="J307" i="80"/>
  <c r="K307" i="80"/>
  <c r="L307" i="80"/>
  <c r="M307" i="80"/>
  <c r="C308" i="80"/>
  <c r="D308" i="80"/>
  <c r="E308" i="80"/>
  <c r="F308" i="80"/>
  <c r="G308" i="80"/>
  <c r="H308" i="80"/>
  <c r="I308" i="80"/>
  <c r="J308" i="80"/>
  <c r="K308" i="80"/>
  <c r="L308" i="80"/>
  <c r="M308" i="80"/>
  <c r="C309" i="80"/>
  <c r="D309" i="80"/>
  <c r="E309" i="80"/>
  <c r="F309" i="80"/>
  <c r="G309" i="80"/>
  <c r="H309" i="80"/>
  <c r="I309" i="80"/>
  <c r="J309" i="80"/>
  <c r="K309" i="80"/>
  <c r="L309" i="80"/>
  <c r="M309" i="80"/>
  <c r="B295" i="80"/>
  <c r="B309" i="80"/>
  <c r="B308" i="80"/>
  <c r="B307" i="80"/>
  <c r="B306" i="80"/>
  <c r="C298" i="80"/>
  <c r="D298" i="80"/>
  <c r="E298" i="80"/>
  <c r="F298" i="80"/>
  <c r="G298" i="80"/>
  <c r="H298" i="80"/>
  <c r="I298" i="80"/>
  <c r="J298" i="80"/>
  <c r="K298" i="80"/>
  <c r="L298" i="80"/>
  <c r="M298" i="80"/>
  <c r="C300" i="80"/>
  <c r="D300" i="80"/>
  <c r="E300" i="80"/>
  <c r="F300" i="80"/>
  <c r="G300" i="80"/>
  <c r="H300" i="80"/>
  <c r="I300" i="80"/>
  <c r="J300" i="80"/>
  <c r="K300" i="80"/>
  <c r="L300" i="80"/>
  <c r="M300" i="80"/>
  <c r="C301" i="80"/>
  <c r="D301" i="80"/>
  <c r="E301" i="80"/>
  <c r="F301" i="80"/>
  <c r="G301" i="80"/>
  <c r="H301" i="80"/>
  <c r="I301" i="80"/>
  <c r="J301" i="80"/>
  <c r="K301" i="80"/>
  <c r="L301" i="80"/>
  <c r="M301" i="80"/>
  <c r="B301" i="80"/>
  <c r="B300" i="80"/>
  <c r="B298" i="80"/>
  <c r="F247" i="80"/>
  <c r="B238" i="80"/>
  <c r="C238" i="80"/>
  <c r="D238" i="80"/>
  <c r="E238" i="80"/>
  <c r="F235" i="80"/>
  <c r="F238" i="80"/>
  <c r="G235" i="80"/>
  <c r="G238" i="80"/>
  <c r="H235" i="80"/>
  <c r="H238" i="80"/>
  <c r="I235" i="80"/>
  <c r="I238" i="80"/>
  <c r="J235" i="80"/>
  <c r="J238" i="80"/>
  <c r="K235" i="80"/>
  <c r="K238" i="80"/>
  <c r="L235" i="80"/>
  <c r="L238" i="80"/>
  <c r="M235" i="80"/>
  <c r="M238" i="80"/>
  <c r="C218" i="80"/>
  <c r="C229" i="80"/>
  <c r="D218" i="80"/>
  <c r="D229" i="80"/>
  <c r="E218" i="80"/>
  <c r="E229" i="80"/>
  <c r="F218" i="80"/>
  <c r="F229" i="80"/>
  <c r="G218" i="80"/>
  <c r="G229" i="80"/>
  <c r="H218" i="80"/>
  <c r="H229" i="80"/>
  <c r="I218" i="80"/>
  <c r="I229" i="80"/>
  <c r="J218" i="80"/>
  <c r="J229" i="80"/>
  <c r="K218" i="80"/>
  <c r="K229" i="80"/>
  <c r="L218" i="80"/>
  <c r="L229" i="80"/>
  <c r="M218" i="80"/>
  <c r="M229" i="80"/>
  <c r="C230" i="80"/>
  <c r="D230" i="80"/>
  <c r="E230" i="80"/>
  <c r="F230" i="80"/>
  <c r="G230" i="80"/>
  <c r="H230" i="80"/>
  <c r="I230" i="80"/>
  <c r="J230" i="80"/>
  <c r="K230" i="80"/>
  <c r="L230" i="80"/>
  <c r="M230" i="80"/>
  <c r="C231" i="80"/>
  <c r="D231" i="80"/>
  <c r="E231" i="80"/>
  <c r="F231" i="80"/>
  <c r="G231" i="80"/>
  <c r="H231" i="80"/>
  <c r="I231" i="80"/>
  <c r="J231" i="80"/>
  <c r="K231" i="80"/>
  <c r="L231" i="80"/>
  <c r="M231" i="80"/>
  <c r="C232" i="80"/>
  <c r="D232" i="80"/>
  <c r="E232" i="80"/>
  <c r="F232" i="80"/>
  <c r="G232" i="80"/>
  <c r="H232" i="80"/>
  <c r="I232" i="80"/>
  <c r="J232" i="80"/>
  <c r="K232" i="80"/>
  <c r="L232" i="80"/>
  <c r="M232" i="80"/>
  <c r="C221" i="80"/>
  <c r="D221" i="80"/>
  <c r="E221" i="80"/>
  <c r="F221" i="80"/>
  <c r="G221" i="80"/>
  <c r="H221" i="80"/>
  <c r="I221" i="80"/>
  <c r="J221" i="80"/>
  <c r="K221" i="80"/>
  <c r="L221" i="80"/>
  <c r="M221" i="80"/>
  <c r="C223" i="80"/>
  <c r="C225" i="80"/>
  <c r="D223" i="80"/>
  <c r="E223" i="80"/>
  <c r="F223" i="80"/>
  <c r="G223" i="80"/>
  <c r="H223" i="80"/>
  <c r="I223" i="80"/>
  <c r="J223" i="80"/>
  <c r="K223" i="80"/>
  <c r="L223" i="80"/>
  <c r="M223" i="80"/>
  <c r="C224" i="80"/>
  <c r="D224" i="80"/>
  <c r="E224" i="80"/>
  <c r="F224" i="80"/>
  <c r="G224" i="80"/>
  <c r="H224" i="80"/>
  <c r="I224" i="80"/>
  <c r="J224" i="80"/>
  <c r="K224" i="80"/>
  <c r="L224" i="80"/>
  <c r="M224" i="80"/>
  <c r="D225" i="80"/>
  <c r="E225" i="80"/>
  <c r="F225" i="80"/>
  <c r="G225" i="80"/>
  <c r="H225" i="80"/>
  <c r="I225" i="80"/>
  <c r="J225" i="80"/>
  <c r="K225" i="80"/>
  <c r="L225" i="80"/>
  <c r="M225" i="80"/>
  <c r="B218" i="80"/>
  <c r="B232" i="80"/>
  <c r="B231" i="80"/>
  <c r="B230" i="80"/>
  <c r="B229" i="80"/>
  <c r="B224" i="80"/>
  <c r="B223" i="80"/>
  <c r="B221" i="80"/>
  <c r="C159" i="80"/>
  <c r="C170" i="80"/>
  <c r="D159" i="80"/>
  <c r="D170" i="80"/>
  <c r="E159" i="80"/>
  <c r="E170" i="80"/>
  <c r="F159" i="80"/>
  <c r="F170" i="80"/>
  <c r="G159" i="80"/>
  <c r="G170" i="80"/>
  <c r="H159" i="80"/>
  <c r="H170" i="80"/>
  <c r="I159" i="80"/>
  <c r="I170" i="80"/>
  <c r="J159" i="80"/>
  <c r="J170" i="80"/>
  <c r="K159" i="80"/>
  <c r="K170" i="80"/>
  <c r="L159" i="80"/>
  <c r="L170" i="80"/>
  <c r="M159" i="80"/>
  <c r="M170" i="80"/>
  <c r="C171" i="80"/>
  <c r="D171" i="80"/>
  <c r="E171" i="80"/>
  <c r="F171" i="80"/>
  <c r="G171" i="80"/>
  <c r="H171" i="80"/>
  <c r="I171" i="80"/>
  <c r="J171" i="80"/>
  <c r="K171" i="80"/>
  <c r="L171" i="80"/>
  <c r="M171" i="80"/>
  <c r="C172" i="80"/>
  <c r="D172" i="80"/>
  <c r="E172" i="80"/>
  <c r="F172" i="80"/>
  <c r="G172" i="80"/>
  <c r="H172" i="80"/>
  <c r="I172" i="80"/>
  <c r="J172" i="80"/>
  <c r="K172" i="80"/>
  <c r="L172" i="80"/>
  <c r="M172" i="80"/>
  <c r="C173" i="80"/>
  <c r="D173" i="80"/>
  <c r="E173" i="80"/>
  <c r="F173" i="80"/>
  <c r="G173" i="80"/>
  <c r="H173" i="80"/>
  <c r="I173" i="80"/>
  <c r="J173" i="80"/>
  <c r="K173" i="80"/>
  <c r="L173" i="80"/>
  <c r="M173" i="80"/>
  <c r="C162" i="80"/>
  <c r="D162" i="80"/>
  <c r="E162" i="80"/>
  <c r="F162" i="80"/>
  <c r="G162" i="80"/>
  <c r="H162" i="80"/>
  <c r="I162" i="80"/>
  <c r="J162" i="80"/>
  <c r="K162" i="80"/>
  <c r="L162" i="80"/>
  <c r="M162" i="80"/>
  <c r="C164" i="80"/>
  <c r="D164" i="80"/>
  <c r="E164" i="80"/>
  <c r="F164" i="80"/>
  <c r="G164" i="80"/>
  <c r="H164" i="80"/>
  <c r="I164" i="80"/>
  <c r="J164" i="80"/>
  <c r="K164" i="80"/>
  <c r="L164" i="80"/>
  <c r="M164" i="80"/>
  <c r="C165" i="80"/>
  <c r="D165" i="80"/>
  <c r="E165" i="80"/>
  <c r="F165" i="80"/>
  <c r="G165" i="80"/>
  <c r="H165" i="80"/>
  <c r="I165" i="80"/>
  <c r="J165" i="80"/>
  <c r="K165" i="80"/>
  <c r="L165" i="80"/>
  <c r="M165" i="80"/>
  <c r="C166" i="80"/>
  <c r="B159" i="80"/>
  <c r="B164" i="80"/>
  <c r="B166" i="80"/>
  <c r="D166" i="80"/>
  <c r="D167" i="80"/>
  <c r="E166" i="80"/>
  <c r="F166" i="80"/>
  <c r="G166" i="80"/>
  <c r="H166" i="80"/>
  <c r="I166" i="80"/>
  <c r="J166" i="80"/>
  <c r="K166" i="80"/>
  <c r="L166" i="80"/>
  <c r="M166" i="80"/>
  <c r="M167" i="80"/>
  <c r="J167" i="80"/>
  <c r="G167" i="80"/>
  <c r="B173" i="80"/>
  <c r="B172" i="80"/>
  <c r="B171" i="80"/>
  <c r="B170" i="80"/>
  <c r="B165" i="80"/>
  <c r="B162" i="80"/>
  <c r="B60" i="80"/>
  <c r="C60" i="80"/>
  <c r="D60" i="80"/>
  <c r="E60" i="80"/>
  <c r="F60" i="80"/>
  <c r="G60" i="80"/>
  <c r="H60" i="80"/>
  <c r="I60" i="80"/>
  <c r="J60" i="80"/>
  <c r="K60" i="80"/>
  <c r="L60" i="80"/>
  <c r="M60" i="80"/>
  <c r="N60" i="80"/>
  <c r="O60" i="80"/>
  <c r="B61" i="80"/>
  <c r="C61" i="80"/>
  <c r="D61" i="80"/>
  <c r="E61" i="80"/>
  <c r="F61" i="80"/>
  <c r="G61" i="80"/>
  <c r="H61" i="80"/>
  <c r="I61" i="80"/>
  <c r="J61" i="80"/>
  <c r="K61" i="80"/>
  <c r="L61" i="80"/>
  <c r="M61" i="80"/>
  <c r="N61" i="80"/>
  <c r="O61" i="80"/>
  <c r="B62" i="80"/>
  <c r="C62" i="80"/>
  <c r="D62" i="80"/>
  <c r="E62" i="80"/>
  <c r="F62" i="80"/>
  <c r="G62" i="80"/>
  <c r="H62" i="80"/>
  <c r="I62" i="80"/>
  <c r="J62" i="80"/>
  <c r="K62" i="80"/>
  <c r="L62" i="80"/>
  <c r="M62" i="80"/>
  <c r="N62" i="80"/>
  <c r="O62" i="80"/>
  <c r="B63" i="80"/>
  <c r="C63" i="80"/>
  <c r="D63" i="80"/>
  <c r="E63" i="80"/>
  <c r="F63" i="80"/>
  <c r="G63" i="80"/>
  <c r="H63" i="80"/>
  <c r="I63" i="80"/>
  <c r="J63" i="80"/>
  <c r="K63" i="80"/>
  <c r="L63" i="80"/>
  <c r="M63" i="80"/>
  <c r="N63" i="80"/>
  <c r="O63" i="80"/>
  <c r="B64" i="80"/>
  <c r="C64" i="80"/>
  <c r="D64" i="80"/>
  <c r="E64" i="80"/>
  <c r="F64" i="80"/>
  <c r="G64" i="80"/>
  <c r="H64" i="80"/>
  <c r="I64" i="80"/>
  <c r="J64" i="80"/>
  <c r="K64" i="80"/>
  <c r="L64" i="80"/>
  <c r="M64" i="80"/>
  <c r="N64" i="80"/>
  <c r="O64" i="80"/>
  <c r="B65" i="80"/>
  <c r="C65" i="80"/>
  <c r="D65" i="80"/>
  <c r="E65" i="80"/>
  <c r="F65" i="80"/>
  <c r="G65" i="80"/>
  <c r="H65" i="80"/>
  <c r="I65" i="80"/>
  <c r="J65" i="80"/>
  <c r="K65" i="80"/>
  <c r="L65" i="80"/>
  <c r="M65" i="80"/>
  <c r="N65" i="80"/>
  <c r="O65" i="80"/>
  <c r="B66" i="80"/>
  <c r="C66" i="80"/>
  <c r="D66" i="80"/>
  <c r="E66" i="80"/>
  <c r="F66" i="80"/>
  <c r="G66" i="80"/>
  <c r="H66" i="80"/>
  <c r="I66" i="80"/>
  <c r="J66" i="80"/>
  <c r="K66" i="80"/>
  <c r="L66" i="80"/>
  <c r="M66" i="80"/>
  <c r="N66" i="80"/>
  <c r="O66" i="80"/>
  <c r="B67" i="80"/>
  <c r="C67" i="80"/>
  <c r="D67" i="80"/>
  <c r="E67" i="80"/>
  <c r="F67" i="80"/>
  <c r="G67" i="80"/>
  <c r="H67" i="80"/>
  <c r="I67" i="80"/>
  <c r="J67" i="80"/>
  <c r="K67" i="80"/>
  <c r="L67" i="80"/>
  <c r="M67" i="80"/>
  <c r="N67" i="80"/>
  <c r="O67" i="80"/>
  <c r="B68" i="80"/>
  <c r="C68" i="80"/>
  <c r="D68" i="80"/>
  <c r="E68" i="80"/>
  <c r="F68" i="80"/>
  <c r="G68" i="80"/>
  <c r="H68" i="80"/>
  <c r="I68" i="80"/>
  <c r="J68" i="80"/>
  <c r="K68" i="80"/>
  <c r="L68" i="80"/>
  <c r="M68" i="80"/>
  <c r="N68" i="80"/>
  <c r="O68" i="80"/>
  <c r="B69" i="80"/>
  <c r="C69" i="80"/>
  <c r="D69" i="80"/>
  <c r="E69" i="80"/>
  <c r="F69" i="80"/>
  <c r="G69" i="80"/>
  <c r="H69" i="80"/>
  <c r="I69" i="80"/>
  <c r="J69" i="80"/>
  <c r="K69" i="80"/>
  <c r="L69" i="80"/>
  <c r="M69" i="80"/>
  <c r="N69" i="80"/>
  <c r="O69" i="80"/>
  <c r="B70" i="80"/>
  <c r="C70" i="80"/>
  <c r="D70" i="80"/>
  <c r="E70" i="80"/>
  <c r="F70" i="80"/>
  <c r="G70" i="80"/>
  <c r="H70" i="80"/>
  <c r="I70" i="80"/>
  <c r="J70" i="80"/>
  <c r="K70" i="80"/>
  <c r="L70" i="80"/>
  <c r="M70" i="80"/>
  <c r="N70" i="80"/>
  <c r="O70" i="80"/>
  <c r="B71" i="80"/>
  <c r="C71" i="80"/>
  <c r="D71" i="80"/>
  <c r="E71" i="80"/>
  <c r="F71" i="80"/>
  <c r="G71" i="80"/>
  <c r="H71" i="80"/>
  <c r="I71" i="80"/>
  <c r="J71" i="80"/>
  <c r="K71" i="80"/>
  <c r="L71" i="80"/>
  <c r="M71" i="80"/>
  <c r="N71" i="80"/>
  <c r="O71" i="80"/>
  <c r="B72" i="80"/>
  <c r="C72" i="80"/>
  <c r="D72" i="80"/>
  <c r="E72" i="80"/>
  <c r="F72" i="80"/>
  <c r="G72" i="80"/>
  <c r="H72" i="80"/>
  <c r="I72" i="80"/>
  <c r="J72" i="80"/>
  <c r="K72" i="80"/>
  <c r="L72" i="80"/>
  <c r="M72" i="80"/>
  <c r="N72" i="80"/>
  <c r="O72" i="80"/>
  <c r="B73" i="80"/>
  <c r="C73" i="80"/>
  <c r="D73" i="80"/>
  <c r="E73" i="80"/>
  <c r="F73" i="80"/>
  <c r="G73" i="80"/>
  <c r="H73" i="80"/>
  <c r="I73" i="80"/>
  <c r="J73" i="80"/>
  <c r="K73" i="80"/>
  <c r="L73" i="80"/>
  <c r="M73" i="80"/>
  <c r="N73" i="80"/>
  <c r="O73" i="80"/>
  <c r="B74" i="80"/>
  <c r="C74" i="80"/>
  <c r="D74" i="80"/>
  <c r="E74" i="80"/>
  <c r="F74" i="80"/>
  <c r="G74" i="80"/>
  <c r="H74" i="80"/>
  <c r="I74" i="80"/>
  <c r="J74" i="80"/>
  <c r="K74" i="80"/>
  <c r="L74" i="80"/>
  <c r="M74" i="80"/>
  <c r="N74" i="80"/>
  <c r="O74" i="80"/>
  <c r="B75" i="80"/>
  <c r="C75" i="80"/>
  <c r="D75" i="80"/>
  <c r="E75" i="80"/>
  <c r="F75" i="80"/>
  <c r="G75" i="80"/>
  <c r="H75" i="80"/>
  <c r="I75" i="80"/>
  <c r="J75" i="80"/>
  <c r="K75" i="80"/>
  <c r="L75" i="80"/>
  <c r="M75" i="80"/>
  <c r="N75" i="80"/>
  <c r="O75" i="80"/>
  <c r="B76" i="80"/>
  <c r="C76" i="80"/>
  <c r="D76" i="80"/>
  <c r="E76" i="80"/>
  <c r="F76" i="80"/>
  <c r="G76" i="80"/>
  <c r="H76" i="80"/>
  <c r="I76" i="80"/>
  <c r="J76" i="80"/>
  <c r="K76" i="80"/>
  <c r="L76" i="80"/>
  <c r="M76" i="80"/>
  <c r="N76" i="80"/>
  <c r="O76" i="80"/>
  <c r="B77" i="80"/>
  <c r="C77" i="80"/>
  <c r="D77" i="80"/>
  <c r="E77" i="80"/>
  <c r="F77" i="80"/>
  <c r="G77" i="80"/>
  <c r="H77" i="80"/>
  <c r="I77" i="80"/>
  <c r="J77" i="80"/>
  <c r="K77" i="80"/>
  <c r="L77" i="80"/>
  <c r="M77" i="80"/>
  <c r="N77" i="80"/>
  <c r="O77" i="80"/>
  <c r="B78" i="80"/>
  <c r="C78" i="80"/>
  <c r="D78" i="80"/>
  <c r="E78" i="80"/>
  <c r="F78" i="80"/>
  <c r="G78" i="80"/>
  <c r="H78" i="80"/>
  <c r="I78" i="80"/>
  <c r="J78" i="80"/>
  <c r="K78" i="80"/>
  <c r="L78" i="80"/>
  <c r="M78" i="80"/>
  <c r="N78" i="80"/>
  <c r="O78" i="80"/>
  <c r="B79" i="80"/>
  <c r="C79" i="80"/>
  <c r="D79" i="80"/>
  <c r="E79" i="80"/>
  <c r="F79" i="80"/>
  <c r="G79" i="80"/>
  <c r="H79" i="80"/>
  <c r="I79" i="80"/>
  <c r="J79" i="80"/>
  <c r="K79" i="80"/>
  <c r="L79" i="80"/>
  <c r="M79" i="80"/>
  <c r="N79" i="80"/>
  <c r="O79" i="80"/>
  <c r="B80" i="80"/>
  <c r="C80" i="80"/>
  <c r="D80" i="80"/>
  <c r="E80" i="80"/>
  <c r="F80" i="80"/>
  <c r="G80" i="80"/>
  <c r="H80" i="80"/>
  <c r="I80" i="80"/>
  <c r="J80" i="80"/>
  <c r="K80" i="80"/>
  <c r="L80" i="80"/>
  <c r="M80" i="80"/>
  <c r="N80" i="80"/>
  <c r="O80" i="80"/>
  <c r="B81" i="80"/>
  <c r="C81" i="80"/>
  <c r="D81" i="80"/>
  <c r="E81" i="80"/>
  <c r="F81" i="80"/>
  <c r="G81" i="80"/>
  <c r="H81" i="80"/>
  <c r="I81" i="80"/>
  <c r="J81" i="80"/>
  <c r="K81" i="80"/>
  <c r="L81" i="80"/>
  <c r="M81" i="80"/>
  <c r="N81" i="80"/>
  <c r="O81" i="80"/>
  <c r="B82" i="80"/>
  <c r="C82" i="80"/>
  <c r="D82" i="80"/>
  <c r="E82" i="80"/>
  <c r="F82" i="80"/>
  <c r="G82" i="80"/>
  <c r="H82" i="80"/>
  <c r="I82" i="80"/>
  <c r="J82" i="80"/>
  <c r="K82" i="80"/>
  <c r="L82" i="80"/>
  <c r="M82" i="80"/>
  <c r="N82" i="80"/>
  <c r="O82" i="80"/>
  <c r="B83" i="80"/>
  <c r="C83" i="80"/>
  <c r="D83" i="80"/>
  <c r="E83" i="80"/>
  <c r="F83" i="80"/>
  <c r="G83" i="80"/>
  <c r="H83" i="80"/>
  <c r="I83" i="80"/>
  <c r="J83" i="80"/>
  <c r="K83" i="80"/>
  <c r="L83" i="80"/>
  <c r="M83" i="80"/>
  <c r="N83" i="80"/>
  <c r="O83" i="80"/>
  <c r="B84" i="80"/>
  <c r="C84" i="80"/>
  <c r="E84" i="80"/>
  <c r="G84" i="80"/>
  <c r="H84" i="80"/>
  <c r="I84" i="80"/>
  <c r="J84" i="80"/>
  <c r="K84" i="80"/>
  <c r="L84" i="80"/>
  <c r="M84" i="80"/>
  <c r="N84" i="80"/>
  <c r="O84" i="80"/>
  <c r="B85" i="80"/>
  <c r="C85" i="80"/>
  <c r="D85" i="80"/>
  <c r="E85" i="80"/>
  <c r="F85" i="80"/>
  <c r="G85" i="80"/>
  <c r="H85" i="80"/>
  <c r="I85" i="80"/>
  <c r="J85" i="80"/>
  <c r="K85" i="80"/>
  <c r="L85" i="80"/>
  <c r="M85" i="80"/>
  <c r="N85" i="80"/>
  <c r="O85" i="80"/>
  <c r="B86" i="80"/>
  <c r="C86" i="80"/>
  <c r="D86" i="80"/>
  <c r="E86" i="80"/>
  <c r="F86" i="80"/>
  <c r="G86" i="80"/>
  <c r="H86" i="80"/>
  <c r="I86" i="80"/>
  <c r="J86" i="80"/>
  <c r="K86" i="80"/>
  <c r="L86" i="80"/>
  <c r="M86" i="80"/>
  <c r="N86" i="80"/>
  <c r="O86" i="80"/>
  <c r="B87" i="80"/>
  <c r="C87" i="80"/>
  <c r="D87" i="80"/>
  <c r="E87" i="80"/>
  <c r="F87" i="80"/>
  <c r="G87" i="80"/>
  <c r="H87" i="80"/>
  <c r="I87" i="80"/>
  <c r="J87" i="80"/>
  <c r="K87" i="80"/>
  <c r="L87" i="80"/>
  <c r="M87" i="80"/>
  <c r="N87" i="80"/>
  <c r="O87" i="80"/>
  <c r="B88" i="80"/>
  <c r="C88" i="80"/>
  <c r="D88" i="80"/>
  <c r="E88" i="80"/>
  <c r="F88" i="80"/>
  <c r="G88" i="80"/>
  <c r="H88" i="80"/>
  <c r="I88" i="80"/>
  <c r="J88" i="80"/>
  <c r="K88" i="80"/>
  <c r="L88" i="80"/>
  <c r="M88" i="80"/>
  <c r="N88" i="80"/>
  <c r="O88" i="80"/>
  <c r="B89" i="80"/>
  <c r="C89" i="80"/>
  <c r="D89" i="80"/>
  <c r="E89" i="80"/>
  <c r="F89" i="80"/>
  <c r="G89" i="80"/>
  <c r="H89" i="80"/>
  <c r="I89" i="80"/>
  <c r="J89" i="80"/>
  <c r="K89" i="80"/>
  <c r="L89" i="80"/>
  <c r="M89" i="80"/>
  <c r="N89" i="80"/>
  <c r="O89" i="80"/>
  <c r="B90" i="80"/>
  <c r="C90" i="80"/>
  <c r="D90" i="80"/>
  <c r="E90" i="80"/>
  <c r="F90" i="80"/>
  <c r="G90" i="80"/>
  <c r="H90" i="80"/>
  <c r="I90" i="80"/>
  <c r="J90" i="80"/>
  <c r="K90" i="80"/>
  <c r="L90" i="80"/>
  <c r="M90" i="80"/>
  <c r="N90" i="80"/>
  <c r="O90" i="80"/>
  <c r="B91" i="80"/>
  <c r="C91" i="80"/>
  <c r="D91" i="80"/>
  <c r="E91" i="80"/>
  <c r="F91" i="80"/>
  <c r="G91" i="80"/>
  <c r="H91" i="80"/>
  <c r="I91" i="80"/>
  <c r="J91" i="80"/>
  <c r="K91" i="80"/>
  <c r="L91" i="80"/>
  <c r="M91" i="80"/>
  <c r="O91" i="80"/>
  <c r="B92" i="80"/>
  <c r="C92" i="80"/>
  <c r="D92" i="80"/>
  <c r="E92" i="80"/>
  <c r="F92" i="80"/>
  <c r="G92" i="80"/>
  <c r="H92" i="80"/>
  <c r="I92" i="80"/>
  <c r="J92" i="80"/>
  <c r="K92" i="80"/>
  <c r="L92" i="80"/>
  <c r="M92" i="80"/>
  <c r="N92" i="80"/>
  <c r="O92" i="80"/>
  <c r="B93" i="80"/>
  <c r="C93" i="80"/>
  <c r="D93" i="80"/>
  <c r="E93" i="80"/>
  <c r="F93" i="80"/>
  <c r="G93" i="80"/>
  <c r="H93" i="80"/>
  <c r="I93" i="80"/>
  <c r="J93" i="80"/>
  <c r="K93" i="80"/>
  <c r="L93" i="80"/>
  <c r="M93" i="80"/>
  <c r="N93" i="80"/>
  <c r="O93" i="80"/>
  <c r="B94" i="80"/>
  <c r="C94" i="80"/>
  <c r="D94" i="80"/>
  <c r="E94" i="80"/>
  <c r="F94" i="80"/>
  <c r="G94" i="80"/>
  <c r="H94" i="80"/>
  <c r="I94" i="80"/>
  <c r="J94" i="80"/>
  <c r="K94" i="80"/>
  <c r="L94" i="80"/>
  <c r="M94" i="80"/>
  <c r="N94" i="80"/>
  <c r="O94" i="80"/>
  <c r="B95" i="80"/>
  <c r="C95" i="80"/>
  <c r="D95" i="80"/>
  <c r="E95" i="80"/>
  <c r="F95" i="80"/>
  <c r="G95" i="80"/>
  <c r="H95" i="80"/>
  <c r="I95" i="80"/>
  <c r="J95" i="80"/>
  <c r="K95" i="80"/>
  <c r="L95" i="80"/>
  <c r="M95" i="80"/>
  <c r="N95" i="80"/>
  <c r="O95" i="80"/>
  <c r="B96" i="80"/>
  <c r="C96" i="80"/>
  <c r="D96" i="80"/>
  <c r="E96" i="80"/>
  <c r="F96" i="80"/>
  <c r="G96" i="80"/>
  <c r="H96" i="80"/>
  <c r="I96" i="80"/>
  <c r="J96" i="80"/>
  <c r="K96" i="80"/>
  <c r="L96" i="80"/>
  <c r="M96" i="80"/>
  <c r="N96" i="80"/>
  <c r="O96" i="80"/>
  <c r="B97" i="80"/>
  <c r="C97" i="80"/>
  <c r="D97" i="80"/>
  <c r="E97" i="80"/>
  <c r="F97" i="80"/>
  <c r="G97" i="80"/>
  <c r="H97" i="80"/>
  <c r="I97" i="80"/>
  <c r="J97" i="80"/>
  <c r="K97" i="80"/>
  <c r="L97" i="80"/>
  <c r="M97" i="80"/>
  <c r="N97" i="80"/>
  <c r="O97" i="80"/>
  <c r="B98" i="80"/>
  <c r="C98" i="80"/>
  <c r="D98" i="80"/>
  <c r="E98" i="80"/>
  <c r="F98" i="80"/>
  <c r="G98" i="80"/>
  <c r="H98" i="80"/>
  <c r="I98" i="80"/>
  <c r="J98" i="80"/>
  <c r="K98" i="80"/>
  <c r="L98" i="80"/>
  <c r="M98" i="80"/>
  <c r="N98" i="80"/>
  <c r="O98" i="80"/>
  <c r="B99" i="80"/>
  <c r="C99" i="80"/>
  <c r="E99" i="80"/>
  <c r="G99" i="80"/>
  <c r="H99" i="80"/>
  <c r="I99" i="80"/>
  <c r="J99" i="80"/>
  <c r="K99" i="80"/>
  <c r="L99" i="80"/>
  <c r="M99" i="80"/>
  <c r="N99" i="80"/>
  <c r="O99" i="80"/>
  <c r="B100" i="80"/>
  <c r="C100" i="80"/>
  <c r="D100" i="80"/>
  <c r="E100" i="80"/>
  <c r="F100" i="80"/>
  <c r="G100" i="80"/>
  <c r="H100" i="80"/>
  <c r="I100" i="80"/>
  <c r="J100" i="80"/>
  <c r="K100" i="80"/>
  <c r="L100" i="80"/>
  <c r="M100" i="80"/>
  <c r="N100" i="80"/>
  <c r="O100" i="80"/>
  <c r="B101" i="80"/>
  <c r="C101" i="80"/>
  <c r="D101" i="80"/>
  <c r="E101" i="80"/>
  <c r="F101" i="80"/>
  <c r="G101" i="80"/>
  <c r="H101" i="80"/>
  <c r="I101" i="80"/>
  <c r="J101" i="80"/>
  <c r="K101" i="80"/>
  <c r="L101" i="80"/>
  <c r="M101" i="80"/>
  <c r="N101" i="80"/>
  <c r="O101" i="80"/>
  <c r="B102" i="80"/>
  <c r="C102" i="80"/>
  <c r="D102" i="80"/>
  <c r="E102" i="80"/>
  <c r="F102" i="80"/>
  <c r="G102" i="80"/>
  <c r="H102" i="80"/>
  <c r="I102" i="80"/>
  <c r="J102" i="80"/>
  <c r="K102" i="80"/>
  <c r="L102" i="80"/>
  <c r="M102" i="80"/>
  <c r="N102" i="80"/>
  <c r="O102" i="80"/>
  <c r="B103" i="80"/>
  <c r="C103" i="80"/>
  <c r="D103" i="80"/>
  <c r="E103" i="80"/>
  <c r="F103" i="80"/>
  <c r="G103" i="80"/>
  <c r="H103" i="80"/>
  <c r="I103" i="80"/>
  <c r="J103" i="80"/>
  <c r="K103" i="80"/>
  <c r="L103" i="80"/>
  <c r="M103" i="80"/>
  <c r="N103" i="80"/>
  <c r="O103" i="80"/>
  <c r="B104" i="80"/>
  <c r="C104" i="80"/>
  <c r="D104" i="80"/>
  <c r="E104" i="80"/>
  <c r="F104" i="80"/>
  <c r="G104" i="80"/>
  <c r="H104" i="80"/>
  <c r="I104" i="80"/>
  <c r="J104" i="80"/>
  <c r="K104" i="80"/>
  <c r="L104" i="80"/>
  <c r="M104" i="80"/>
  <c r="N104" i="80"/>
  <c r="O104" i="80"/>
  <c r="B105" i="80"/>
  <c r="C105" i="80"/>
  <c r="D105" i="80"/>
  <c r="E105" i="80"/>
  <c r="F105" i="80"/>
  <c r="G105" i="80"/>
  <c r="H105" i="80"/>
  <c r="I105" i="80"/>
  <c r="J105" i="80"/>
  <c r="K105" i="80"/>
  <c r="L105" i="80"/>
  <c r="M105" i="80"/>
  <c r="N105" i="80"/>
  <c r="O105" i="80"/>
  <c r="B106" i="80"/>
  <c r="C106" i="80"/>
  <c r="D106" i="80"/>
  <c r="E106" i="80"/>
  <c r="F106" i="80"/>
  <c r="G106" i="80"/>
  <c r="H106" i="80"/>
  <c r="I106" i="80"/>
  <c r="J106" i="80"/>
  <c r="K106" i="80"/>
  <c r="L106" i="80"/>
  <c r="M106" i="80"/>
  <c r="N106" i="80"/>
  <c r="O106" i="80"/>
  <c r="B107" i="80"/>
  <c r="C107" i="80"/>
  <c r="D107" i="80"/>
  <c r="E107" i="80"/>
  <c r="F107" i="80"/>
  <c r="G107" i="80"/>
  <c r="H107" i="80"/>
  <c r="I107" i="80"/>
  <c r="J107" i="80"/>
  <c r="K107" i="80"/>
  <c r="L107" i="80"/>
  <c r="M107" i="80"/>
  <c r="N107" i="80"/>
  <c r="O107" i="80"/>
  <c r="B108" i="80"/>
  <c r="C108" i="80"/>
  <c r="D108" i="80"/>
  <c r="E108" i="80"/>
  <c r="F108" i="80"/>
  <c r="G108" i="80"/>
  <c r="H108" i="80"/>
  <c r="I108" i="80"/>
  <c r="J108" i="80"/>
  <c r="K108" i="80"/>
  <c r="L108" i="80"/>
  <c r="M108" i="80"/>
  <c r="N108" i="80"/>
  <c r="O108" i="80"/>
  <c r="A61" i="80"/>
  <c r="A62" i="80"/>
  <c r="A63" i="80"/>
  <c r="A64" i="80"/>
  <c r="A65" i="80"/>
  <c r="A66" i="80"/>
  <c r="A67" i="80"/>
  <c r="A68" i="80"/>
  <c r="A69" i="80"/>
  <c r="A70" i="80"/>
  <c r="A71" i="80"/>
  <c r="A72" i="80"/>
  <c r="A73" i="80"/>
  <c r="A74" i="80"/>
  <c r="A75" i="80"/>
  <c r="A76" i="80"/>
  <c r="A77" i="80"/>
  <c r="A78" i="80"/>
  <c r="A79" i="80"/>
  <c r="A80" i="80"/>
  <c r="A81" i="80"/>
  <c r="A82" i="80"/>
  <c r="A83" i="80"/>
  <c r="A84" i="80"/>
  <c r="A85" i="80"/>
  <c r="A86" i="80"/>
  <c r="A87" i="80"/>
  <c r="A88" i="80"/>
  <c r="A89" i="80"/>
  <c r="A90" i="80"/>
  <c r="A91" i="80"/>
  <c r="A92" i="80"/>
  <c r="A93" i="80"/>
  <c r="A94" i="80"/>
  <c r="A95" i="80"/>
  <c r="A96" i="80"/>
  <c r="A97" i="80"/>
  <c r="A98" i="80"/>
  <c r="A99" i="80"/>
  <c r="A100" i="80"/>
  <c r="A101" i="80"/>
  <c r="A102" i="80"/>
  <c r="A103" i="80"/>
  <c r="A104" i="80"/>
  <c r="A105" i="80"/>
  <c r="A106" i="80"/>
  <c r="A107" i="80"/>
  <c r="A108" i="80"/>
  <c r="A60" i="80"/>
  <c r="M170" i="81"/>
  <c r="M171" i="81"/>
  <c r="L171" i="81"/>
  <c r="I165" i="81"/>
  <c r="I170" i="81"/>
  <c r="J173" i="81"/>
  <c r="J164" i="81"/>
  <c r="J166" i="81"/>
  <c r="J165" i="81"/>
  <c r="J170" i="81"/>
  <c r="I171" i="81"/>
  <c r="H171" i="81"/>
  <c r="F164" i="81"/>
  <c r="F166" i="81"/>
  <c r="F165" i="81"/>
  <c r="F170" i="81"/>
  <c r="F173" i="81"/>
  <c r="E171" i="81"/>
  <c r="E165" i="81"/>
  <c r="E170" i="81"/>
  <c r="D171" i="81"/>
  <c r="B170" i="81"/>
  <c r="N159" i="81"/>
  <c r="B164" i="81"/>
  <c r="B166" i="81"/>
  <c r="B173" i="81"/>
  <c r="B165" i="81"/>
  <c r="O124" i="81"/>
  <c r="C21" i="81"/>
  <c r="C23" i="81"/>
  <c r="D21" i="81"/>
  <c r="D23" i="81"/>
  <c r="D24" i="81"/>
  <c r="G316" i="81"/>
  <c r="H312" i="81"/>
  <c r="H315" i="81"/>
  <c r="I180" i="81"/>
  <c r="J176" i="81"/>
  <c r="J179" i="81"/>
  <c r="H231" i="81"/>
  <c r="H221" i="81"/>
  <c r="H232" i="81"/>
  <c r="H223" i="81"/>
  <c r="H225" i="81"/>
  <c r="H229" i="81"/>
  <c r="H224" i="81"/>
  <c r="N337" i="81"/>
  <c r="N338" i="81"/>
  <c r="N344" i="81"/>
  <c r="N356" i="81"/>
  <c r="M363" i="81"/>
  <c r="J337" i="81"/>
  <c r="J338" i="81"/>
  <c r="J344" i="81"/>
  <c r="J356" i="81"/>
  <c r="I363" i="81"/>
  <c r="F337" i="81"/>
  <c r="F338" i="81"/>
  <c r="F344" i="81"/>
  <c r="F356" i="81"/>
  <c r="E363" i="81"/>
  <c r="K337" i="81"/>
  <c r="K338" i="81"/>
  <c r="K344" i="81"/>
  <c r="K356" i="81"/>
  <c r="J363" i="81"/>
  <c r="G337" i="81"/>
  <c r="G338" i="81"/>
  <c r="G344" i="81"/>
  <c r="G356" i="81"/>
  <c r="F363" i="81"/>
  <c r="C337" i="81"/>
  <c r="L337" i="81"/>
  <c r="L338" i="81"/>
  <c r="L344" i="81"/>
  <c r="L356" i="81"/>
  <c r="K363" i="81"/>
  <c r="H337" i="81"/>
  <c r="H338" i="81"/>
  <c r="H344" i="81"/>
  <c r="H356" i="81"/>
  <c r="G363" i="81"/>
  <c r="D337" i="81"/>
  <c r="D338" i="81"/>
  <c r="D344" i="81"/>
  <c r="D356" i="81"/>
  <c r="C363" i="81"/>
  <c r="H27" i="81"/>
  <c r="H22" i="81"/>
  <c r="H29" i="81"/>
  <c r="H19" i="81"/>
  <c r="F239" i="81"/>
  <c r="G235" i="81"/>
  <c r="G238" i="81"/>
  <c r="I308" i="81"/>
  <c r="I298" i="81"/>
  <c r="I309" i="81"/>
  <c r="I300" i="81"/>
  <c r="I302" i="81"/>
  <c r="I306" i="81"/>
  <c r="I301" i="81"/>
  <c r="M308" i="81"/>
  <c r="M298" i="81"/>
  <c r="M309" i="81"/>
  <c r="M300" i="81"/>
  <c r="M302" i="81"/>
  <c r="M303" i="81"/>
  <c r="M306" i="81"/>
  <c r="M301" i="81"/>
  <c r="B29" i="81"/>
  <c r="D29" i="81"/>
  <c r="F29" i="81"/>
  <c r="J29" i="81"/>
  <c r="L29" i="81"/>
  <c r="N29" i="81"/>
  <c r="B19" i="81"/>
  <c r="B27" i="81"/>
  <c r="B22" i="81"/>
  <c r="F19" i="81"/>
  <c r="F27" i="81"/>
  <c r="F22" i="81"/>
  <c r="J19" i="81"/>
  <c r="J27" i="81"/>
  <c r="J22" i="81"/>
  <c r="C173" i="81"/>
  <c r="C164" i="81"/>
  <c r="C166" i="81"/>
  <c r="C170" i="81"/>
  <c r="C165" i="81"/>
  <c r="C171" i="81"/>
  <c r="G173" i="81"/>
  <c r="G164" i="81"/>
  <c r="G166" i="81"/>
  <c r="G170" i="81"/>
  <c r="G165" i="81"/>
  <c r="G171" i="81"/>
  <c r="K173" i="81"/>
  <c r="K164" i="81"/>
  <c r="K166" i="81"/>
  <c r="K170" i="81"/>
  <c r="K165" i="81"/>
  <c r="K171" i="81"/>
  <c r="D404" i="81"/>
  <c r="D394" i="81"/>
  <c r="E394" i="81"/>
  <c r="H394" i="81"/>
  <c r="I394" i="81"/>
  <c r="L394" i="81"/>
  <c r="M394" i="81"/>
  <c r="N394" i="81"/>
  <c r="D405" i="81"/>
  <c r="E405" i="81"/>
  <c r="H405" i="81"/>
  <c r="I405" i="81"/>
  <c r="L405" i="81"/>
  <c r="M405" i="81"/>
  <c r="N405" i="81"/>
  <c r="D396" i="81"/>
  <c r="D402" i="81"/>
  <c r="D397" i="81"/>
  <c r="H404" i="81"/>
  <c r="H396" i="81"/>
  <c r="H398" i="81"/>
  <c r="I396" i="81"/>
  <c r="I398" i="81"/>
  <c r="J399" i="81"/>
  <c r="H402" i="81"/>
  <c r="H397" i="81"/>
  <c r="L404" i="81"/>
  <c r="L396" i="81"/>
  <c r="L398" i="81"/>
  <c r="L402" i="81"/>
  <c r="L397" i="81"/>
  <c r="H28" i="81"/>
  <c r="N28" i="81"/>
  <c r="F197" i="81"/>
  <c r="F201" i="81"/>
  <c r="F361" i="81"/>
  <c r="O260" i="81"/>
  <c r="N16" i="81"/>
  <c r="B30" i="81"/>
  <c r="H30" i="81"/>
  <c r="J38" i="81"/>
  <c r="G162" i="81"/>
  <c r="I307" i="81"/>
  <c r="F316" i="81"/>
  <c r="G317" i="81"/>
  <c r="E337" i="81"/>
  <c r="E338" i="81"/>
  <c r="E344" i="81"/>
  <c r="E356" i="81"/>
  <c r="D363" i="81"/>
  <c r="D403" i="81"/>
  <c r="G413" i="81"/>
  <c r="K112" i="81"/>
  <c r="K113" i="81"/>
  <c r="K114" i="81"/>
  <c r="K126" i="81"/>
  <c r="K143" i="81"/>
  <c r="J360" i="81"/>
  <c r="J197" i="81"/>
  <c r="J201" i="81"/>
  <c r="J361" i="81"/>
  <c r="J364" i="81"/>
  <c r="G112" i="81"/>
  <c r="G113" i="81"/>
  <c r="G114" i="81"/>
  <c r="G126" i="81"/>
  <c r="G143" i="81"/>
  <c r="F360" i="81"/>
  <c r="F364" i="81"/>
  <c r="C112" i="81"/>
  <c r="L112" i="81"/>
  <c r="L113" i="81"/>
  <c r="L114" i="81"/>
  <c r="L126" i="81"/>
  <c r="L143" i="81"/>
  <c r="K360" i="81"/>
  <c r="H112" i="81"/>
  <c r="H113" i="81"/>
  <c r="H114" i="81"/>
  <c r="H126" i="81"/>
  <c r="H143" i="81"/>
  <c r="G360" i="81"/>
  <c r="H253" i="81"/>
  <c r="H254" i="81"/>
  <c r="H262" i="81"/>
  <c r="H278" i="81"/>
  <c r="G362" i="81"/>
  <c r="G364" i="81"/>
  <c r="D112" i="81"/>
  <c r="M112" i="81"/>
  <c r="M114" i="81"/>
  <c r="M126" i="81"/>
  <c r="M143" i="81"/>
  <c r="L360" i="81"/>
  <c r="I112" i="81"/>
  <c r="I114" i="81"/>
  <c r="I126" i="81"/>
  <c r="I143" i="81"/>
  <c r="H360" i="81"/>
  <c r="E112" i="81"/>
  <c r="E114" i="81"/>
  <c r="E126" i="81"/>
  <c r="E143" i="81"/>
  <c r="D360" i="81"/>
  <c r="E253" i="81"/>
  <c r="E254" i="81"/>
  <c r="E262" i="81"/>
  <c r="E278" i="81"/>
  <c r="D362" i="81"/>
  <c r="D364" i="81"/>
  <c r="D231" i="81"/>
  <c r="D221" i="81"/>
  <c r="D232" i="81"/>
  <c r="D223" i="81"/>
  <c r="D229" i="81"/>
  <c r="D224" i="81"/>
  <c r="L231" i="81"/>
  <c r="L221" i="81"/>
  <c r="L232" i="81"/>
  <c r="L223" i="81"/>
  <c r="L225" i="81"/>
  <c r="L229" i="81"/>
  <c r="L224" i="81"/>
  <c r="D27" i="81"/>
  <c r="D22" i="81"/>
  <c r="D19" i="81"/>
  <c r="L27" i="81"/>
  <c r="L22" i="81"/>
  <c r="L19" i="81"/>
  <c r="C262" i="81"/>
  <c r="E308" i="81"/>
  <c r="E298" i="81"/>
  <c r="E309" i="81"/>
  <c r="E300" i="81"/>
  <c r="E302" i="81"/>
  <c r="E306" i="81"/>
  <c r="E301" i="81"/>
  <c r="L253" i="81"/>
  <c r="L254" i="81"/>
  <c r="L262" i="81"/>
  <c r="L278" i="81"/>
  <c r="K362" i="81"/>
  <c r="D253" i="81"/>
  <c r="D254" i="81"/>
  <c r="D262" i="81"/>
  <c r="D278" i="81"/>
  <c r="C362" i="81"/>
  <c r="M253" i="81"/>
  <c r="M254" i="81"/>
  <c r="M262" i="81"/>
  <c r="M278" i="81"/>
  <c r="L362" i="81"/>
  <c r="I253" i="81"/>
  <c r="I254" i="81"/>
  <c r="I262" i="81"/>
  <c r="I278" i="81"/>
  <c r="H362" i="81"/>
  <c r="N253" i="81"/>
  <c r="N254" i="81"/>
  <c r="N262" i="81"/>
  <c r="N278" i="81"/>
  <c r="M362" i="81"/>
  <c r="J253" i="81"/>
  <c r="J254" i="81"/>
  <c r="J262" i="81"/>
  <c r="J278" i="81"/>
  <c r="I362" i="81"/>
  <c r="F253" i="81"/>
  <c r="F254" i="81"/>
  <c r="F262" i="81"/>
  <c r="F278" i="81"/>
  <c r="E362" i="81"/>
  <c r="J412" i="81"/>
  <c r="K408" i="81"/>
  <c r="K411" i="81"/>
  <c r="L21" i="81"/>
  <c r="L23" i="81"/>
  <c r="N112" i="81"/>
  <c r="N114" i="81"/>
  <c r="N126" i="81"/>
  <c r="N143" i="81"/>
  <c r="M360" i="81"/>
  <c r="M364" i="81"/>
  <c r="B197" i="81"/>
  <c r="N218" i="81"/>
  <c r="N229" i="81"/>
  <c r="M337" i="81"/>
  <c r="M338" i="81"/>
  <c r="M344" i="81"/>
  <c r="M356" i="81"/>
  <c r="L363" i="81"/>
  <c r="N402" i="81"/>
  <c r="D30" i="81"/>
  <c r="J112" i="81"/>
  <c r="K162" i="81"/>
  <c r="C172" i="81"/>
  <c r="M223" i="81"/>
  <c r="M225" i="81"/>
  <c r="M226" i="81"/>
  <c r="H230" i="81"/>
  <c r="M307" i="81"/>
  <c r="I337" i="81"/>
  <c r="I338" i="81"/>
  <c r="I344" i="81"/>
  <c r="I356" i="81"/>
  <c r="H363" i="81"/>
  <c r="O342" i="81"/>
  <c r="H403" i="81"/>
  <c r="C403" i="81"/>
  <c r="G403" i="81"/>
  <c r="K403" i="81"/>
  <c r="N403" i="81"/>
  <c r="J413" i="81"/>
  <c r="G21" i="81"/>
  <c r="G23" i="81"/>
  <c r="G24" i="81"/>
  <c r="K21" i="81"/>
  <c r="K23" i="81"/>
  <c r="M24" i="81"/>
  <c r="C30" i="81"/>
  <c r="G30" i="81"/>
  <c r="K30" i="81"/>
  <c r="D113" i="81"/>
  <c r="F162" i="81"/>
  <c r="J162" i="81"/>
  <c r="E164" i="81"/>
  <c r="E166" i="81"/>
  <c r="I164" i="81"/>
  <c r="I166" i="81"/>
  <c r="M164" i="81"/>
  <c r="M166" i="81"/>
  <c r="D165" i="81"/>
  <c r="H165" i="81"/>
  <c r="L165" i="81"/>
  <c r="D170" i="81"/>
  <c r="H170" i="81"/>
  <c r="L170" i="81"/>
  <c r="B172" i="81"/>
  <c r="F172" i="81"/>
  <c r="J172" i="81"/>
  <c r="E173" i="81"/>
  <c r="I173" i="81"/>
  <c r="M173" i="81"/>
  <c r="B221" i="81"/>
  <c r="F221" i="81"/>
  <c r="J221" i="81"/>
  <c r="E223" i="81"/>
  <c r="E225" i="81"/>
  <c r="G226" i="81"/>
  <c r="I223" i="81"/>
  <c r="I225" i="81"/>
  <c r="C230" i="81"/>
  <c r="G230" i="81"/>
  <c r="K230" i="81"/>
  <c r="N230" i="81"/>
  <c r="B231" i="81"/>
  <c r="F231" i="81"/>
  <c r="J231" i="81"/>
  <c r="E232" i="81"/>
  <c r="I232" i="81"/>
  <c r="M232" i="81"/>
  <c r="N232" i="81"/>
  <c r="C298" i="81"/>
  <c r="G298" i="81"/>
  <c r="K298" i="81"/>
  <c r="B300" i="81"/>
  <c r="F300" i="81"/>
  <c r="F302" i="81"/>
  <c r="J300" i="81"/>
  <c r="J302" i="81"/>
  <c r="D307" i="81"/>
  <c r="H307" i="81"/>
  <c r="L307" i="81"/>
  <c r="N307" i="81"/>
  <c r="C308" i="81"/>
  <c r="G308" i="81"/>
  <c r="K308" i="81"/>
  <c r="B309" i="81"/>
  <c r="F309" i="81"/>
  <c r="J309" i="81"/>
  <c r="E396" i="81"/>
  <c r="E398" i="81"/>
  <c r="G399" i="81"/>
  <c r="M396" i="81"/>
  <c r="M398" i="81"/>
  <c r="M399" i="81"/>
  <c r="B404" i="81"/>
  <c r="F404" i="81"/>
  <c r="J404" i="81"/>
  <c r="C426" i="81"/>
  <c r="C428" i="81"/>
  <c r="C435" i="81"/>
  <c r="C439" i="81"/>
  <c r="G426" i="81"/>
  <c r="G428" i="81"/>
  <c r="G435" i="81"/>
  <c r="G439" i="81"/>
  <c r="K426" i="81"/>
  <c r="K428" i="81"/>
  <c r="K435" i="81"/>
  <c r="K439" i="81"/>
  <c r="C113" i="81"/>
  <c r="E162" i="81"/>
  <c r="I162" i="81"/>
  <c r="M162" i="81"/>
  <c r="D164" i="81"/>
  <c r="D166" i="81"/>
  <c r="H164" i="81"/>
  <c r="H166" i="81"/>
  <c r="L164" i="81"/>
  <c r="L166" i="81"/>
  <c r="D173" i="81"/>
  <c r="H173" i="81"/>
  <c r="L173" i="81"/>
  <c r="N189" i="81"/>
  <c r="E221" i="81"/>
  <c r="I221" i="81"/>
  <c r="M221" i="81"/>
  <c r="C224" i="81"/>
  <c r="G224" i="81"/>
  <c r="K224" i="81"/>
  <c r="N224" i="81"/>
  <c r="E231" i="81"/>
  <c r="I231" i="81"/>
  <c r="M231" i="81"/>
  <c r="B298" i="81"/>
  <c r="F298" i="81"/>
  <c r="J298" i="81"/>
  <c r="D301" i="81"/>
  <c r="H301" i="81"/>
  <c r="L301" i="81"/>
  <c r="B308" i="81"/>
  <c r="F308" i="81"/>
  <c r="J308" i="81"/>
  <c r="C397" i="81"/>
  <c r="G397" i="81"/>
  <c r="K397" i="81"/>
  <c r="N397" i="81"/>
  <c r="E404" i="81"/>
  <c r="I404" i="81"/>
  <c r="M404" i="81"/>
  <c r="B426" i="81"/>
  <c r="F426" i="81"/>
  <c r="F428" i="81"/>
  <c r="F435" i="81"/>
  <c r="F439" i="81"/>
  <c r="J426" i="81"/>
  <c r="J428" i="81"/>
  <c r="J435" i="81"/>
  <c r="J439" i="81"/>
  <c r="F113" i="81"/>
  <c r="F114" i="81"/>
  <c r="F126" i="81"/>
  <c r="F143" i="81"/>
  <c r="E360" i="81"/>
  <c r="E364" i="81"/>
  <c r="J113" i="81"/>
  <c r="D162" i="81"/>
  <c r="H162" i="81"/>
  <c r="L162" i="81"/>
  <c r="E426" i="81"/>
  <c r="E428" i="81"/>
  <c r="E435" i="81"/>
  <c r="E439" i="81"/>
  <c r="I426" i="81"/>
  <c r="I428" i="81"/>
  <c r="I435" i="81"/>
  <c r="I439" i="81"/>
  <c r="C16" i="80"/>
  <c r="C27" i="80"/>
  <c r="D16" i="80"/>
  <c r="D27" i="80"/>
  <c r="E16" i="80"/>
  <c r="E27" i="80"/>
  <c r="F16" i="80"/>
  <c r="F27" i="80"/>
  <c r="G16" i="80"/>
  <c r="G27" i="80"/>
  <c r="H16" i="80"/>
  <c r="H27" i="80"/>
  <c r="I16" i="80"/>
  <c r="I27" i="80"/>
  <c r="J16" i="80"/>
  <c r="J27" i="80"/>
  <c r="K16" i="80"/>
  <c r="K27" i="80"/>
  <c r="L16" i="80"/>
  <c r="L27" i="80"/>
  <c r="M16" i="80"/>
  <c r="M27" i="80"/>
  <c r="C28" i="80"/>
  <c r="D28" i="80"/>
  <c r="E28" i="80"/>
  <c r="F28" i="80"/>
  <c r="G28" i="80"/>
  <c r="H28" i="80"/>
  <c r="I28" i="80"/>
  <c r="J28" i="80"/>
  <c r="K28" i="80"/>
  <c r="L28" i="80"/>
  <c r="M28" i="80"/>
  <c r="C29" i="80"/>
  <c r="D29" i="80"/>
  <c r="E29" i="80"/>
  <c r="F29" i="80"/>
  <c r="G29" i="80"/>
  <c r="H29" i="80"/>
  <c r="I29" i="80"/>
  <c r="J29" i="80"/>
  <c r="K29" i="80"/>
  <c r="L29" i="80"/>
  <c r="M29" i="80"/>
  <c r="C30" i="80"/>
  <c r="D30" i="80"/>
  <c r="E30" i="80"/>
  <c r="F30" i="80"/>
  <c r="G30" i="80"/>
  <c r="H30" i="80"/>
  <c r="I30" i="80"/>
  <c r="J30" i="80"/>
  <c r="K30" i="80"/>
  <c r="L30" i="80"/>
  <c r="M30" i="80"/>
  <c r="B16" i="80"/>
  <c r="B30" i="80"/>
  <c r="B29" i="80"/>
  <c r="B28" i="80"/>
  <c r="B27" i="80"/>
  <c r="C22" i="80"/>
  <c r="D22" i="80"/>
  <c r="E22" i="80"/>
  <c r="F22" i="80"/>
  <c r="G22" i="80"/>
  <c r="H22" i="80"/>
  <c r="I22" i="80"/>
  <c r="J22" i="80"/>
  <c r="K22" i="80"/>
  <c r="L22" i="80"/>
  <c r="M22" i="80"/>
  <c r="C21" i="80"/>
  <c r="D21" i="80"/>
  <c r="E21" i="80"/>
  <c r="F21" i="80"/>
  <c r="G21" i="80"/>
  <c r="H21" i="80"/>
  <c r="I21" i="80"/>
  <c r="J21" i="80"/>
  <c r="K21" i="80"/>
  <c r="L21" i="80"/>
  <c r="M21" i="80"/>
  <c r="B22" i="80"/>
  <c r="B21" i="80"/>
  <c r="C19" i="80"/>
  <c r="D19" i="80"/>
  <c r="E19" i="80"/>
  <c r="F19" i="80"/>
  <c r="G19" i="80"/>
  <c r="H19" i="80"/>
  <c r="I19" i="80"/>
  <c r="J19" i="80"/>
  <c r="K19" i="80"/>
  <c r="L19" i="80"/>
  <c r="M19" i="80"/>
  <c r="N438" i="80"/>
  <c r="N437" i="80"/>
  <c r="N436" i="80"/>
  <c r="N434" i="80"/>
  <c r="M433" i="80"/>
  <c r="L433" i="80"/>
  <c r="K433" i="80"/>
  <c r="J433" i="80"/>
  <c r="I433" i="80"/>
  <c r="H433" i="80"/>
  <c r="G433" i="80"/>
  <c r="F433" i="80"/>
  <c r="E433" i="80"/>
  <c r="D433" i="80"/>
  <c r="C433" i="80"/>
  <c r="B433" i="80"/>
  <c r="N432" i="80"/>
  <c r="N431" i="80"/>
  <c r="N430" i="80"/>
  <c r="N429" i="80"/>
  <c r="N427" i="80"/>
  <c r="D422" i="80"/>
  <c r="L426" i="80"/>
  <c r="L428" i="80"/>
  <c r="L435" i="80"/>
  <c r="L439" i="80"/>
  <c r="J426" i="80"/>
  <c r="J428" i="80"/>
  <c r="J435" i="80"/>
  <c r="J439" i="80"/>
  <c r="H426" i="80"/>
  <c r="H428" i="80"/>
  <c r="H435" i="80"/>
  <c r="H439" i="80"/>
  <c r="F426" i="80"/>
  <c r="F428" i="80"/>
  <c r="F435" i="80"/>
  <c r="F439" i="80"/>
  <c r="D426" i="80"/>
  <c r="D428" i="80"/>
  <c r="D435" i="80"/>
  <c r="D439" i="80"/>
  <c r="B426" i="80"/>
  <c r="B428" i="80"/>
  <c r="M426" i="80"/>
  <c r="M428" i="80"/>
  <c r="M435" i="80"/>
  <c r="M439" i="80"/>
  <c r="I411" i="80"/>
  <c r="I412" i="80"/>
  <c r="F411" i="80"/>
  <c r="F412" i="80"/>
  <c r="E411" i="80"/>
  <c r="E412" i="80"/>
  <c r="G411" i="80"/>
  <c r="G412" i="80"/>
  <c r="G413" i="80"/>
  <c r="B411" i="80"/>
  <c r="B412" i="80"/>
  <c r="N411" i="80"/>
  <c r="H411" i="80"/>
  <c r="H412" i="80"/>
  <c r="D411" i="80"/>
  <c r="D412" i="80"/>
  <c r="D413" i="80"/>
  <c r="C411" i="80"/>
  <c r="C412" i="80"/>
  <c r="N410" i="80"/>
  <c r="N409" i="80"/>
  <c r="J408" i="80"/>
  <c r="J411" i="80"/>
  <c r="N400" i="80"/>
  <c r="K391" i="80"/>
  <c r="K397" i="80"/>
  <c r="J391" i="80"/>
  <c r="J397" i="80"/>
  <c r="G391" i="80"/>
  <c r="G397" i="80"/>
  <c r="F391" i="80"/>
  <c r="F397" i="80"/>
  <c r="B391" i="80"/>
  <c r="B397" i="80"/>
  <c r="K396" i="80"/>
  <c r="K398" i="80"/>
  <c r="G396" i="80"/>
  <c r="G398" i="80"/>
  <c r="L391" i="80"/>
  <c r="L394" i="80"/>
  <c r="K394" i="80"/>
  <c r="H391" i="80"/>
  <c r="H394" i="80"/>
  <c r="G394" i="80"/>
  <c r="D391" i="80"/>
  <c r="D394" i="80"/>
  <c r="M391" i="80"/>
  <c r="M402" i="80"/>
  <c r="L403" i="80"/>
  <c r="K404" i="80"/>
  <c r="J405" i="80"/>
  <c r="I391" i="80"/>
  <c r="I402" i="80"/>
  <c r="H403" i="80"/>
  <c r="G404" i="80"/>
  <c r="F405" i="80"/>
  <c r="E391" i="80"/>
  <c r="E402" i="80"/>
  <c r="D403" i="80"/>
  <c r="C391" i="80"/>
  <c r="C404" i="80"/>
  <c r="B405" i="80"/>
  <c r="N390" i="80"/>
  <c r="N389" i="80"/>
  <c r="N388" i="80"/>
  <c r="N387" i="80"/>
  <c r="N386" i="80"/>
  <c r="N385" i="80"/>
  <c r="N384" i="80"/>
  <c r="N383" i="80"/>
  <c r="N382" i="80"/>
  <c r="N381" i="80"/>
  <c r="N380" i="80"/>
  <c r="N355" i="80"/>
  <c r="M355" i="80"/>
  <c r="L355" i="80"/>
  <c r="K355" i="80"/>
  <c r="J355" i="80"/>
  <c r="I355" i="80"/>
  <c r="H355" i="80"/>
  <c r="G355" i="80"/>
  <c r="F355" i="80"/>
  <c r="E355" i="80"/>
  <c r="D355" i="80"/>
  <c r="C355" i="80"/>
  <c r="O354" i="80"/>
  <c r="O353" i="80"/>
  <c r="O352" i="80"/>
  <c r="O351" i="80"/>
  <c r="O350" i="80"/>
  <c r="O349" i="80"/>
  <c r="O348" i="80"/>
  <c r="O347" i="80"/>
  <c r="O346" i="80"/>
  <c r="O345" i="80"/>
  <c r="O355" i="80"/>
  <c r="O343" i="80"/>
  <c r="N342" i="80"/>
  <c r="M342" i="80"/>
  <c r="L342" i="80"/>
  <c r="K342" i="80"/>
  <c r="J342" i="80"/>
  <c r="I342" i="80"/>
  <c r="H342" i="80"/>
  <c r="G342" i="80"/>
  <c r="F342" i="80"/>
  <c r="E342" i="80"/>
  <c r="D342" i="80"/>
  <c r="C342" i="80"/>
  <c r="O342" i="80"/>
  <c r="O341" i="80"/>
  <c r="O340" i="80"/>
  <c r="O339" i="80"/>
  <c r="D332" i="80"/>
  <c r="D333" i="80"/>
  <c r="M337" i="80"/>
  <c r="M338" i="80"/>
  <c r="M344" i="80"/>
  <c r="M356" i="80"/>
  <c r="L363" i="80"/>
  <c r="C315" i="80"/>
  <c r="C316" i="80"/>
  <c r="N315" i="80"/>
  <c r="E315" i="80"/>
  <c r="E316" i="80"/>
  <c r="D315" i="80"/>
  <c r="D316" i="80"/>
  <c r="D317" i="80"/>
  <c r="B315" i="80"/>
  <c r="B316" i="80"/>
  <c r="N314" i="80"/>
  <c r="N313" i="80"/>
  <c r="F312" i="80"/>
  <c r="F315" i="80"/>
  <c r="N304" i="80"/>
  <c r="N294" i="80"/>
  <c r="N293" i="80"/>
  <c r="N292" i="80"/>
  <c r="N291" i="80"/>
  <c r="N290" i="80"/>
  <c r="N289" i="80"/>
  <c r="N288" i="80"/>
  <c r="N287" i="80"/>
  <c r="N286" i="80"/>
  <c r="N285" i="80"/>
  <c r="N284" i="80"/>
  <c r="N277" i="80"/>
  <c r="M277" i="80"/>
  <c r="L277" i="80"/>
  <c r="K277" i="80"/>
  <c r="J277" i="80"/>
  <c r="I277" i="80"/>
  <c r="H277" i="80"/>
  <c r="G277" i="80"/>
  <c r="F277" i="80"/>
  <c r="E277" i="80"/>
  <c r="D277" i="80"/>
  <c r="C277" i="80"/>
  <c r="O276" i="80"/>
  <c r="O275" i="80"/>
  <c r="O274" i="80"/>
  <c r="O273" i="80"/>
  <c r="O272" i="80"/>
  <c r="O271" i="80"/>
  <c r="O270" i="80"/>
  <c r="O269" i="80"/>
  <c r="O268" i="80"/>
  <c r="O267" i="80"/>
  <c r="O266" i="80"/>
  <c r="O265" i="80"/>
  <c r="O264" i="80"/>
  <c r="O263" i="80"/>
  <c r="O261" i="80"/>
  <c r="N260" i="80"/>
  <c r="M260" i="80"/>
  <c r="L260" i="80"/>
  <c r="K260" i="80"/>
  <c r="J260" i="80"/>
  <c r="I260" i="80"/>
  <c r="H260" i="80"/>
  <c r="G260" i="80"/>
  <c r="F260" i="80"/>
  <c r="E260" i="80"/>
  <c r="D260" i="80"/>
  <c r="C260" i="80"/>
  <c r="O260" i="80"/>
  <c r="O259" i="80"/>
  <c r="O258" i="80"/>
  <c r="O257" i="80"/>
  <c r="O256" i="80"/>
  <c r="O255" i="80"/>
  <c r="F248" i="80"/>
  <c r="F249" i="80"/>
  <c r="B239" i="80"/>
  <c r="N238" i="80"/>
  <c r="E239" i="80"/>
  <c r="D239" i="80"/>
  <c r="D240" i="80"/>
  <c r="C239" i="80"/>
  <c r="N237" i="80"/>
  <c r="N236" i="80"/>
  <c r="N227" i="80"/>
  <c r="N217" i="80"/>
  <c r="N216" i="80"/>
  <c r="N215" i="80"/>
  <c r="N214" i="80"/>
  <c r="N213" i="80"/>
  <c r="N212" i="80"/>
  <c r="N211" i="80"/>
  <c r="N210" i="80"/>
  <c r="N209" i="80"/>
  <c r="N208" i="80"/>
  <c r="N207" i="80"/>
  <c r="N200" i="80"/>
  <c r="N199" i="80"/>
  <c r="N198" i="80"/>
  <c r="N196" i="80"/>
  <c r="M195" i="80"/>
  <c r="L195" i="80"/>
  <c r="K195" i="80"/>
  <c r="J195" i="80"/>
  <c r="I195" i="80"/>
  <c r="H195" i="80"/>
  <c r="G195" i="80"/>
  <c r="F195" i="80"/>
  <c r="E195" i="80"/>
  <c r="D195" i="80"/>
  <c r="C195" i="80"/>
  <c r="B195" i="80"/>
  <c r="N195" i="80"/>
  <c r="N194" i="80"/>
  <c r="N193" i="80"/>
  <c r="N192" i="80"/>
  <c r="N191" i="80"/>
  <c r="N190" i="80"/>
  <c r="M189" i="80"/>
  <c r="M197" i="80"/>
  <c r="M201" i="80"/>
  <c r="M361" i="80"/>
  <c r="L189" i="80"/>
  <c r="L197" i="80"/>
  <c r="L201" i="80"/>
  <c r="L361" i="80"/>
  <c r="K189" i="80"/>
  <c r="K197" i="80"/>
  <c r="K201" i="80"/>
  <c r="K361" i="80"/>
  <c r="J189" i="80"/>
  <c r="J197" i="80"/>
  <c r="J201" i="80"/>
  <c r="J361" i="80"/>
  <c r="I189" i="80"/>
  <c r="I197" i="80"/>
  <c r="I201" i="80"/>
  <c r="I361" i="80"/>
  <c r="H189" i="80"/>
  <c r="H197" i="80"/>
  <c r="H201" i="80"/>
  <c r="H361" i="80"/>
  <c r="G189" i="80"/>
  <c r="G197" i="80"/>
  <c r="G201" i="80"/>
  <c r="G361" i="80"/>
  <c r="F189" i="80"/>
  <c r="F197" i="80"/>
  <c r="F201" i="80"/>
  <c r="F361" i="80"/>
  <c r="E189" i="80"/>
  <c r="E197" i="80"/>
  <c r="E201" i="80"/>
  <c r="E361" i="80"/>
  <c r="D189" i="80"/>
  <c r="D197" i="80"/>
  <c r="D201" i="80"/>
  <c r="D361" i="80"/>
  <c r="C189" i="80"/>
  <c r="C197" i="80"/>
  <c r="C201" i="80"/>
  <c r="C361" i="80"/>
  <c r="B189" i="80"/>
  <c r="B197" i="80"/>
  <c r="N188" i="80"/>
  <c r="N187" i="80"/>
  <c r="N186" i="80"/>
  <c r="N185" i="80"/>
  <c r="N179" i="80"/>
  <c r="D181" i="80"/>
  <c r="N178" i="80"/>
  <c r="N177" i="80"/>
  <c r="N168" i="80"/>
  <c r="N158" i="80"/>
  <c r="N157" i="80"/>
  <c r="N156" i="80"/>
  <c r="N155" i="80"/>
  <c r="N154" i="80"/>
  <c r="N153" i="80"/>
  <c r="N152" i="80"/>
  <c r="N151" i="80"/>
  <c r="N150" i="80"/>
  <c r="N149" i="80"/>
  <c r="N148" i="80"/>
  <c r="N159" i="80"/>
  <c r="P142" i="80"/>
  <c r="N142" i="80"/>
  <c r="M142" i="80"/>
  <c r="L142" i="80"/>
  <c r="K142" i="80"/>
  <c r="J142" i="80"/>
  <c r="I142" i="80"/>
  <c r="H142" i="80"/>
  <c r="G142" i="80"/>
  <c r="F142" i="80"/>
  <c r="E142" i="80"/>
  <c r="D142" i="80"/>
  <c r="C142" i="80"/>
  <c r="O141" i="80"/>
  <c r="O140" i="80"/>
  <c r="O139" i="80"/>
  <c r="O138" i="80"/>
  <c r="O137" i="80"/>
  <c r="O136" i="80"/>
  <c r="O135" i="80"/>
  <c r="O134" i="80"/>
  <c r="O133" i="80"/>
  <c r="O132" i="80"/>
  <c r="O131" i="80"/>
  <c r="O130" i="80"/>
  <c r="O129" i="80"/>
  <c r="Q128" i="80"/>
  <c r="O128" i="80"/>
  <c r="O125" i="80"/>
  <c r="P124" i="80"/>
  <c r="P143" i="80"/>
  <c r="N124" i="80"/>
  <c r="M124" i="80"/>
  <c r="L124" i="80"/>
  <c r="K124" i="80"/>
  <c r="J124" i="80"/>
  <c r="I124" i="80"/>
  <c r="H124" i="80"/>
  <c r="G124" i="80"/>
  <c r="F124" i="80"/>
  <c r="E124" i="80"/>
  <c r="D124" i="80"/>
  <c r="C124" i="80"/>
  <c r="O123" i="80"/>
  <c r="O122" i="80"/>
  <c r="O121" i="80"/>
  <c r="O120" i="80"/>
  <c r="O119" i="80"/>
  <c r="O118" i="80"/>
  <c r="O117" i="80"/>
  <c r="O116" i="80"/>
  <c r="O115" i="80"/>
  <c r="N113" i="80"/>
  <c r="K112" i="80"/>
  <c r="N56" i="80"/>
  <c r="N55" i="80"/>
  <c r="N54" i="80"/>
  <c r="N53" i="80"/>
  <c r="N52" i="80"/>
  <c r="N51" i="80"/>
  <c r="N50" i="80"/>
  <c r="N46" i="80"/>
  <c r="N45" i="80"/>
  <c r="N44" i="80"/>
  <c r="N43" i="80"/>
  <c r="N42" i="80"/>
  <c r="D37" i="80"/>
  <c r="D38" i="80"/>
  <c r="M37" i="80"/>
  <c r="K37" i="80"/>
  <c r="L37" i="80"/>
  <c r="M38" i="80"/>
  <c r="J37" i="80"/>
  <c r="I37" i="80"/>
  <c r="H37" i="80"/>
  <c r="J38" i="80"/>
  <c r="G37" i="80"/>
  <c r="F37" i="80"/>
  <c r="E37" i="80"/>
  <c r="G38" i="80"/>
  <c r="C37" i="80"/>
  <c r="B37" i="80"/>
  <c r="N25" i="80"/>
  <c r="N15" i="80"/>
  <c r="N14" i="80"/>
  <c r="N13" i="80"/>
  <c r="N12" i="80"/>
  <c r="N11" i="80"/>
  <c r="N10" i="80"/>
  <c r="N9" i="80"/>
  <c r="N8" i="80"/>
  <c r="N7" i="80"/>
  <c r="N6" i="80"/>
  <c r="N5" i="80"/>
  <c r="N4" i="80"/>
  <c r="E142" i="78"/>
  <c r="Q128" i="78"/>
  <c r="N142" i="78"/>
  <c r="M142" i="78"/>
  <c r="L142" i="78"/>
  <c r="K142" i="78"/>
  <c r="J142" i="78"/>
  <c r="I142" i="78"/>
  <c r="H142" i="78"/>
  <c r="G142" i="78"/>
  <c r="D142" i="78"/>
  <c r="C142" i="78"/>
  <c r="N56" i="78"/>
  <c r="C7" i="79"/>
  <c r="C8" i="79"/>
  <c r="C10" i="79"/>
  <c r="L10" i="79"/>
  <c r="L11" i="79"/>
  <c r="L12" i="79"/>
  <c r="L13" i="79"/>
  <c r="L14" i="79"/>
  <c r="L15" i="79"/>
  <c r="L16" i="79"/>
  <c r="L17" i="79"/>
  <c r="L18" i="79"/>
  <c r="L19" i="79"/>
  <c r="L20" i="79"/>
  <c r="L21" i="79"/>
  <c r="L22" i="79"/>
  <c r="E10" i="79"/>
  <c r="G10" i="79"/>
  <c r="I10" i="79"/>
  <c r="J10" i="79"/>
  <c r="K10" i="79"/>
  <c r="C11" i="79"/>
  <c r="E11" i="79"/>
  <c r="G11" i="79"/>
  <c r="I11" i="79"/>
  <c r="J11" i="79"/>
  <c r="K11" i="79"/>
  <c r="C12" i="79"/>
  <c r="E12" i="79"/>
  <c r="G12" i="79"/>
  <c r="I12" i="79"/>
  <c r="J12" i="79"/>
  <c r="K12" i="79"/>
  <c r="C13" i="79"/>
  <c r="E13" i="79"/>
  <c r="G13" i="79"/>
  <c r="I13" i="79"/>
  <c r="J13" i="79"/>
  <c r="K13" i="79"/>
  <c r="C14" i="79"/>
  <c r="E14" i="79"/>
  <c r="G14" i="79"/>
  <c r="I14" i="79"/>
  <c r="J14" i="79"/>
  <c r="K14" i="79"/>
  <c r="C15" i="79"/>
  <c r="E15" i="79"/>
  <c r="G15" i="79"/>
  <c r="I15" i="79"/>
  <c r="J15" i="79"/>
  <c r="K15" i="79"/>
  <c r="C16" i="79"/>
  <c r="E16" i="79"/>
  <c r="G16" i="79"/>
  <c r="I16" i="79"/>
  <c r="J16" i="79"/>
  <c r="K16" i="79"/>
  <c r="C17" i="79"/>
  <c r="E17" i="79"/>
  <c r="G17" i="79"/>
  <c r="I17" i="79"/>
  <c r="J17" i="79"/>
  <c r="K17" i="79"/>
  <c r="C18" i="79"/>
  <c r="E18" i="79"/>
  <c r="G18" i="79"/>
  <c r="I18" i="79"/>
  <c r="J18" i="79"/>
  <c r="K18" i="79"/>
  <c r="C19" i="79"/>
  <c r="E19" i="79"/>
  <c r="G19" i="79"/>
  <c r="I19" i="79"/>
  <c r="J19" i="79"/>
  <c r="K19" i="79"/>
  <c r="C20" i="79"/>
  <c r="E20" i="79"/>
  <c r="G20" i="79"/>
  <c r="I20" i="79"/>
  <c r="J20" i="79"/>
  <c r="K20" i="79"/>
  <c r="C21" i="79"/>
  <c r="E21" i="79"/>
  <c r="G21" i="79"/>
  <c r="I21" i="79"/>
  <c r="J21" i="79"/>
  <c r="K21" i="79"/>
  <c r="C22" i="79"/>
  <c r="E22" i="79"/>
  <c r="G22" i="79"/>
  <c r="I22" i="79"/>
  <c r="J22" i="79"/>
  <c r="K22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10" i="79"/>
  <c r="K8" i="79"/>
  <c r="J8" i="79"/>
  <c r="I8" i="79"/>
  <c r="G8" i="79"/>
  <c r="E8" i="79"/>
  <c r="K7" i="79"/>
  <c r="J7" i="79"/>
  <c r="I7" i="79"/>
  <c r="G7" i="79"/>
  <c r="E7" i="79"/>
  <c r="J167" i="81"/>
  <c r="G167" i="81"/>
  <c r="N171" i="81"/>
  <c r="N162" i="81"/>
  <c r="D167" i="81"/>
  <c r="N165" i="81"/>
  <c r="N170" i="81"/>
  <c r="J180" i="81"/>
  <c r="J181" i="81"/>
  <c r="H316" i="81"/>
  <c r="I312" i="81"/>
  <c r="I315" i="81"/>
  <c r="C278" i="81"/>
  <c r="O262" i="81"/>
  <c r="B302" i="81"/>
  <c r="D303" i="81"/>
  <c r="N300" i="81"/>
  <c r="B201" i="81"/>
  <c r="B361" i="81"/>
  <c r="N197" i="81"/>
  <c r="N201" i="81"/>
  <c r="N361" i="81"/>
  <c r="O112" i="81"/>
  <c r="C114" i="81"/>
  <c r="D398" i="81"/>
  <c r="D399" i="81"/>
  <c r="N399" i="81"/>
  <c r="N396" i="81"/>
  <c r="N398" i="81"/>
  <c r="O337" i="81"/>
  <c r="C338" i="81"/>
  <c r="K176" i="81"/>
  <c r="K179" i="81"/>
  <c r="N404" i="81"/>
  <c r="N221" i="81"/>
  <c r="N308" i="81"/>
  <c r="O113" i="81"/>
  <c r="N231" i="81"/>
  <c r="N30" i="81"/>
  <c r="N19" i="81"/>
  <c r="N301" i="81"/>
  <c r="N172" i="81"/>
  <c r="J114" i="81"/>
  <c r="J126" i="81"/>
  <c r="J143" i="81"/>
  <c r="I360" i="81"/>
  <c r="I364" i="81"/>
  <c r="G303" i="81"/>
  <c r="O254" i="81"/>
  <c r="L364" i="81"/>
  <c r="N27" i="81"/>
  <c r="J226" i="81"/>
  <c r="D225" i="81"/>
  <c r="D226" i="81"/>
  <c r="N223" i="81"/>
  <c r="N225" i="81"/>
  <c r="N426" i="81"/>
  <c r="B428" i="81"/>
  <c r="K412" i="81"/>
  <c r="L408" i="81"/>
  <c r="L411" i="81"/>
  <c r="G239" i="81"/>
  <c r="G240" i="81"/>
  <c r="H235" i="81"/>
  <c r="H238" i="81"/>
  <c r="N164" i="81"/>
  <c r="N21" i="81"/>
  <c r="N173" i="81"/>
  <c r="N24" i="81"/>
  <c r="D114" i="81"/>
  <c r="D126" i="81"/>
  <c r="D143" i="81"/>
  <c r="C360" i="81"/>
  <c r="C364" i="81"/>
  <c r="N298" i="81"/>
  <c r="N309" i="81"/>
  <c r="O253" i="81"/>
  <c r="N306" i="81"/>
  <c r="H364" i="81"/>
  <c r="K364" i="81"/>
  <c r="M167" i="81"/>
  <c r="N22" i="81"/>
  <c r="J303" i="81"/>
  <c r="N433" i="80"/>
  <c r="N391" i="80"/>
  <c r="C396" i="80"/>
  <c r="C398" i="80"/>
  <c r="C397" i="80"/>
  <c r="C394" i="80"/>
  <c r="N295" i="80"/>
  <c r="O277" i="80"/>
  <c r="N218" i="80"/>
  <c r="O142" i="80"/>
  <c r="O124" i="80"/>
  <c r="N57" i="80"/>
  <c r="N47" i="80"/>
  <c r="B19" i="80"/>
  <c r="F23" i="80"/>
  <c r="J23" i="80"/>
  <c r="F316" i="80"/>
  <c r="G312" i="80"/>
  <c r="G315" i="80"/>
  <c r="J412" i="80"/>
  <c r="K408" i="80"/>
  <c r="K411" i="80"/>
  <c r="B201" i="80"/>
  <c r="B361" i="80"/>
  <c r="N197" i="80"/>
  <c r="N201" i="80"/>
  <c r="N361" i="80"/>
  <c r="K253" i="80"/>
  <c r="K254" i="80"/>
  <c r="K262" i="80"/>
  <c r="K278" i="80"/>
  <c r="J362" i="80"/>
  <c r="G253" i="80"/>
  <c r="G254" i="80"/>
  <c r="G262" i="80"/>
  <c r="G278" i="80"/>
  <c r="F362" i="80"/>
  <c r="C253" i="80"/>
  <c r="L253" i="80"/>
  <c r="L254" i="80"/>
  <c r="L262" i="80"/>
  <c r="L278" i="80"/>
  <c r="K362" i="80"/>
  <c r="H253" i="80"/>
  <c r="H254" i="80"/>
  <c r="H262" i="80"/>
  <c r="H278" i="80"/>
  <c r="G362" i="80"/>
  <c r="D253" i="80"/>
  <c r="D254" i="80"/>
  <c r="D262" i="80"/>
  <c r="D278" i="80"/>
  <c r="C362" i="80"/>
  <c r="M253" i="80"/>
  <c r="M254" i="80"/>
  <c r="M262" i="80"/>
  <c r="M278" i="80"/>
  <c r="L362" i="80"/>
  <c r="I253" i="80"/>
  <c r="I254" i="80"/>
  <c r="I262" i="80"/>
  <c r="I278" i="80"/>
  <c r="H362" i="80"/>
  <c r="E253" i="80"/>
  <c r="E254" i="80"/>
  <c r="E262" i="80"/>
  <c r="E278" i="80"/>
  <c r="D362" i="80"/>
  <c r="N253" i="80"/>
  <c r="N254" i="80"/>
  <c r="N262" i="80"/>
  <c r="N278" i="80"/>
  <c r="M362" i="80"/>
  <c r="J253" i="80"/>
  <c r="J254" i="80"/>
  <c r="J262" i="80"/>
  <c r="J278" i="80"/>
  <c r="I362" i="80"/>
  <c r="F253" i="80"/>
  <c r="F254" i="80"/>
  <c r="F262" i="80"/>
  <c r="F278" i="80"/>
  <c r="E362" i="80"/>
  <c r="F239" i="80"/>
  <c r="G181" i="80"/>
  <c r="B435" i="80"/>
  <c r="J413" i="80"/>
  <c r="N16" i="80"/>
  <c r="D23" i="80"/>
  <c r="H23" i="80"/>
  <c r="L23" i="80"/>
  <c r="B23" i="80"/>
  <c r="F112" i="80"/>
  <c r="J112" i="80"/>
  <c r="N112" i="80"/>
  <c r="N114" i="80"/>
  <c r="N126" i="80"/>
  <c r="N143" i="80"/>
  <c r="M360" i="80"/>
  <c r="E113" i="80"/>
  <c r="I113" i="80"/>
  <c r="M113" i="80"/>
  <c r="F302" i="80"/>
  <c r="J302" i="80"/>
  <c r="D337" i="80"/>
  <c r="D338" i="80"/>
  <c r="D344" i="80"/>
  <c r="D356" i="80"/>
  <c r="C363" i="80"/>
  <c r="H337" i="80"/>
  <c r="H338" i="80"/>
  <c r="H344" i="80"/>
  <c r="H356" i="80"/>
  <c r="G363" i="80"/>
  <c r="L337" i="80"/>
  <c r="L338" i="80"/>
  <c r="L344" i="80"/>
  <c r="L356" i="80"/>
  <c r="K363" i="80"/>
  <c r="B394" i="80"/>
  <c r="F394" i="80"/>
  <c r="J394" i="80"/>
  <c r="E396" i="80"/>
  <c r="E398" i="80"/>
  <c r="I396" i="80"/>
  <c r="I398" i="80"/>
  <c r="M396" i="80"/>
  <c r="M398" i="80"/>
  <c r="D397" i="80"/>
  <c r="E397" i="80"/>
  <c r="H397" i="80"/>
  <c r="I397" i="80"/>
  <c r="L397" i="80"/>
  <c r="M397" i="80"/>
  <c r="N397" i="80"/>
  <c r="D402" i="80"/>
  <c r="H402" i="80"/>
  <c r="L402" i="80"/>
  <c r="C403" i="80"/>
  <c r="G403" i="80"/>
  <c r="K403" i="80"/>
  <c r="B404" i="80"/>
  <c r="F404" i="80"/>
  <c r="J404" i="80"/>
  <c r="E405" i="80"/>
  <c r="I405" i="80"/>
  <c r="M405" i="80"/>
  <c r="C426" i="80"/>
  <c r="C428" i="80"/>
  <c r="C435" i="80"/>
  <c r="C439" i="80"/>
  <c r="G426" i="80"/>
  <c r="G428" i="80"/>
  <c r="G435" i="80"/>
  <c r="G439" i="80"/>
  <c r="K426" i="80"/>
  <c r="K428" i="80"/>
  <c r="K435" i="80"/>
  <c r="K439" i="80"/>
  <c r="C23" i="80"/>
  <c r="G23" i="80"/>
  <c r="K23" i="80"/>
  <c r="N29" i="80"/>
  <c r="E112" i="80"/>
  <c r="E114" i="80"/>
  <c r="E126" i="80"/>
  <c r="E143" i="80"/>
  <c r="D360" i="80"/>
  <c r="I112" i="80"/>
  <c r="M112" i="80"/>
  <c r="D113" i="80"/>
  <c r="H113" i="80"/>
  <c r="L113" i="80"/>
  <c r="N165" i="80"/>
  <c r="N170" i="80"/>
  <c r="N173" i="80"/>
  <c r="N189" i="80"/>
  <c r="M226" i="80"/>
  <c r="N224" i="80"/>
  <c r="N229" i="80"/>
  <c r="N232" i="80"/>
  <c r="E302" i="80"/>
  <c r="I302" i="80"/>
  <c r="M302" i="80"/>
  <c r="C337" i="80"/>
  <c r="G337" i="80"/>
  <c r="G338" i="80"/>
  <c r="G344" i="80"/>
  <c r="G356" i="80"/>
  <c r="F363" i="80"/>
  <c r="K337" i="80"/>
  <c r="K338" i="80"/>
  <c r="K344" i="80"/>
  <c r="K356" i="80"/>
  <c r="J363" i="80"/>
  <c r="E394" i="80"/>
  <c r="I394" i="80"/>
  <c r="M394" i="80"/>
  <c r="D396" i="80"/>
  <c r="D398" i="80"/>
  <c r="H396" i="80"/>
  <c r="H398" i="80"/>
  <c r="L396" i="80"/>
  <c r="L398" i="80"/>
  <c r="M399" i="80"/>
  <c r="C402" i="80"/>
  <c r="G402" i="80"/>
  <c r="K402" i="80"/>
  <c r="B403" i="80"/>
  <c r="F403" i="80"/>
  <c r="J403" i="80"/>
  <c r="E404" i="80"/>
  <c r="I404" i="80"/>
  <c r="M404" i="80"/>
  <c r="D405" i="80"/>
  <c r="H405" i="80"/>
  <c r="L405" i="80"/>
  <c r="D112" i="80"/>
  <c r="H112" i="80"/>
  <c r="L112" i="80"/>
  <c r="L114" i="80"/>
  <c r="L126" i="80"/>
  <c r="L143" i="80"/>
  <c r="K360" i="80"/>
  <c r="C113" i="80"/>
  <c r="G113" i="80"/>
  <c r="K113" i="80"/>
  <c r="K114" i="80"/>
  <c r="K126" i="80"/>
  <c r="K143" i="80"/>
  <c r="J360" i="80"/>
  <c r="D302" i="80"/>
  <c r="H302" i="80"/>
  <c r="L302" i="80"/>
  <c r="N306" i="80"/>
  <c r="F337" i="80"/>
  <c r="F338" i="80"/>
  <c r="F344" i="80"/>
  <c r="F356" i="80"/>
  <c r="E363" i="80"/>
  <c r="J337" i="80"/>
  <c r="J338" i="80"/>
  <c r="J344" i="80"/>
  <c r="J356" i="80"/>
  <c r="I363" i="80"/>
  <c r="N337" i="80"/>
  <c r="N338" i="80"/>
  <c r="N344" i="80"/>
  <c r="N356" i="80"/>
  <c r="M363" i="80"/>
  <c r="B402" i="80"/>
  <c r="F402" i="80"/>
  <c r="J402" i="80"/>
  <c r="E403" i="80"/>
  <c r="I403" i="80"/>
  <c r="M403" i="80"/>
  <c r="D404" i="80"/>
  <c r="H404" i="80"/>
  <c r="L404" i="80"/>
  <c r="C405" i="80"/>
  <c r="G405" i="80"/>
  <c r="K405" i="80"/>
  <c r="E426" i="80"/>
  <c r="E428" i="80"/>
  <c r="E435" i="80"/>
  <c r="E439" i="80"/>
  <c r="I426" i="80"/>
  <c r="I428" i="80"/>
  <c r="I435" i="80"/>
  <c r="I439" i="80"/>
  <c r="E23" i="80"/>
  <c r="G24" i="80"/>
  <c r="I23" i="80"/>
  <c r="M23" i="80"/>
  <c r="C112" i="80"/>
  <c r="G112" i="80"/>
  <c r="F113" i="80"/>
  <c r="J113" i="80"/>
  <c r="C302" i="80"/>
  <c r="G302" i="80"/>
  <c r="K302" i="80"/>
  <c r="M303" i="80"/>
  <c r="E337" i="80"/>
  <c r="E338" i="80"/>
  <c r="E344" i="80"/>
  <c r="E356" i="80"/>
  <c r="D363" i="80"/>
  <c r="I337" i="80"/>
  <c r="I338" i="80"/>
  <c r="I344" i="80"/>
  <c r="I356" i="80"/>
  <c r="H363" i="80"/>
  <c r="B396" i="80"/>
  <c r="F396" i="80"/>
  <c r="F398" i="80"/>
  <c r="J396" i="80"/>
  <c r="J398" i="80"/>
  <c r="M224" i="53"/>
  <c r="M234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103" i="75"/>
  <c r="A103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102" i="75"/>
  <c r="A102" i="75"/>
  <c r="N101" i="75"/>
  <c r="M101" i="75"/>
  <c r="L101" i="75"/>
  <c r="K101" i="75"/>
  <c r="J101" i="75"/>
  <c r="I101" i="75"/>
  <c r="H101" i="75"/>
  <c r="G101" i="75"/>
  <c r="F101" i="75"/>
  <c r="E101" i="75"/>
  <c r="D101" i="75"/>
  <c r="C101" i="75"/>
  <c r="B101" i="75"/>
  <c r="A101" i="75"/>
  <c r="N100" i="75"/>
  <c r="L100" i="75"/>
  <c r="K100" i="75"/>
  <c r="J100" i="75"/>
  <c r="I100" i="75"/>
  <c r="H100" i="75"/>
  <c r="G100" i="75"/>
  <c r="F100" i="75"/>
  <c r="B100" i="75"/>
  <c r="A100" i="75"/>
  <c r="N99" i="75"/>
  <c r="L99" i="75"/>
  <c r="K99" i="75"/>
  <c r="J99" i="75"/>
  <c r="I99" i="75"/>
  <c r="H99" i="75"/>
  <c r="G99" i="75"/>
  <c r="F99" i="75"/>
  <c r="D99" i="75"/>
  <c r="C99" i="75"/>
  <c r="B99" i="75"/>
  <c r="A99" i="75"/>
  <c r="N98" i="75"/>
  <c r="L98" i="75"/>
  <c r="K98" i="75"/>
  <c r="J98" i="75"/>
  <c r="I98" i="75"/>
  <c r="H98" i="75"/>
  <c r="G98" i="75"/>
  <c r="F98" i="75"/>
  <c r="D98" i="75"/>
  <c r="C98" i="75"/>
  <c r="B98" i="75"/>
  <c r="A98" i="75"/>
  <c r="N97" i="75"/>
  <c r="L97" i="75"/>
  <c r="K97" i="75"/>
  <c r="J97" i="75"/>
  <c r="I97" i="75"/>
  <c r="H97" i="75"/>
  <c r="G97" i="75"/>
  <c r="F97" i="75"/>
  <c r="D97" i="75"/>
  <c r="C97" i="75"/>
  <c r="B97" i="75"/>
  <c r="A97" i="75"/>
  <c r="N96" i="75"/>
  <c r="L96" i="75"/>
  <c r="K96" i="75"/>
  <c r="J96" i="75"/>
  <c r="I96" i="75"/>
  <c r="H96" i="75"/>
  <c r="G96" i="75"/>
  <c r="F96" i="75"/>
  <c r="D96" i="75"/>
  <c r="C96" i="75"/>
  <c r="B96" i="75"/>
  <c r="A96" i="75"/>
  <c r="N95" i="75"/>
  <c r="L95" i="75"/>
  <c r="K95" i="75"/>
  <c r="J95" i="75"/>
  <c r="I95" i="75"/>
  <c r="H95" i="75"/>
  <c r="G95" i="75"/>
  <c r="F95" i="75"/>
  <c r="D95" i="75"/>
  <c r="C95" i="75"/>
  <c r="B95" i="75"/>
  <c r="A95" i="75"/>
  <c r="N94" i="75"/>
  <c r="L94" i="75"/>
  <c r="K94" i="75"/>
  <c r="J94" i="75"/>
  <c r="I94" i="75"/>
  <c r="H94" i="75"/>
  <c r="G94" i="75"/>
  <c r="F94" i="75"/>
  <c r="D94" i="75"/>
  <c r="C94" i="75"/>
  <c r="B94" i="75"/>
  <c r="A94" i="75"/>
  <c r="N93" i="75"/>
  <c r="L93" i="75"/>
  <c r="K93" i="75"/>
  <c r="J93" i="75"/>
  <c r="I93" i="75"/>
  <c r="H93" i="75"/>
  <c r="G93" i="75"/>
  <c r="F93" i="75"/>
  <c r="D93" i="75"/>
  <c r="C93" i="75"/>
  <c r="B93" i="75"/>
  <c r="A93" i="75"/>
  <c r="N92" i="75"/>
  <c r="L92" i="75"/>
  <c r="K92" i="75"/>
  <c r="J92" i="75"/>
  <c r="I92" i="75"/>
  <c r="H92" i="75"/>
  <c r="G92" i="75"/>
  <c r="F92" i="75"/>
  <c r="D92" i="75"/>
  <c r="C92" i="75"/>
  <c r="B92" i="75"/>
  <c r="A92" i="75"/>
  <c r="N91" i="75"/>
  <c r="L91" i="75"/>
  <c r="K91" i="75"/>
  <c r="J91" i="75"/>
  <c r="I91" i="75"/>
  <c r="H91" i="75"/>
  <c r="G91" i="75"/>
  <c r="F91" i="75"/>
  <c r="D91" i="75"/>
  <c r="C91" i="75"/>
  <c r="B91" i="75"/>
  <c r="A91" i="75"/>
  <c r="N90" i="75"/>
  <c r="L90" i="75"/>
  <c r="K90" i="75"/>
  <c r="J90" i="75"/>
  <c r="I90" i="75"/>
  <c r="H90" i="75"/>
  <c r="G90" i="75"/>
  <c r="F90" i="75"/>
  <c r="D90" i="75"/>
  <c r="C90" i="75"/>
  <c r="B90" i="75"/>
  <c r="A90" i="75"/>
  <c r="N89" i="75"/>
  <c r="L89" i="75"/>
  <c r="K89" i="75"/>
  <c r="J89" i="75"/>
  <c r="I89" i="75"/>
  <c r="H89" i="75"/>
  <c r="G89" i="75"/>
  <c r="F89" i="75"/>
  <c r="D89" i="75"/>
  <c r="C89" i="75"/>
  <c r="B89" i="75"/>
  <c r="A89" i="75"/>
  <c r="N88" i="75"/>
  <c r="L88" i="75"/>
  <c r="K88" i="75"/>
  <c r="J88" i="75"/>
  <c r="I88" i="75"/>
  <c r="H88" i="75"/>
  <c r="G88" i="75"/>
  <c r="F88" i="75"/>
  <c r="D88" i="75"/>
  <c r="C88" i="75"/>
  <c r="B88" i="75"/>
  <c r="A88" i="75"/>
  <c r="N87" i="75"/>
  <c r="L87" i="75"/>
  <c r="K87" i="75"/>
  <c r="J87" i="75"/>
  <c r="I87" i="75"/>
  <c r="H87" i="75"/>
  <c r="G87" i="75"/>
  <c r="F87" i="75"/>
  <c r="D87" i="75"/>
  <c r="C87" i="75"/>
  <c r="B87" i="75"/>
  <c r="A87" i="75"/>
  <c r="N86" i="75"/>
  <c r="L86" i="75"/>
  <c r="K86" i="75"/>
  <c r="J86" i="75"/>
  <c r="I86" i="75"/>
  <c r="H86" i="75"/>
  <c r="G86" i="75"/>
  <c r="F86" i="75"/>
  <c r="D86" i="75"/>
  <c r="C86" i="75"/>
  <c r="B86" i="75"/>
  <c r="A86" i="75"/>
  <c r="N85" i="75"/>
  <c r="L85" i="75"/>
  <c r="K85" i="75"/>
  <c r="J85" i="75"/>
  <c r="I85" i="75"/>
  <c r="H85" i="75"/>
  <c r="G85" i="75"/>
  <c r="F85" i="75"/>
  <c r="D85" i="75"/>
  <c r="C85" i="75"/>
  <c r="B85" i="75"/>
  <c r="A85" i="75"/>
  <c r="N84" i="75"/>
  <c r="L84" i="75"/>
  <c r="K84" i="75"/>
  <c r="J84" i="75"/>
  <c r="I84" i="75"/>
  <c r="H84" i="75"/>
  <c r="G84" i="75"/>
  <c r="F84" i="75"/>
  <c r="D84" i="75"/>
  <c r="C84" i="75"/>
  <c r="B84" i="75"/>
  <c r="A84" i="75"/>
  <c r="N83" i="75"/>
  <c r="L83" i="75"/>
  <c r="K83" i="75"/>
  <c r="J83" i="75"/>
  <c r="I83" i="75"/>
  <c r="H83" i="75"/>
  <c r="G83" i="75"/>
  <c r="F83" i="75"/>
  <c r="D83" i="75"/>
  <c r="C83" i="75"/>
  <c r="B83" i="75"/>
  <c r="A83" i="75"/>
  <c r="N82" i="75"/>
  <c r="L82" i="75"/>
  <c r="K82" i="75"/>
  <c r="J82" i="75"/>
  <c r="I82" i="75"/>
  <c r="H82" i="75"/>
  <c r="G82" i="75"/>
  <c r="F82" i="75"/>
  <c r="D82" i="75"/>
  <c r="C82" i="75"/>
  <c r="B82" i="75"/>
  <c r="A82" i="75"/>
  <c r="N81" i="75"/>
  <c r="L81" i="75"/>
  <c r="K81" i="75"/>
  <c r="J81" i="75"/>
  <c r="I81" i="75"/>
  <c r="H81" i="75"/>
  <c r="G81" i="75"/>
  <c r="F81" i="75"/>
  <c r="D81" i="75"/>
  <c r="C81" i="75"/>
  <c r="B81" i="75"/>
  <c r="A81" i="75"/>
  <c r="N80" i="75"/>
  <c r="L80" i="75"/>
  <c r="K80" i="75"/>
  <c r="J80" i="75"/>
  <c r="I80" i="75"/>
  <c r="H80" i="75"/>
  <c r="G80" i="75"/>
  <c r="F80" i="75"/>
  <c r="D80" i="75"/>
  <c r="C80" i="75"/>
  <c r="B80" i="75"/>
  <c r="A80" i="75"/>
  <c r="N79" i="75"/>
  <c r="L79" i="75"/>
  <c r="K79" i="75"/>
  <c r="J79" i="75"/>
  <c r="I79" i="75"/>
  <c r="H79" i="75"/>
  <c r="G79" i="75"/>
  <c r="F79" i="75"/>
  <c r="D79" i="75"/>
  <c r="C79" i="75"/>
  <c r="B79" i="75"/>
  <c r="A79" i="75"/>
  <c r="N78" i="75"/>
  <c r="L78" i="75"/>
  <c r="K78" i="75"/>
  <c r="J78" i="75"/>
  <c r="I78" i="75"/>
  <c r="H78" i="75"/>
  <c r="G78" i="75"/>
  <c r="F78" i="75"/>
  <c r="D78" i="75"/>
  <c r="C78" i="75"/>
  <c r="B78" i="75"/>
  <c r="A78" i="75"/>
  <c r="N77" i="75"/>
  <c r="L77" i="75"/>
  <c r="K77" i="75"/>
  <c r="J77" i="75"/>
  <c r="I77" i="75"/>
  <c r="H77" i="75"/>
  <c r="G77" i="75"/>
  <c r="F77" i="75"/>
  <c r="D77" i="75"/>
  <c r="C77" i="75"/>
  <c r="B77" i="75"/>
  <c r="A77" i="75"/>
  <c r="N76" i="75"/>
  <c r="L76" i="75"/>
  <c r="K76" i="75"/>
  <c r="J76" i="75"/>
  <c r="I76" i="75"/>
  <c r="H76" i="75"/>
  <c r="G76" i="75"/>
  <c r="F76" i="75"/>
  <c r="D76" i="75"/>
  <c r="C76" i="75"/>
  <c r="B76" i="75"/>
  <c r="A76" i="75"/>
  <c r="N75" i="75"/>
  <c r="L75" i="75"/>
  <c r="K75" i="75"/>
  <c r="J75" i="75"/>
  <c r="I75" i="75"/>
  <c r="H75" i="75"/>
  <c r="G75" i="75"/>
  <c r="F75" i="75"/>
  <c r="D75" i="75"/>
  <c r="C75" i="75"/>
  <c r="B75" i="75"/>
  <c r="A75" i="75"/>
  <c r="N74" i="75"/>
  <c r="L74" i="75"/>
  <c r="K74" i="75"/>
  <c r="J74" i="75"/>
  <c r="I74" i="75"/>
  <c r="H74" i="75"/>
  <c r="G74" i="75"/>
  <c r="F74" i="75"/>
  <c r="D74" i="75"/>
  <c r="C74" i="75"/>
  <c r="B74" i="75"/>
  <c r="A74" i="75"/>
  <c r="N73" i="75"/>
  <c r="M73" i="75"/>
  <c r="L73" i="75"/>
  <c r="K73" i="75"/>
  <c r="J73" i="75"/>
  <c r="I73" i="75"/>
  <c r="H73" i="75"/>
  <c r="G73" i="75"/>
  <c r="F73" i="75"/>
  <c r="E73" i="75"/>
  <c r="D73" i="75"/>
  <c r="C73" i="75"/>
  <c r="B73" i="75"/>
  <c r="A73" i="75"/>
  <c r="N72" i="75"/>
  <c r="M72" i="75"/>
  <c r="L72" i="75"/>
  <c r="K72" i="75"/>
  <c r="J72" i="75"/>
  <c r="I72" i="75"/>
  <c r="H72" i="75"/>
  <c r="G72" i="75"/>
  <c r="B72" i="75"/>
  <c r="A72" i="75"/>
  <c r="N71" i="75"/>
  <c r="M71" i="75"/>
  <c r="L71" i="75"/>
  <c r="K71" i="75"/>
  <c r="J71" i="75"/>
  <c r="I71" i="75"/>
  <c r="H71" i="75"/>
  <c r="G71" i="75"/>
  <c r="F71" i="75"/>
  <c r="E71" i="75"/>
  <c r="D71" i="75"/>
  <c r="C71" i="75"/>
  <c r="B71" i="75"/>
  <c r="A71" i="75"/>
  <c r="N70" i="75"/>
  <c r="M70" i="75"/>
  <c r="L70" i="75"/>
  <c r="K70" i="75"/>
  <c r="J70" i="75"/>
  <c r="I70" i="75"/>
  <c r="E70" i="75"/>
  <c r="D70" i="75"/>
  <c r="C70" i="75"/>
  <c r="B70" i="75"/>
  <c r="A70" i="75"/>
  <c r="N69" i="75"/>
  <c r="M69" i="75"/>
  <c r="L69" i="75"/>
  <c r="K69" i="75"/>
  <c r="J69" i="75"/>
  <c r="I69" i="75"/>
  <c r="H69" i="75"/>
  <c r="E69" i="75"/>
  <c r="D69" i="75"/>
  <c r="C69" i="75"/>
  <c r="B69" i="75"/>
  <c r="A69" i="75"/>
  <c r="N68" i="75"/>
  <c r="M68" i="75"/>
  <c r="L68" i="75"/>
  <c r="K68" i="75"/>
  <c r="J68" i="75"/>
  <c r="I68" i="75"/>
  <c r="H68" i="75"/>
  <c r="G68" i="75"/>
  <c r="F68" i="75"/>
  <c r="E68" i="75"/>
  <c r="D68" i="75"/>
  <c r="C68" i="75"/>
  <c r="B68" i="75"/>
  <c r="A68" i="75"/>
  <c r="N67" i="75"/>
  <c r="M67" i="75"/>
  <c r="L67" i="75"/>
  <c r="K67" i="75"/>
  <c r="J67" i="75"/>
  <c r="I67" i="75"/>
  <c r="H67" i="75"/>
  <c r="G67" i="75"/>
  <c r="F67" i="75"/>
  <c r="E67" i="75"/>
  <c r="D67" i="75"/>
  <c r="C67" i="75"/>
  <c r="B67" i="75"/>
  <c r="A67" i="75"/>
  <c r="N66" i="75"/>
  <c r="M66" i="75"/>
  <c r="L66" i="75"/>
  <c r="K66" i="75"/>
  <c r="J66" i="75"/>
  <c r="I66" i="75"/>
  <c r="H66" i="75"/>
  <c r="G66" i="75"/>
  <c r="F66" i="75"/>
  <c r="E66" i="75"/>
  <c r="D66" i="75"/>
  <c r="C66" i="75"/>
  <c r="B66" i="75"/>
  <c r="A66" i="75"/>
  <c r="N65" i="75"/>
  <c r="M65" i="75"/>
  <c r="L65" i="75"/>
  <c r="K65" i="75"/>
  <c r="J65" i="75"/>
  <c r="I65" i="75"/>
  <c r="H65" i="75"/>
  <c r="G65" i="75"/>
  <c r="F65" i="75"/>
  <c r="E65" i="75"/>
  <c r="D65" i="75"/>
  <c r="C65" i="75"/>
  <c r="B65" i="75"/>
  <c r="A65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64" i="75"/>
  <c r="A64" i="75"/>
  <c r="N63" i="75"/>
  <c r="M63" i="75"/>
  <c r="L63" i="75"/>
  <c r="K63" i="75"/>
  <c r="J63" i="75"/>
  <c r="I63" i="75"/>
  <c r="H63" i="75"/>
  <c r="G63" i="75"/>
  <c r="F63" i="75"/>
  <c r="E63" i="75"/>
  <c r="D63" i="75"/>
  <c r="C63" i="75"/>
  <c r="B63" i="75"/>
  <c r="A63" i="75"/>
  <c r="N62" i="75"/>
  <c r="M62" i="75"/>
  <c r="L62" i="75"/>
  <c r="K62" i="75"/>
  <c r="J62" i="75"/>
  <c r="I62" i="75"/>
  <c r="H62" i="75"/>
  <c r="G62" i="75"/>
  <c r="F62" i="75"/>
  <c r="E62" i="75"/>
  <c r="D62" i="75"/>
  <c r="C62" i="75"/>
  <c r="B62" i="75"/>
  <c r="A62" i="75"/>
  <c r="N61" i="75"/>
  <c r="M61" i="75"/>
  <c r="L61" i="75"/>
  <c r="K61" i="75"/>
  <c r="J61" i="75"/>
  <c r="I61" i="75"/>
  <c r="H61" i="75"/>
  <c r="G61" i="75"/>
  <c r="F61" i="75"/>
  <c r="E61" i="75"/>
  <c r="D61" i="75"/>
  <c r="C61" i="75"/>
  <c r="B61" i="75"/>
  <c r="A61" i="75"/>
  <c r="N60" i="75"/>
  <c r="M60" i="75"/>
  <c r="L60" i="75"/>
  <c r="K60" i="75"/>
  <c r="J60" i="75"/>
  <c r="I60" i="75"/>
  <c r="H60" i="75"/>
  <c r="G60" i="75"/>
  <c r="F60" i="75"/>
  <c r="E60" i="75"/>
  <c r="D60" i="75"/>
  <c r="C60" i="75"/>
  <c r="B60" i="75"/>
  <c r="A60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59" i="75"/>
  <c r="A59" i="75"/>
  <c r="M234" i="74"/>
  <c r="F246" i="76"/>
  <c r="F247" i="78"/>
  <c r="N103" i="74"/>
  <c r="M103" i="74"/>
  <c r="N102" i="74"/>
  <c r="M102" i="74"/>
  <c r="N101" i="74"/>
  <c r="M101" i="74"/>
  <c r="N100" i="74"/>
  <c r="N99" i="74"/>
  <c r="N98" i="74"/>
  <c r="N97" i="74"/>
  <c r="N96" i="74"/>
  <c r="N95" i="74"/>
  <c r="N94" i="74"/>
  <c r="N93" i="74"/>
  <c r="N92" i="74"/>
  <c r="N91" i="74"/>
  <c r="N90" i="74"/>
  <c r="N89" i="74"/>
  <c r="N88" i="74"/>
  <c r="N87" i="74"/>
  <c r="N86" i="74"/>
  <c r="N85" i="74"/>
  <c r="N84" i="74"/>
  <c r="N83" i="74"/>
  <c r="N82" i="74"/>
  <c r="N81" i="74"/>
  <c r="N80" i="74"/>
  <c r="N79" i="74"/>
  <c r="N78" i="74"/>
  <c r="N77" i="74"/>
  <c r="N76" i="74"/>
  <c r="N75" i="74"/>
  <c r="M75" i="74"/>
  <c r="N74" i="74"/>
  <c r="N73" i="74"/>
  <c r="M73" i="74"/>
  <c r="L103" i="74"/>
  <c r="L102" i="74"/>
  <c r="L101" i="74"/>
  <c r="L100" i="74"/>
  <c r="L99" i="74"/>
  <c r="L98" i="74"/>
  <c r="L97" i="74"/>
  <c r="L96" i="74"/>
  <c r="L95" i="74"/>
  <c r="L94" i="74"/>
  <c r="L93" i="74"/>
  <c r="L92" i="74"/>
  <c r="L91" i="74"/>
  <c r="L90" i="74"/>
  <c r="L89" i="74"/>
  <c r="L88" i="74"/>
  <c r="L87" i="74"/>
  <c r="L86" i="74"/>
  <c r="L85" i="74"/>
  <c r="L84" i="74"/>
  <c r="L83" i="74"/>
  <c r="L82" i="74"/>
  <c r="L81" i="74"/>
  <c r="L80" i="74"/>
  <c r="L79" i="74"/>
  <c r="L78" i="74"/>
  <c r="L77" i="74"/>
  <c r="L76" i="74"/>
  <c r="L75" i="74"/>
  <c r="L73" i="74"/>
  <c r="K103" i="74"/>
  <c r="K102" i="74"/>
  <c r="K101" i="74"/>
  <c r="K100" i="74"/>
  <c r="K99" i="74"/>
  <c r="K98" i="74"/>
  <c r="K97" i="74"/>
  <c r="K96" i="74"/>
  <c r="K95" i="74"/>
  <c r="K94" i="74"/>
  <c r="K93" i="74"/>
  <c r="K92" i="74"/>
  <c r="K91" i="74"/>
  <c r="K90" i="74"/>
  <c r="K89" i="74"/>
  <c r="K88" i="74"/>
  <c r="K87" i="74"/>
  <c r="K86" i="74"/>
  <c r="K85" i="74"/>
  <c r="K84" i="74"/>
  <c r="K83" i="74"/>
  <c r="K82" i="74"/>
  <c r="K81" i="74"/>
  <c r="K80" i="74"/>
  <c r="K79" i="74"/>
  <c r="K78" i="74"/>
  <c r="K77" i="74"/>
  <c r="K76" i="74"/>
  <c r="K75" i="74"/>
  <c r="K73" i="74"/>
  <c r="J103" i="74"/>
  <c r="J102" i="74"/>
  <c r="J101" i="74"/>
  <c r="J100" i="74"/>
  <c r="J99" i="74"/>
  <c r="J98" i="74"/>
  <c r="J97" i="74"/>
  <c r="J96" i="74"/>
  <c r="J95" i="74"/>
  <c r="J94" i="74"/>
  <c r="J93" i="74"/>
  <c r="J92" i="74"/>
  <c r="J91" i="74"/>
  <c r="J90" i="74"/>
  <c r="J89" i="74"/>
  <c r="J88" i="74"/>
  <c r="J87" i="74"/>
  <c r="J86" i="74"/>
  <c r="J85" i="74"/>
  <c r="J84" i="74"/>
  <c r="J83" i="74"/>
  <c r="J82" i="74"/>
  <c r="J81" i="74"/>
  <c r="J80" i="74"/>
  <c r="J79" i="74"/>
  <c r="J78" i="74"/>
  <c r="J77" i="74"/>
  <c r="J76" i="74"/>
  <c r="J75" i="74"/>
  <c r="J73" i="74"/>
  <c r="I103" i="74"/>
  <c r="I102" i="74"/>
  <c r="I101" i="74"/>
  <c r="I100" i="74"/>
  <c r="I99" i="74"/>
  <c r="I98" i="74"/>
  <c r="I97" i="74"/>
  <c r="I96" i="74"/>
  <c r="I95" i="74"/>
  <c r="I94" i="74"/>
  <c r="I93" i="74"/>
  <c r="I92" i="74"/>
  <c r="I91" i="74"/>
  <c r="I90" i="74"/>
  <c r="I89" i="74"/>
  <c r="I88" i="74"/>
  <c r="I87" i="74"/>
  <c r="I86" i="74"/>
  <c r="I85" i="74"/>
  <c r="I84" i="74"/>
  <c r="I83" i="74"/>
  <c r="I82" i="74"/>
  <c r="I81" i="74"/>
  <c r="I80" i="74"/>
  <c r="I79" i="74"/>
  <c r="I78" i="74"/>
  <c r="I77" i="74"/>
  <c r="I76" i="74"/>
  <c r="I75" i="74"/>
  <c r="I74" i="74"/>
  <c r="I73" i="74"/>
  <c r="H103" i="74"/>
  <c r="H102" i="74"/>
  <c r="H101" i="74"/>
  <c r="H100" i="74"/>
  <c r="H99" i="74"/>
  <c r="H98" i="74"/>
  <c r="H97" i="74"/>
  <c r="H96" i="74"/>
  <c r="H95" i="74"/>
  <c r="H94" i="74"/>
  <c r="H93" i="74"/>
  <c r="H92" i="74"/>
  <c r="H91" i="74"/>
  <c r="H90" i="74"/>
  <c r="H89" i="74"/>
  <c r="H88" i="74"/>
  <c r="H87" i="74"/>
  <c r="H86" i="74"/>
  <c r="H85" i="74"/>
  <c r="H84" i="74"/>
  <c r="H83" i="74"/>
  <c r="H82" i="74"/>
  <c r="H81" i="74"/>
  <c r="H80" i="74"/>
  <c r="H79" i="74"/>
  <c r="H78" i="74"/>
  <c r="H77" i="74"/>
  <c r="H76" i="74"/>
  <c r="H75" i="74"/>
  <c r="H74" i="74"/>
  <c r="H73" i="74"/>
  <c r="G103" i="74"/>
  <c r="G102" i="74"/>
  <c r="G101" i="74"/>
  <c r="G100" i="74"/>
  <c r="G99" i="74"/>
  <c r="G98" i="74"/>
  <c r="G97" i="74"/>
  <c r="G96" i="74"/>
  <c r="G95" i="74"/>
  <c r="G94" i="74"/>
  <c r="G93" i="74"/>
  <c r="G92" i="74"/>
  <c r="G91" i="74"/>
  <c r="G90" i="74"/>
  <c r="G89" i="74"/>
  <c r="G88" i="74"/>
  <c r="G87" i="74"/>
  <c r="G86" i="74"/>
  <c r="G85" i="74"/>
  <c r="G84" i="74"/>
  <c r="G83" i="74"/>
  <c r="G82" i="74"/>
  <c r="G81" i="74"/>
  <c r="G80" i="74"/>
  <c r="G79" i="74"/>
  <c r="G78" i="74"/>
  <c r="G77" i="74"/>
  <c r="G76" i="74"/>
  <c r="G75" i="74"/>
  <c r="G74" i="74"/>
  <c r="G73" i="74"/>
  <c r="F103" i="74"/>
  <c r="F102" i="74"/>
  <c r="F101" i="74"/>
  <c r="F100" i="74"/>
  <c r="F99" i="74"/>
  <c r="F98" i="74"/>
  <c r="F97" i="74"/>
  <c r="F96" i="74"/>
  <c r="F95" i="74"/>
  <c r="F94" i="74"/>
  <c r="F93" i="74"/>
  <c r="F92" i="74"/>
  <c r="F91" i="74"/>
  <c r="F90" i="74"/>
  <c r="F89" i="74"/>
  <c r="F88" i="74"/>
  <c r="F87" i="74"/>
  <c r="F86" i="74"/>
  <c r="F85" i="74"/>
  <c r="F84" i="74"/>
  <c r="F83" i="74"/>
  <c r="F82" i="74"/>
  <c r="F81" i="74"/>
  <c r="F80" i="74"/>
  <c r="F79" i="74"/>
  <c r="F78" i="74"/>
  <c r="F77" i="74"/>
  <c r="F76" i="74"/>
  <c r="F75" i="74"/>
  <c r="F74" i="74"/>
  <c r="F73" i="74"/>
  <c r="E103" i="74"/>
  <c r="E102" i="74"/>
  <c r="E101" i="74"/>
  <c r="E100" i="74"/>
  <c r="E73" i="74"/>
  <c r="D103" i="74"/>
  <c r="D102" i="74"/>
  <c r="D101" i="74"/>
  <c r="D100" i="74"/>
  <c r="D99" i="74"/>
  <c r="D98" i="74"/>
  <c r="D97" i="74"/>
  <c r="D96" i="74"/>
  <c r="D95" i="74"/>
  <c r="D94" i="74"/>
  <c r="D93" i="74"/>
  <c r="D92" i="74"/>
  <c r="D91" i="74"/>
  <c r="D90" i="74"/>
  <c r="D89" i="74"/>
  <c r="D88" i="74"/>
  <c r="D87" i="74"/>
  <c r="D86" i="74"/>
  <c r="D85" i="74"/>
  <c r="D84" i="74"/>
  <c r="D83" i="74"/>
  <c r="D82" i="74"/>
  <c r="D81" i="74"/>
  <c r="D80" i="74"/>
  <c r="D79" i="74"/>
  <c r="D78" i="74"/>
  <c r="D77" i="74"/>
  <c r="D76" i="74"/>
  <c r="C103" i="74"/>
  <c r="C102" i="74"/>
  <c r="C101" i="74"/>
  <c r="C100" i="74"/>
  <c r="C99" i="74"/>
  <c r="C98" i="74"/>
  <c r="C97" i="74"/>
  <c r="C96" i="74"/>
  <c r="C95" i="74"/>
  <c r="C94" i="74"/>
  <c r="C93" i="74"/>
  <c r="C92" i="74"/>
  <c r="C91" i="74"/>
  <c r="C90" i="74"/>
  <c r="C89" i="74"/>
  <c r="C88" i="74"/>
  <c r="C87" i="74"/>
  <c r="C86" i="74"/>
  <c r="C85" i="74"/>
  <c r="C84" i="74"/>
  <c r="C83" i="74"/>
  <c r="C82" i="74"/>
  <c r="C81" i="74"/>
  <c r="C80" i="74"/>
  <c r="C79" i="74"/>
  <c r="C78" i="74"/>
  <c r="C77" i="74"/>
  <c r="C76" i="74"/>
  <c r="B103" i="74"/>
  <c r="B102" i="74"/>
  <c r="B101" i="74"/>
  <c r="B100" i="74"/>
  <c r="B99" i="74"/>
  <c r="B98" i="74"/>
  <c r="B97" i="74"/>
  <c r="B96" i="74"/>
  <c r="B95" i="74"/>
  <c r="B94" i="74"/>
  <c r="B93" i="74"/>
  <c r="B92" i="74"/>
  <c r="B91" i="74"/>
  <c r="B90" i="74"/>
  <c r="B89" i="74"/>
  <c r="B88" i="74"/>
  <c r="B87" i="74"/>
  <c r="B86" i="74"/>
  <c r="B85" i="74"/>
  <c r="B84" i="74"/>
  <c r="B83" i="74"/>
  <c r="B82" i="74"/>
  <c r="B81" i="74"/>
  <c r="B80" i="74"/>
  <c r="B79" i="74"/>
  <c r="B78" i="74"/>
  <c r="B77" i="74"/>
  <c r="B76" i="74"/>
  <c r="A103" i="74"/>
  <c r="A102" i="74"/>
  <c r="A101" i="74"/>
  <c r="A100" i="74"/>
  <c r="A99" i="74"/>
  <c r="A98" i="74"/>
  <c r="A97" i="74"/>
  <c r="A96" i="74"/>
  <c r="A95" i="74"/>
  <c r="A94" i="74"/>
  <c r="A93" i="74"/>
  <c r="A92" i="74"/>
  <c r="A91" i="74"/>
  <c r="A90" i="74"/>
  <c r="A89" i="74"/>
  <c r="A88" i="74"/>
  <c r="A87" i="74"/>
  <c r="A86" i="74"/>
  <c r="A85" i="74"/>
  <c r="A84" i="74"/>
  <c r="A83" i="74"/>
  <c r="A82" i="74"/>
  <c r="A81" i="74"/>
  <c r="A80" i="74"/>
  <c r="A79" i="74"/>
  <c r="A78" i="74"/>
  <c r="A77" i="74"/>
  <c r="A76" i="74"/>
  <c r="A75" i="74"/>
  <c r="A74" i="74"/>
  <c r="A73" i="74"/>
  <c r="A72" i="74"/>
  <c r="A71" i="74"/>
  <c r="A70" i="74"/>
  <c r="A69" i="74"/>
  <c r="A68" i="74"/>
  <c r="D75" i="74"/>
  <c r="C75" i="74"/>
  <c r="B75" i="74"/>
  <c r="B74" i="74"/>
  <c r="B73" i="74"/>
  <c r="B72" i="74"/>
  <c r="B71" i="74"/>
  <c r="B70" i="74"/>
  <c r="B69" i="74"/>
  <c r="B68" i="74"/>
  <c r="D74" i="74"/>
  <c r="C74" i="74"/>
  <c r="C73" i="74"/>
  <c r="C72" i="74"/>
  <c r="C71" i="74"/>
  <c r="C70" i="74"/>
  <c r="C69" i="74"/>
  <c r="C68" i="74"/>
  <c r="N72" i="74"/>
  <c r="I72" i="74"/>
  <c r="H72" i="74"/>
  <c r="G72" i="74"/>
  <c r="M72" i="74"/>
  <c r="L72" i="74"/>
  <c r="K72" i="74"/>
  <c r="J72" i="74"/>
  <c r="D73" i="74"/>
  <c r="D72" i="74"/>
  <c r="D71" i="74"/>
  <c r="D70" i="74"/>
  <c r="D69" i="74"/>
  <c r="D68" i="74"/>
  <c r="F72" i="74"/>
  <c r="E72" i="74"/>
  <c r="E71" i="74"/>
  <c r="E70" i="74"/>
  <c r="E69" i="74"/>
  <c r="E68" i="74"/>
  <c r="N71" i="74"/>
  <c r="M71" i="74"/>
  <c r="L71" i="74"/>
  <c r="K71" i="74"/>
  <c r="J71" i="74"/>
  <c r="I71" i="74"/>
  <c r="H71" i="74"/>
  <c r="G71" i="74"/>
  <c r="F71" i="74"/>
  <c r="F70" i="74"/>
  <c r="F69" i="74"/>
  <c r="F68" i="74"/>
  <c r="N70" i="74"/>
  <c r="M70" i="74"/>
  <c r="L70" i="74"/>
  <c r="K70" i="74"/>
  <c r="J70" i="74"/>
  <c r="I70" i="74"/>
  <c r="H70" i="74"/>
  <c r="G70" i="74"/>
  <c r="G69" i="74"/>
  <c r="G68" i="74"/>
  <c r="N69" i="74"/>
  <c r="M69" i="74"/>
  <c r="L69" i="74"/>
  <c r="K69" i="74"/>
  <c r="J69" i="74"/>
  <c r="I69" i="74"/>
  <c r="H69" i="74"/>
  <c r="H68" i="74"/>
  <c r="N68" i="74"/>
  <c r="M68" i="74"/>
  <c r="L68" i="74"/>
  <c r="K68" i="74"/>
  <c r="J68" i="74"/>
  <c r="I68" i="74"/>
  <c r="H67" i="74"/>
  <c r="H66" i="74"/>
  <c r="H65" i="74"/>
  <c r="H64" i="74"/>
  <c r="H63" i="74"/>
  <c r="H62" i="74"/>
  <c r="H61" i="74"/>
  <c r="H60" i="74"/>
  <c r="H59" i="74"/>
  <c r="G67" i="74"/>
  <c r="G66" i="74"/>
  <c r="G65" i="74"/>
  <c r="G64" i="74"/>
  <c r="G63" i="74"/>
  <c r="G62" i="74"/>
  <c r="G61" i="74"/>
  <c r="G60" i="74"/>
  <c r="G59" i="74"/>
  <c r="F67" i="74"/>
  <c r="F66" i="74"/>
  <c r="F65" i="74"/>
  <c r="F64" i="74"/>
  <c r="F63" i="74"/>
  <c r="F62" i="74"/>
  <c r="F61" i="74"/>
  <c r="F60" i="74"/>
  <c r="F59" i="74"/>
  <c r="E67" i="74"/>
  <c r="E66" i="74"/>
  <c r="E65" i="74"/>
  <c r="E64" i="74"/>
  <c r="E63" i="74"/>
  <c r="E62" i="74"/>
  <c r="E61" i="74"/>
  <c r="E60" i="74"/>
  <c r="E59" i="74"/>
  <c r="D67" i="74"/>
  <c r="D66" i="74"/>
  <c r="D65" i="74"/>
  <c r="D64" i="74"/>
  <c r="D63" i="74"/>
  <c r="D62" i="74"/>
  <c r="D61" i="74"/>
  <c r="D60" i="74"/>
  <c r="D59" i="74"/>
  <c r="C67" i="74"/>
  <c r="C66" i="74"/>
  <c r="C65" i="74"/>
  <c r="C64" i="74"/>
  <c r="C63" i="74"/>
  <c r="C62" i="74"/>
  <c r="C61" i="74"/>
  <c r="C60" i="74"/>
  <c r="C59" i="74"/>
  <c r="B67" i="74"/>
  <c r="B66" i="74"/>
  <c r="B65" i="74"/>
  <c r="B64" i="74"/>
  <c r="B63" i="74"/>
  <c r="B62" i="74"/>
  <c r="B61" i="74"/>
  <c r="B60" i="74"/>
  <c r="B59" i="74"/>
  <c r="A67" i="74"/>
  <c r="A66" i="74"/>
  <c r="A65" i="74"/>
  <c r="A64" i="74"/>
  <c r="A63" i="74"/>
  <c r="A62" i="74"/>
  <c r="A61" i="74"/>
  <c r="A60" i="74"/>
  <c r="A59" i="74"/>
  <c r="O107" i="76"/>
  <c r="N107" i="76"/>
  <c r="M107" i="76"/>
  <c r="L107" i="76"/>
  <c r="K107" i="76"/>
  <c r="J107" i="76"/>
  <c r="I107" i="76"/>
  <c r="H107" i="76"/>
  <c r="G107" i="76"/>
  <c r="F107" i="76"/>
  <c r="E107" i="76"/>
  <c r="D107" i="76"/>
  <c r="C107" i="76"/>
  <c r="B107" i="76"/>
  <c r="A107" i="76"/>
  <c r="O106" i="76"/>
  <c r="N106" i="76"/>
  <c r="M106" i="76"/>
  <c r="L106" i="76"/>
  <c r="K106" i="76"/>
  <c r="J106" i="76"/>
  <c r="I106" i="76"/>
  <c r="H106" i="76"/>
  <c r="G106" i="76"/>
  <c r="F106" i="76"/>
  <c r="E106" i="76"/>
  <c r="D106" i="76"/>
  <c r="C106" i="76"/>
  <c r="B106" i="76"/>
  <c r="A106" i="76"/>
  <c r="O105" i="76"/>
  <c r="N105" i="76"/>
  <c r="M105" i="76"/>
  <c r="L105" i="76"/>
  <c r="K105" i="76"/>
  <c r="J105" i="76"/>
  <c r="I105" i="76"/>
  <c r="H105" i="76"/>
  <c r="G105" i="76"/>
  <c r="F105" i="76"/>
  <c r="E105" i="76"/>
  <c r="D105" i="76"/>
  <c r="C105" i="76"/>
  <c r="B105" i="76"/>
  <c r="A105" i="76"/>
  <c r="O104" i="76"/>
  <c r="N104" i="76"/>
  <c r="M104" i="76"/>
  <c r="L104" i="76"/>
  <c r="K104" i="76"/>
  <c r="J104" i="76"/>
  <c r="I104" i="76"/>
  <c r="H104" i="76"/>
  <c r="G104" i="76"/>
  <c r="F104" i="76"/>
  <c r="E104" i="76"/>
  <c r="D104" i="76"/>
  <c r="C104" i="76"/>
  <c r="B104" i="76"/>
  <c r="A104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103" i="76"/>
  <c r="A103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B102" i="76"/>
  <c r="A102" i="76"/>
  <c r="O101" i="76"/>
  <c r="N101" i="76"/>
  <c r="M101" i="76"/>
  <c r="L101" i="76"/>
  <c r="K101" i="76"/>
  <c r="J101" i="76"/>
  <c r="I101" i="76"/>
  <c r="H101" i="76"/>
  <c r="G101" i="76"/>
  <c r="F101" i="76"/>
  <c r="E101" i="76"/>
  <c r="D101" i="76"/>
  <c r="C101" i="76"/>
  <c r="B101" i="76"/>
  <c r="A101" i="76"/>
  <c r="O100" i="76"/>
  <c r="N100" i="76"/>
  <c r="L100" i="76"/>
  <c r="K100" i="76"/>
  <c r="J100" i="76"/>
  <c r="I100" i="76"/>
  <c r="H100" i="76"/>
  <c r="G100" i="76"/>
  <c r="F100" i="76"/>
  <c r="B100" i="76"/>
  <c r="A100" i="76"/>
  <c r="O99" i="76"/>
  <c r="N99" i="76"/>
  <c r="L99" i="76"/>
  <c r="K99" i="76"/>
  <c r="J99" i="76"/>
  <c r="I99" i="76"/>
  <c r="H99" i="76"/>
  <c r="F99" i="76"/>
  <c r="D99" i="76"/>
  <c r="C99" i="76"/>
  <c r="B99" i="76"/>
  <c r="A99" i="76"/>
  <c r="O98" i="76"/>
  <c r="N98" i="76"/>
  <c r="L98" i="76"/>
  <c r="K98" i="76"/>
  <c r="J98" i="76"/>
  <c r="I98" i="76"/>
  <c r="H98" i="76"/>
  <c r="F98" i="76"/>
  <c r="D98" i="76"/>
  <c r="C98" i="76"/>
  <c r="B98" i="76"/>
  <c r="A98" i="76"/>
  <c r="O97" i="76"/>
  <c r="N97" i="76"/>
  <c r="L97" i="76"/>
  <c r="K97" i="76"/>
  <c r="J97" i="76"/>
  <c r="I97" i="76"/>
  <c r="H97" i="76"/>
  <c r="F97" i="76"/>
  <c r="D97" i="76"/>
  <c r="C97" i="76"/>
  <c r="B97" i="76"/>
  <c r="A97" i="76"/>
  <c r="O96" i="76"/>
  <c r="N96" i="76"/>
  <c r="L96" i="76"/>
  <c r="K96" i="76"/>
  <c r="J96" i="76"/>
  <c r="I96" i="76"/>
  <c r="H96" i="76"/>
  <c r="G96" i="76"/>
  <c r="F96" i="76"/>
  <c r="D96" i="76"/>
  <c r="C96" i="76"/>
  <c r="B96" i="76"/>
  <c r="A96" i="76"/>
  <c r="O95" i="76"/>
  <c r="N95" i="76"/>
  <c r="L95" i="76"/>
  <c r="K95" i="76"/>
  <c r="J95" i="76"/>
  <c r="I95" i="76"/>
  <c r="H95" i="76"/>
  <c r="F95" i="76"/>
  <c r="D95" i="76"/>
  <c r="C95" i="76"/>
  <c r="B95" i="76"/>
  <c r="A95" i="76"/>
  <c r="O94" i="76"/>
  <c r="N94" i="76"/>
  <c r="L94" i="76"/>
  <c r="K94" i="76"/>
  <c r="J94" i="76"/>
  <c r="I94" i="76"/>
  <c r="H94" i="76"/>
  <c r="F94" i="76"/>
  <c r="D94" i="76"/>
  <c r="C94" i="76"/>
  <c r="B94" i="76"/>
  <c r="A94" i="76"/>
  <c r="O93" i="76"/>
  <c r="N93" i="76"/>
  <c r="L93" i="76"/>
  <c r="K93" i="76"/>
  <c r="J93" i="76"/>
  <c r="I93" i="76"/>
  <c r="H93" i="76"/>
  <c r="F93" i="76"/>
  <c r="D93" i="76"/>
  <c r="C93" i="76"/>
  <c r="B93" i="76"/>
  <c r="A93" i="76"/>
  <c r="O92" i="76"/>
  <c r="N92" i="76"/>
  <c r="L92" i="76"/>
  <c r="K92" i="76"/>
  <c r="J92" i="76"/>
  <c r="I92" i="76"/>
  <c r="H92" i="76"/>
  <c r="F92" i="76"/>
  <c r="D92" i="76"/>
  <c r="C92" i="76"/>
  <c r="B92" i="76"/>
  <c r="A92" i="76"/>
  <c r="O91" i="76"/>
  <c r="N91" i="76"/>
  <c r="L91" i="76"/>
  <c r="K91" i="76"/>
  <c r="J91" i="76"/>
  <c r="I91" i="76"/>
  <c r="H91" i="76"/>
  <c r="F91" i="76"/>
  <c r="D91" i="76"/>
  <c r="C91" i="76"/>
  <c r="B91" i="76"/>
  <c r="A91" i="76"/>
  <c r="O90" i="76"/>
  <c r="N90" i="76"/>
  <c r="L90" i="76"/>
  <c r="K90" i="76"/>
  <c r="J90" i="76"/>
  <c r="I90" i="76"/>
  <c r="H90" i="76"/>
  <c r="F90" i="76"/>
  <c r="D90" i="76"/>
  <c r="C90" i="76"/>
  <c r="B90" i="76"/>
  <c r="A90" i="76"/>
  <c r="O89" i="76"/>
  <c r="N89" i="76"/>
  <c r="L89" i="76"/>
  <c r="K89" i="76"/>
  <c r="J89" i="76"/>
  <c r="I89" i="76"/>
  <c r="H89" i="76"/>
  <c r="F89" i="76"/>
  <c r="D89" i="76"/>
  <c r="C89" i="76"/>
  <c r="B89" i="76"/>
  <c r="A89" i="76"/>
  <c r="O88" i="76"/>
  <c r="N88" i="76"/>
  <c r="L88" i="76"/>
  <c r="K88" i="76"/>
  <c r="J88" i="76"/>
  <c r="I88" i="76"/>
  <c r="H88" i="76"/>
  <c r="F88" i="76"/>
  <c r="D88" i="76"/>
  <c r="C88" i="76"/>
  <c r="B88" i="76"/>
  <c r="A88" i="76"/>
  <c r="O87" i="76"/>
  <c r="N87" i="76"/>
  <c r="L87" i="76"/>
  <c r="K87" i="76"/>
  <c r="J87" i="76"/>
  <c r="I87" i="76"/>
  <c r="H87" i="76"/>
  <c r="F87" i="76"/>
  <c r="D87" i="76"/>
  <c r="C87" i="76"/>
  <c r="B87" i="76"/>
  <c r="A87" i="76"/>
  <c r="O86" i="76"/>
  <c r="N86" i="76"/>
  <c r="L86" i="76"/>
  <c r="K86" i="76"/>
  <c r="J86" i="76"/>
  <c r="I86" i="76"/>
  <c r="H86" i="76"/>
  <c r="G86" i="76"/>
  <c r="F86" i="76"/>
  <c r="D86" i="76"/>
  <c r="C86" i="76"/>
  <c r="B86" i="76"/>
  <c r="A86" i="76"/>
  <c r="O85" i="76"/>
  <c r="N85" i="76"/>
  <c r="L85" i="76"/>
  <c r="K85" i="76"/>
  <c r="J85" i="76"/>
  <c r="I85" i="76"/>
  <c r="H85" i="76"/>
  <c r="F85" i="76"/>
  <c r="D85" i="76"/>
  <c r="C85" i="76"/>
  <c r="B85" i="76"/>
  <c r="A85" i="76"/>
  <c r="O84" i="76"/>
  <c r="N84" i="76"/>
  <c r="L84" i="76"/>
  <c r="K84" i="76"/>
  <c r="J84" i="76"/>
  <c r="I84" i="76"/>
  <c r="H84" i="76"/>
  <c r="F84" i="76"/>
  <c r="D84" i="76"/>
  <c r="C84" i="76"/>
  <c r="B84" i="76"/>
  <c r="A84" i="76"/>
  <c r="O83" i="76"/>
  <c r="N83" i="76"/>
  <c r="L83" i="76"/>
  <c r="K83" i="76"/>
  <c r="J83" i="76"/>
  <c r="I83" i="76"/>
  <c r="H83" i="76"/>
  <c r="G83" i="76"/>
  <c r="F83" i="76"/>
  <c r="D83" i="76"/>
  <c r="C83" i="76"/>
  <c r="B83" i="76"/>
  <c r="A83" i="76"/>
  <c r="O82" i="76"/>
  <c r="N82" i="76"/>
  <c r="L82" i="76"/>
  <c r="K82" i="76"/>
  <c r="J82" i="76"/>
  <c r="I82" i="76"/>
  <c r="H82" i="76"/>
  <c r="F82" i="76"/>
  <c r="D82" i="76"/>
  <c r="C82" i="76"/>
  <c r="B82" i="76"/>
  <c r="A82" i="76"/>
  <c r="O81" i="76"/>
  <c r="N81" i="76"/>
  <c r="L81" i="76"/>
  <c r="K81" i="76"/>
  <c r="J81" i="76"/>
  <c r="I81" i="76"/>
  <c r="H81" i="76"/>
  <c r="G81" i="76"/>
  <c r="F81" i="76"/>
  <c r="D81" i="76"/>
  <c r="C81" i="76"/>
  <c r="B81" i="76"/>
  <c r="A81" i="76"/>
  <c r="O80" i="76"/>
  <c r="N80" i="76"/>
  <c r="L80" i="76"/>
  <c r="K80" i="76"/>
  <c r="J80" i="76"/>
  <c r="I80" i="76"/>
  <c r="H80" i="76"/>
  <c r="F80" i="76"/>
  <c r="D80" i="76"/>
  <c r="C80" i="76"/>
  <c r="B80" i="76"/>
  <c r="A80" i="76"/>
  <c r="O79" i="76"/>
  <c r="N79" i="76"/>
  <c r="L79" i="76"/>
  <c r="K79" i="76"/>
  <c r="J79" i="76"/>
  <c r="I79" i="76"/>
  <c r="H79" i="76"/>
  <c r="F79" i="76"/>
  <c r="D79" i="76"/>
  <c r="C79" i="76"/>
  <c r="B79" i="76"/>
  <c r="A79" i="76"/>
  <c r="O78" i="76"/>
  <c r="N78" i="76"/>
  <c r="L78" i="76"/>
  <c r="K78" i="76"/>
  <c r="J78" i="76"/>
  <c r="I78" i="76"/>
  <c r="H78" i="76"/>
  <c r="F78" i="76"/>
  <c r="D78" i="76"/>
  <c r="C78" i="76"/>
  <c r="B78" i="76"/>
  <c r="A78" i="76"/>
  <c r="O77" i="76"/>
  <c r="N77" i="76"/>
  <c r="L77" i="76"/>
  <c r="K77" i="76"/>
  <c r="J77" i="76"/>
  <c r="I77" i="76"/>
  <c r="H77" i="76"/>
  <c r="F77" i="76"/>
  <c r="D77" i="76"/>
  <c r="C77" i="76"/>
  <c r="B77" i="76"/>
  <c r="A77" i="76"/>
  <c r="O76" i="76"/>
  <c r="N76" i="76"/>
  <c r="L76" i="76"/>
  <c r="K76" i="76"/>
  <c r="J76" i="76"/>
  <c r="I76" i="76"/>
  <c r="H76" i="76"/>
  <c r="F76" i="76"/>
  <c r="D76" i="76"/>
  <c r="C76" i="76"/>
  <c r="B76" i="76"/>
  <c r="A76" i="76"/>
  <c r="O75" i="76"/>
  <c r="N75" i="76"/>
  <c r="M75" i="76"/>
  <c r="L75" i="76"/>
  <c r="K75" i="76"/>
  <c r="J75" i="76"/>
  <c r="I75" i="76"/>
  <c r="H75" i="76"/>
  <c r="F75" i="76"/>
  <c r="D75" i="76"/>
  <c r="C75" i="76"/>
  <c r="B75" i="76"/>
  <c r="A75" i="76"/>
  <c r="O74" i="76"/>
  <c r="N74" i="76"/>
  <c r="M74" i="76"/>
  <c r="L74" i="76"/>
  <c r="K74" i="76"/>
  <c r="J74" i="76"/>
  <c r="I74" i="76"/>
  <c r="H74" i="76"/>
  <c r="F74" i="76"/>
  <c r="D74" i="76"/>
  <c r="C74" i="76"/>
  <c r="B74" i="76"/>
  <c r="A74" i="76"/>
  <c r="O73" i="76"/>
  <c r="N73" i="76"/>
  <c r="M73" i="76"/>
  <c r="L73" i="76"/>
  <c r="K73" i="76"/>
  <c r="J73" i="76"/>
  <c r="I73" i="76"/>
  <c r="H73" i="76"/>
  <c r="G73" i="76"/>
  <c r="F73" i="76"/>
  <c r="E73" i="76"/>
  <c r="D73" i="76"/>
  <c r="C73" i="76"/>
  <c r="B73" i="76"/>
  <c r="A73" i="76"/>
  <c r="O72" i="76"/>
  <c r="J72" i="76"/>
  <c r="I72" i="76"/>
  <c r="H72" i="76"/>
  <c r="G72" i="76"/>
  <c r="B72" i="76"/>
  <c r="A72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C71" i="76"/>
  <c r="B71" i="76"/>
  <c r="A71" i="76"/>
  <c r="O70" i="76"/>
  <c r="E70" i="76"/>
  <c r="D70" i="76"/>
  <c r="C70" i="76"/>
  <c r="B70" i="76"/>
  <c r="A70" i="76"/>
  <c r="O69" i="76"/>
  <c r="E69" i="76"/>
  <c r="D69" i="76"/>
  <c r="C69" i="76"/>
  <c r="B69" i="76"/>
  <c r="A69" i="76"/>
  <c r="O68" i="76"/>
  <c r="E68" i="76"/>
  <c r="D68" i="76"/>
  <c r="C68" i="76"/>
  <c r="B68" i="76"/>
  <c r="A68" i="76"/>
  <c r="O67" i="76"/>
  <c r="E67" i="76"/>
  <c r="D67" i="76"/>
  <c r="C67" i="76"/>
  <c r="B67" i="76"/>
  <c r="A67" i="76"/>
  <c r="O66" i="76"/>
  <c r="E66" i="76"/>
  <c r="D66" i="76"/>
  <c r="C66" i="76"/>
  <c r="B66" i="76"/>
  <c r="A66" i="76"/>
  <c r="O65" i="76"/>
  <c r="E65" i="76"/>
  <c r="D65" i="76"/>
  <c r="C65" i="76"/>
  <c r="B65" i="76"/>
  <c r="A65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64" i="76"/>
  <c r="A64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C63" i="76"/>
  <c r="B63" i="76"/>
  <c r="A63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C62" i="76"/>
  <c r="B62" i="76"/>
  <c r="A62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C61" i="76"/>
  <c r="B61" i="76"/>
  <c r="A61" i="76"/>
  <c r="O60" i="76"/>
  <c r="N60" i="76"/>
  <c r="M60" i="76"/>
  <c r="L60" i="76"/>
  <c r="K60" i="76"/>
  <c r="J60" i="76"/>
  <c r="I60" i="76"/>
  <c r="H60" i="76"/>
  <c r="G60" i="76"/>
  <c r="F60" i="76"/>
  <c r="D60" i="76"/>
  <c r="C60" i="76"/>
  <c r="B60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59" i="76"/>
  <c r="A59" i="76"/>
  <c r="M108" i="78"/>
  <c r="L108" i="78"/>
  <c r="K108" i="78"/>
  <c r="I108" i="78"/>
  <c r="M107" i="78"/>
  <c r="L107" i="78"/>
  <c r="K107" i="78"/>
  <c r="I107" i="78"/>
  <c r="M106" i="78"/>
  <c r="L106" i="78"/>
  <c r="K106" i="78"/>
  <c r="I106" i="78"/>
  <c r="M105" i="78"/>
  <c r="L105" i="78"/>
  <c r="K105" i="78"/>
  <c r="J105" i="78"/>
  <c r="I105" i="78"/>
  <c r="E108" i="78"/>
  <c r="D108" i="78"/>
  <c r="C108" i="78"/>
  <c r="B108" i="78"/>
  <c r="A108" i="78"/>
  <c r="E107" i="78"/>
  <c r="D107" i="78"/>
  <c r="C107" i="78"/>
  <c r="B107" i="78"/>
  <c r="A107" i="78"/>
  <c r="E106" i="78"/>
  <c r="D106" i="78"/>
  <c r="C106" i="78"/>
  <c r="B106" i="78"/>
  <c r="A106" i="78"/>
  <c r="E105" i="78"/>
  <c r="D105" i="78"/>
  <c r="C105" i="78"/>
  <c r="B105" i="78"/>
  <c r="A105" i="78"/>
  <c r="L104" i="78"/>
  <c r="K104" i="78"/>
  <c r="J104" i="78"/>
  <c r="I104" i="78"/>
  <c r="H104" i="78"/>
  <c r="G104" i="78"/>
  <c r="F104" i="78"/>
  <c r="E104" i="78"/>
  <c r="D104" i="78"/>
  <c r="C104" i="78"/>
  <c r="B104" i="78"/>
  <c r="A104" i="78"/>
  <c r="N103" i="78"/>
  <c r="L103" i="78"/>
  <c r="K103" i="78"/>
  <c r="J103" i="78"/>
  <c r="I103" i="78"/>
  <c r="H103" i="78"/>
  <c r="G103" i="78"/>
  <c r="F103" i="78"/>
  <c r="E103" i="78"/>
  <c r="D103" i="78"/>
  <c r="C103" i="78"/>
  <c r="B103" i="78"/>
  <c r="A103" i="78"/>
  <c r="L102" i="78"/>
  <c r="K102" i="78"/>
  <c r="J102" i="78"/>
  <c r="I102" i="78"/>
  <c r="H102" i="78"/>
  <c r="G102" i="78"/>
  <c r="F102" i="78"/>
  <c r="D102" i="78"/>
  <c r="C102" i="78"/>
  <c r="B102" i="78"/>
  <c r="A102" i="78"/>
  <c r="N101" i="78"/>
  <c r="L101" i="78"/>
  <c r="K101" i="78"/>
  <c r="J101" i="78"/>
  <c r="I101" i="78"/>
  <c r="H101" i="78"/>
  <c r="G101" i="78"/>
  <c r="D101" i="78"/>
  <c r="C101" i="78"/>
  <c r="B101" i="78"/>
  <c r="A101" i="78"/>
  <c r="N100" i="78"/>
  <c r="L100" i="78"/>
  <c r="K100" i="78"/>
  <c r="J100" i="78"/>
  <c r="I100" i="78"/>
  <c r="H100" i="78"/>
  <c r="G100" i="78"/>
  <c r="F100" i="78"/>
  <c r="D100" i="78"/>
  <c r="C100" i="78"/>
  <c r="B100" i="78"/>
  <c r="A100" i="78"/>
  <c r="N99" i="78"/>
  <c r="L99" i="78"/>
  <c r="K99" i="78"/>
  <c r="J99" i="78"/>
  <c r="I99" i="78"/>
  <c r="H99" i="78"/>
  <c r="G99" i="78"/>
  <c r="F99" i="78"/>
  <c r="D99" i="78"/>
  <c r="C99" i="78"/>
  <c r="B99" i="78"/>
  <c r="A99" i="78"/>
  <c r="N98" i="78"/>
  <c r="L98" i="78"/>
  <c r="K98" i="78"/>
  <c r="J98" i="78"/>
  <c r="I98" i="78"/>
  <c r="H98" i="78"/>
  <c r="G98" i="78"/>
  <c r="F98" i="78"/>
  <c r="D98" i="78"/>
  <c r="C98" i="78"/>
  <c r="B98" i="78"/>
  <c r="A98" i="78"/>
  <c r="N97" i="78"/>
  <c r="L97" i="78"/>
  <c r="K97" i="78"/>
  <c r="J97" i="78"/>
  <c r="I97" i="78"/>
  <c r="H97" i="78"/>
  <c r="G97" i="78"/>
  <c r="F97" i="78"/>
  <c r="D97" i="78"/>
  <c r="C97" i="78"/>
  <c r="B97" i="78"/>
  <c r="A97" i="78"/>
  <c r="N96" i="78"/>
  <c r="L96" i="78"/>
  <c r="K96" i="78"/>
  <c r="J96" i="78"/>
  <c r="I96" i="78"/>
  <c r="H96" i="78"/>
  <c r="G96" i="78"/>
  <c r="F96" i="78"/>
  <c r="D96" i="78"/>
  <c r="C96" i="78"/>
  <c r="B96" i="78"/>
  <c r="A96" i="78"/>
  <c r="N95" i="78"/>
  <c r="L95" i="78"/>
  <c r="K95" i="78"/>
  <c r="J95" i="78"/>
  <c r="I95" i="78"/>
  <c r="H95" i="78"/>
  <c r="G95" i="78"/>
  <c r="F95" i="78"/>
  <c r="D95" i="78"/>
  <c r="C95" i="78"/>
  <c r="B95" i="78"/>
  <c r="A95" i="78"/>
  <c r="N94" i="78"/>
  <c r="L94" i="78"/>
  <c r="K94" i="78"/>
  <c r="J94" i="78"/>
  <c r="I94" i="78"/>
  <c r="H94" i="78"/>
  <c r="G94" i="78"/>
  <c r="F94" i="78"/>
  <c r="D94" i="78"/>
  <c r="C94" i="78"/>
  <c r="B94" i="78"/>
  <c r="A94" i="78"/>
  <c r="N93" i="78"/>
  <c r="L93" i="78"/>
  <c r="K93" i="78"/>
  <c r="J93" i="78"/>
  <c r="I93" i="78"/>
  <c r="H93" i="78"/>
  <c r="G93" i="78"/>
  <c r="F93" i="78"/>
  <c r="D93" i="78"/>
  <c r="C93" i="78"/>
  <c r="B93" i="78"/>
  <c r="A93" i="78"/>
  <c r="N92" i="78"/>
  <c r="L92" i="78"/>
  <c r="K92" i="78"/>
  <c r="J92" i="78"/>
  <c r="I92" i="78"/>
  <c r="H92" i="78"/>
  <c r="G92" i="78"/>
  <c r="F92" i="78"/>
  <c r="D92" i="78"/>
  <c r="C92" i="78"/>
  <c r="B92" i="78"/>
  <c r="A92" i="78"/>
  <c r="N91" i="78"/>
  <c r="L91" i="78"/>
  <c r="K91" i="78"/>
  <c r="J91" i="78"/>
  <c r="I91" i="78"/>
  <c r="H91" i="78"/>
  <c r="G91" i="78"/>
  <c r="F91" i="78"/>
  <c r="D91" i="78"/>
  <c r="C91" i="78"/>
  <c r="B91" i="78"/>
  <c r="A91" i="78"/>
  <c r="N90" i="78"/>
  <c r="L90" i="78"/>
  <c r="K90" i="78"/>
  <c r="J90" i="78"/>
  <c r="I90" i="78"/>
  <c r="H90" i="78"/>
  <c r="G90" i="78"/>
  <c r="F90" i="78"/>
  <c r="D90" i="78"/>
  <c r="C90" i="78"/>
  <c r="B90" i="78"/>
  <c r="A90" i="78"/>
  <c r="N89" i="78"/>
  <c r="L89" i="78"/>
  <c r="K89" i="78"/>
  <c r="J89" i="78"/>
  <c r="I89" i="78"/>
  <c r="H89" i="78"/>
  <c r="G89" i="78"/>
  <c r="F89" i="78"/>
  <c r="D89" i="78"/>
  <c r="C89" i="78"/>
  <c r="B89" i="78"/>
  <c r="A89" i="78"/>
  <c r="N88" i="78"/>
  <c r="L88" i="78"/>
  <c r="K88" i="78"/>
  <c r="J88" i="78"/>
  <c r="I88" i="78"/>
  <c r="H88" i="78"/>
  <c r="G88" i="78"/>
  <c r="F88" i="78"/>
  <c r="D88" i="78"/>
  <c r="C88" i="78"/>
  <c r="B88" i="78"/>
  <c r="A88" i="78"/>
  <c r="N87" i="78"/>
  <c r="L87" i="78"/>
  <c r="K87" i="78"/>
  <c r="J87" i="78"/>
  <c r="I87" i="78"/>
  <c r="H87" i="78"/>
  <c r="G87" i="78"/>
  <c r="F87" i="78"/>
  <c r="D87" i="78"/>
  <c r="C87" i="78"/>
  <c r="B87" i="78"/>
  <c r="A87" i="78"/>
  <c r="N86" i="78"/>
  <c r="L86" i="78"/>
  <c r="K86" i="78"/>
  <c r="J86" i="78"/>
  <c r="I86" i="78"/>
  <c r="H86" i="78"/>
  <c r="G86" i="78"/>
  <c r="F86" i="78"/>
  <c r="D86" i="78"/>
  <c r="C86" i="78"/>
  <c r="B86" i="78"/>
  <c r="A86" i="78"/>
  <c r="N85" i="78"/>
  <c r="L85" i="78"/>
  <c r="K85" i="78"/>
  <c r="J85" i="78"/>
  <c r="I85" i="78"/>
  <c r="H85" i="78"/>
  <c r="G85" i="78"/>
  <c r="F85" i="78"/>
  <c r="D85" i="78"/>
  <c r="C85" i="78"/>
  <c r="B85" i="78"/>
  <c r="A85" i="78"/>
  <c r="N84" i="78"/>
  <c r="L84" i="78"/>
  <c r="K84" i="78"/>
  <c r="J84" i="78"/>
  <c r="I84" i="78"/>
  <c r="H84" i="78"/>
  <c r="G84" i="78"/>
  <c r="F84" i="78"/>
  <c r="D84" i="78"/>
  <c r="C84" i="78"/>
  <c r="B84" i="78"/>
  <c r="A84" i="78"/>
  <c r="N83" i="78"/>
  <c r="L83" i="78"/>
  <c r="K83" i="78"/>
  <c r="J83" i="78"/>
  <c r="I83" i="78"/>
  <c r="H83" i="78"/>
  <c r="G83" i="78"/>
  <c r="F83" i="78"/>
  <c r="D83" i="78"/>
  <c r="C83" i="78"/>
  <c r="B83" i="78"/>
  <c r="A83" i="78"/>
  <c r="N82" i="78"/>
  <c r="L82" i="78"/>
  <c r="K82" i="78"/>
  <c r="J82" i="78"/>
  <c r="I82" i="78"/>
  <c r="H82" i="78"/>
  <c r="G82" i="78"/>
  <c r="F82" i="78"/>
  <c r="D82" i="78"/>
  <c r="C82" i="78"/>
  <c r="B82" i="78"/>
  <c r="A82" i="78"/>
  <c r="N81" i="78"/>
  <c r="L81" i="78"/>
  <c r="K81" i="78"/>
  <c r="J81" i="78"/>
  <c r="I81" i="78"/>
  <c r="H81" i="78"/>
  <c r="G81" i="78"/>
  <c r="F81" i="78"/>
  <c r="D81" i="78"/>
  <c r="C81" i="78"/>
  <c r="B81" i="78"/>
  <c r="A81" i="78"/>
  <c r="N80" i="78"/>
  <c r="L80" i="78"/>
  <c r="K80" i="78"/>
  <c r="J80" i="78"/>
  <c r="I80" i="78"/>
  <c r="H80" i="78"/>
  <c r="G80" i="78"/>
  <c r="F80" i="78"/>
  <c r="D80" i="78"/>
  <c r="C80" i="78"/>
  <c r="B80" i="78"/>
  <c r="A80" i="78"/>
  <c r="N79" i="78"/>
  <c r="L79" i="78"/>
  <c r="K79" i="78"/>
  <c r="J79" i="78"/>
  <c r="I79" i="78"/>
  <c r="H79" i="78"/>
  <c r="G79" i="78"/>
  <c r="F79" i="78"/>
  <c r="D79" i="78"/>
  <c r="C79" i="78"/>
  <c r="B79" i="78"/>
  <c r="A79" i="78"/>
  <c r="N78" i="78"/>
  <c r="L78" i="78"/>
  <c r="K78" i="78"/>
  <c r="J78" i="78"/>
  <c r="I78" i="78"/>
  <c r="H78" i="78"/>
  <c r="G78" i="78"/>
  <c r="F78" i="78"/>
  <c r="D78" i="78"/>
  <c r="C78" i="78"/>
  <c r="B78" i="78"/>
  <c r="A78" i="78"/>
  <c r="N77" i="78"/>
  <c r="L77" i="78"/>
  <c r="K77" i="78"/>
  <c r="J77" i="78"/>
  <c r="I77" i="78"/>
  <c r="H77" i="78"/>
  <c r="G77" i="78"/>
  <c r="F77" i="78"/>
  <c r="D77" i="78"/>
  <c r="C77" i="78"/>
  <c r="B77" i="78"/>
  <c r="A77" i="78"/>
  <c r="N76" i="78"/>
  <c r="L76" i="78"/>
  <c r="K76" i="78"/>
  <c r="J76" i="78"/>
  <c r="I76" i="78"/>
  <c r="H76" i="78"/>
  <c r="G76" i="78"/>
  <c r="F76" i="78"/>
  <c r="D76" i="78"/>
  <c r="C76" i="78"/>
  <c r="B76" i="78"/>
  <c r="A76" i="78"/>
  <c r="L75" i="78"/>
  <c r="K75" i="78"/>
  <c r="J75" i="78"/>
  <c r="I75" i="78"/>
  <c r="H75" i="78"/>
  <c r="G75" i="78"/>
  <c r="F75" i="78"/>
  <c r="D75" i="78"/>
  <c r="C75" i="78"/>
  <c r="B75" i="78"/>
  <c r="A75" i="78"/>
  <c r="N74" i="78"/>
  <c r="L74" i="78"/>
  <c r="K74" i="78"/>
  <c r="J74" i="78"/>
  <c r="I74" i="78"/>
  <c r="H74" i="78"/>
  <c r="G74" i="78"/>
  <c r="F74" i="78"/>
  <c r="E74" i="78"/>
  <c r="D74" i="78"/>
  <c r="C74" i="78"/>
  <c r="B74" i="78"/>
  <c r="A74" i="78"/>
  <c r="J73" i="78"/>
  <c r="I73" i="78"/>
  <c r="H73" i="78"/>
  <c r="G73" i="78"/>
  <c r="B73" i="78"/>
  <c r="A73" i="78"/>
  <c r="E72" i="78"/>
  <c r="D72" i="78"/>
  <c r="C72" i="78"/>
  <c r="B72" i="78"/>
  <c r="A72" i="78"/>
  <c r="E71" i="78"/>
  <c r="D71" i="78"/>
  <c r="C71" i="78"/>
  <c r="B71" i="78"/>
  <c r="A71" i="78"/>
  <c r="E70" i="78"/>
  <c r="D70" i="78"/>
  <c r="N107" i="78"/>
  <c r="O107" i="78"/>
  <c r="C70" i="78"/>
  <c r="B70" i="78"/>
  <c r="A70" i="78"/>
  <c r="E69" i="78"/>
  <c r="D69" i="78"/>
  <c r="C69" i="78"/>
  <c r="B69" i="78"/>
  <c r="A69" i="78"/>
  <c r="E68" i="78"/>
  <c r="C68" i="78"/>
  <c r="B68" i="78"/>
  <c r="A68" i="78"/>
  <c r="E67" i="78"/>
  <c r="D67" i="78"/>
  <c r="C67" i="78"/>
  <c r="B67" i="78"/>
  <c r="A67" i="78"/>
  <c r="E66" i="78"/>
  <c r="D66" i="78"/>
  <c r="C66" i="78"/>
  <c r="B66" i="78"/>
  <c r="A66" i="78"/>
  <c r="E65" i="78"/>
  <c r="D65" i="78"/>
  <c r="C65" i="78"/>
  <c r="B65" i="78"/>
  <c r="A65" i="78"/>
  <c r="E64" i="78"/>
  <c r="D64" i="78"/>
  <c r="C64" i="78"/>
  <c r="B64" i="78"/>
  <c r="A64" i="78"/>
  <c r="E63" i="78"/>
  <c r="C63" i="78"/>
  <c r="B63" i="78"/>
  <c r="A63" i="78"/>
  <c r="E62" i="78"/>
  <c r="D62" i="78"/>
  <c r="C62" i="78"/>
  <c r="B62" i="78"/>
  <c r="A62" i="78"/>
  <c r="E61" i="78"/>
  <c r="C61" i="78"/>
  <c r="B61" i="78"/>
  <c r="A61" i="78"/>
  <c r="E60" i="78"/>
  <c r="D60" i="78"/>
  <c r="A60" i="78"/>
  <c r="N267" i="76"/>
  <c r="M267" i="76"/>
  <c r="L267" i="76"/>
  <c r="K267" i="76"/>
  <c r="J267" i="76"/>
  <c r="I267" i="76"/>
  <c r="H267" i="76"/>
  <c r="G267" i="76"/>
  <c r="F267" i="76"/>
  <c r="E267" i="76"/>
  <c r="D267" i="76"/>
  <c r="C267" i="76"/>
  <c r="M22" i="77"/>
  <c r="L22" i="77"/>
  <c r="K22" i="77"/>
  <c r="J22" i="77"/>
  <c r="H22" i="77"/>
  <c r="F22" i="77"/>
  <c r="D22" i="77"/>
  <c r="M21" i="77"/>
  <c r="L21" i="77"/>
  <c r="K21" i="77"/>
  <c r="J21" i="77"/>
  <c r="H21" i="77"/>
  <c r="F21" i="77"/>
  <c r="D21" i="77"/>
  <c r="M20" i="77"/>
  <c r="L20" i="77"/>
  <c r="K20" i="77"/>
  <c r="J20" i="77"/>
  <c r="H20" i="77"/>
  <c r="F20" i="77"/>
  <c r="D20" i="77"/>
  <c r="M19" i="77"/>
  <c r="L19" i="77"/>
  <c r="K19" i="77"/>
  <c r="J19" i="77"/>
  <c r="H19" i="77"/>
  <c r="F19" i="77"/>
  <c r="D19" i="77"/>
  <c r="M18" i="77"/>
  <c r="L18" i="77"/>
  <c r="K18" i="77"/>
  <c r="J18" i="77"/>
  <c r="H18" i="77"/>
  <c r="F18" i="77"/>
  <c r="D18" i="77"/>
  <c r="M17" i="77"/>
  <c r="L17" i="77"/>
  <c r="K17" i="77"/>
  <c r="J17" i="77"/>
  <c r="H17" i="77"/>
  <c r="F17" i="77"/>
  <c r="D17" i="77"/>
  <c r="M16" i="77"/>
  <c r="L16" i="77"/>
  <c r="K16" i="77"/>
  <c r="J16" i="77"/>
  <c r="H16" i="77"/>
  <c r="F16" i="77"/>
  <c r="D16" i="77"/>
  <c r="M15" i="77"/>
  <c r="L15" i="77"/>
  <c r="K15" i="77"/>
  <c r="J15" i="77"/>
  <c r="H15" i="77"/>
  <c r="F15" i="77"/>
  <c r="D15" i="77"/>
  <c r="M14" i="77"/>
  <c r="L14" i="77"/>
  <c r="K14" i="77"/>
  <c r="J14" i="77"/>
  <c r="H14" i="77"/>
  <c r="F14" i="77"/>
  <c r="D14" i="77"/>
  <c r="M13" i="77"/>
  <c r="L13" i="77"/>
  <c r="K13" i="77"/>
  <c r="J13" i="77"/>
  <c r="H13" i="77"/>
  <c r="F13" i="77"/>
  <c r="D13" i="77"/>
  <c r="M12" i="77"/>
  <c r="L12" i="77"/>
  <c r="K12" i="77"/>
  <c r="J12" i="77"/>
  <c r="H12" i="77"/>
  <c r="F12" i="77"/>
  <c r="D12" i="77"/>
  <c r="M11" i="77"/>
  <c r="L11" i="77"/>
  <c r="K11" i="77"/>
  <c r="J11" i="77"/>
  <c r="H11" i="77"/>
  <c r="F11" i="77"/>
  <c r="D11" i="77"/>
  <c r="M10" i="77"/>
  <c r="L10" i="77"/>
  <c r="K10" i="77"/>
  <c r="J10" i="77"/>
  <c r="H10" i="77"/>
  <c r="F10" i="77"/>
  <c r="D10" i="77"/>
  <c r="E22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L8" i="77"/>
  <c r="K8" i="77"/>
  <c r="J8" i="77"/>
  <c r="H8" i="77"/>
  <c r="F8" i="77"/>
  <c r="D8" i="77"/>
  <c r="L7" i="77"/>
  <c r="K7" i="77"/>
  <c r="J7" i="77"/>
  <c r="H7" i="77"/>
  <c r="F7" i="77"/>
  <c r="D7" i="77"/>
  <c r="A22" i="73"/>
  <c r="A21" i="73"/>
  <c r="A20" i="73"/>
  <c r="A19" i="73"/>
  <c r="A18" i="73"/>
  <c r="A17" i="73"/>
  <c r="A16" i="73"/>
  <c r="A15" i="73"/>
  <c r="A14" i="73"/>
  <c r="A13" i="73"/>
  <c r="A12" i="73"/>
  <c r="A11" i="73"/>
  <c r="A10" i="73"/>
  <c r="M22" i="73"/>
  <c r="L22" i="73"/>
  <c r="K22" i="73"/>
  <c r="J22" i="73"/>
  <c r="H22" i="73"/>
  <c r="F22" i="73"/>
  <c r="E22" i="73"/>
  <c r="D22" i="73"/>
  <c r="M21" i="73"/>
  <c r="L21" i="73"/>
  <c r="K21" i="73"/>
  <c r="J21" i="73"/>
  <c r="H21" i="73"/>
  <c r="F21" i="73"/>
  <c r="D21" i="73"/>
  <c r="M20" i="73"/>
  <c r="L20" i="73"/>
  <c r="K20" i="73"/>
  <c r="J20" i="73"/>
  <c r="H20" i="73"/>
  <c r="F20" i="73"/>
  <c r="D20" i="73"/>
  <c r="M19" i="73"/>
  <c r="L19" i="73"/>
  <c r="K19" i="73"/>
  <c r="J19" i="73"/>
  <c r="H19" i="73"/>
  <c r="F19" i="73"/>
  <c r="D19" i="73"/>
  <c r="M18" i="73"/>
  <c r="L18" i="73"/>
  <c r="K18" i="73"/>
  <c r="J18" i="73"/>
  <c r="H18" i="73"/>
  <c r="F18" i="73"/>
  <c r="D18" i="73"/>
  <c r="M17" i="73"/>
  <c r="L17" i="73"/>
  <c r="K17" i="73"/>
  <c r="J17" i="73"/>
  <c r="H17" i="73"/>
  <c r="F17" i="73"/>
  <c r="D17" i="73"/>
  <c r="M16" i="73"/>
  <c r="L16" i="73"/>
  <c r="K16" i="73"/>
  <c r="J16" i="73"/>
  <c r="H16" i="73"/>
  <c r="F16" i="73"/>
  <c r="D16" i="73"/>
  <c r="M15" i="73"/>
  <c r="L15" i="73"/>
  <c r="K15" i="73"/>
  <c r="J15" i="73"/>
  <c r="H15" i="73"/>
  <c r="F15" i="73"/>
  <c r="D15" i="73"/>
  <c r="M14" i="73"/>
  <c r="L14" i="73"/>
  <c r="K14" i="73"/>
  <c r="J14" i="73"/>
  <c r="H14" i="73"/>
  <c r="F14" i="73"/>
  <c r="D14" i="73"/>
  <c r="M13" i="73"/>
  <c r="L13" i="73"/>
  <c r="K13" i="73"/>
  <c r="J13" i="73"/>
  <c r="H13" i="73"/>
  <c r="F13" i="73"/>
  <c r="D13" i="73"/>
  <c r="M12" i="73"/>
  <c r="L12" i="73"/>
  <c r="K12" i="73"/>
  <c r="J12" i="73"/>
  <c r="H12" i="73"/>
  <c r="F12" i="73"/>
  <c r="D12" i="73"/>
  <c r="M11" i="73"/>
  <c r="L11" i="73"/>
  <c r="K11" i="73"/>
  <c r="J11" i="73"/>
  <c r="H11" i="73"/>
  <c r="F11" i="73"/>
  <c r="D11" i="73"/>
  <c r="M10" i="73"/>
  <c r="L10" i="73"/>
  <c r="K10" i="73"/>
  <c r="J10" i="73"/>
  <c r="H10" i="73"/>
  <c r="F10" i="73"/>
  <c r="D10" i="73"/>
  <c r="L8" i="73"/>
  <c r="K8" i="73"/>
  <c r="J8" i="73"/>
  <c r="H8" i="73"/>
  <c r="F8" i="73"/>
  <c r="D8" i="73"/>
  <c r="L7" i="73"/>
  <c r="K7" i="73"/>
  <c r="J7" i="73"/>
  <c r="H7" i="73"/>
  <c r="F7" i="73"/>
  <c r="D7" i="73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M22" i="56"/>
  <c r="L22" i="56"/>
  <c r="K22" i="56"/>
  <c r="J22" i="56"/>
  <c r="I22" i="56"/>
  <c r="H22" i="56"/>
  <c r="G22" i="56"/>
  <c r="F22" i="56"/>
  <c r="E22" i="56"/>
  <c r="D22" i="56"/>
  <c r="M21" i="56"/>
  <c r="L21" i="56"/>
  <c r="K21" i="56"/>
  <c r="J21" i="56"/>
  <c r="I21" i="56"/>
  <c r="H21" i="56"/>
  <c r="G21" i="56"/>
  <c r="F21" i="56"/>
  <c r="E21" i="56"/>
  <c r="D21" i="56"/>
  <c r="M20" i="56"/>
  <c r="L20" i="56"/>
  <c r="K20" i="56"/>
  <c r="J20" i="56"/>
  <c r="I20" i="56"/>
  <c r="H20" i="56"/>
  <c r="G20" i="56"/>
  <c r="F20" i="56"/>
  <c r="E20" i="56"/>
  <c r="D20" i="56"/>
  <c r="M19" i="56"/>
  <c r="L19" i="56"/>
  <c r="K19" i="56"/>
  <c r="J19" i="56"/>
  <c r="I19" i="56"/>
  <c r="H19" i="56"/>
  <c r="G19" i="56"/>
  <c r="F19" i="56"/>
  <c r="E19" i="56"/>
  <c r="D19" i="56"/>
  <c r="M18" i="56"/>
  <c r="L18" i="56"/>
  <c r="K18" i="56"/>
  <c r="J18" i="56"/>
  <c r="I18" i="56"/>
  <c r="H18" i="56"/>
  <c r="G18" i="56"/>
  <c r="F18" i="56"/>
  <c r="E18" i="56"/>
  <c r="D18" i="56"/>
  <c r="M17" i="56"/>
  <c r="L17" i="56"/>
  <c r="K17" i="56"/>
  <c r="J17" i="56"/>
  <c r="I17" i="56"/>
  <c r="H17" i="56"/>
  <c r="G17" i="56"/>
  <c r="F17" i="56"/>
  <c r="E17" i="56"/>
  <c r="D17" i="56"/>
  <c r="M16" i="56"/>
  <c r="L16" i="56"/>
  <c r="K16" i="56"/>
  <c r="J16" i="56"/>
  <c r="I16" i="56"/>
  <c r="H16" i="56"/>
  <c r="G16" i="56"/>
  <c r="F16" i="56"/>
  <c r="E16" i="56"/>
  <c r="D16" i="56"/>
  <c r="M15" i="56"/>
  <c r="L15" i="56"/>
  <c r="K15" i="56"/>
  <c r="J15" i="56"/>
  <c r="I15" i="56"/>
  <c r="H15" i="56"/>
  <c r="G15" i="56"/>
  <c r="F15" i="56"/>
  <c r="E15" i="56"/>
  <c r="D15" i="56"/>
  <c r="M14" i="56"/>
  <c r="L14" i="56"/>
  <c r="K14" i="56"/>
  <c r="J14" i="56"/>
  <c r="I14" i="56"/>
  <c r="H14" i="56"/>
  <c r="G14" i="56"/>
  <c r="F14" i="56"/>
  <c r="E14" i="56"/>
  <c r="D14" i="56"/>
  <c r="M13" i="56"/>
  <c r="L13" i="56"/>
  <c r="K13" i="56"/>
  <c r="J13" i="56"/>
  <c r="I13" i="56"/>
  <c r="H13" i="56"/>
  <c r="G13" i="56"/>
  <c r="F13" i="56"/>
  <c r="E13" i="56"/>
  <c r="D13" i="56"/>
  <c r="M12" i="56"/>
  <c r="L12" i="56"/>
  <c r="K12" i="56"/>
  <c r="J12" i="56"/>
  <c r="I12" i="56"/>
  <c r="H12" i="56"/>
  <c r="G12" i="56"/>
  <c r="F12" i="56"/>
  <c r="E12" i="56"/>
  <c r="D12" i="56"/>
  <c r="M11" i="56"/>
  <c r="L11" i="56"/>
  <c r="K11" i="56"/>
  <c r="J11" i="56"/>
  <c r="I11" i="56"/>
  <c r="H11" i="56"/>
  <c r="G11" i="56"/>
  <c r="F11" i="56"/>
  <c r="E11" i="56"/>
  <c r="D11" i="56"/>
  <c r="M10" i="56"/>
  <c r="L10" i="56"/>
  <c r="K10" i="56"/>
  <c r="J10" i="56"/>
  <c r="I10" i="56"/>
  <c r="H10" i="56"/>
  <c r="G10" i="56"/>
  <c r="F10" i="56"/>
  <c r="E10" i="56"/>
  <c r="D10" i="56"/>
  <c r="L8" i="56"/>
  <c r="K8" i="56"/>
  <c r="J8" i="56"/>
  <c r="H8" i="56"/>
  <c r="F8" i="56"/>
  <c r="D8" i="56"/>
  <c r="L7" i="56"/>
  <c r="K7" i="56"/>
  <c r="J7" i="56"/>
  <c r="H7" i="56"/>
  <c r="F7" i="56"/>
  <c r="D7" i="56"/>
  <c r="N167" i="81"/>
  <c r="N166" i="81"/>
  <c r="B435" i="81"/>
  <c r="N428" i="81"/>
  <c r="K180" i="81"/>
  <c r="L176" i="81"/>
  <c r="L179" i="81"/>
  <c r="L412" i="81"/>
  <c r="M408" i="81"/>
  <c r="M411" i="81"/>
  <c r="C344" i="81"/>
  <c r="O338" i="81"/>
  <c r="O114" i="81"/>
  <c r="C126" i="81"/>
  <c r="I316" i="81"/>
  <c r="J312" i="81"/>
  <c r="J315" i="81"/>
  <c r="N226" i="81"/>
  <c r="N23" i="81"/>
  <c r="N302" i="81"/>
  <c r="H239" i="81"/>
  <c r="I235" i="81"/>
  <c r="I238" i="81"/>
  <c r="O278" i="81"/>
  <c r="N362" i="81"/>
  <c r="B362" i="81"/>
  <c r="N303" i="81"/>
  <c r="J364" i="80"/>
  <c r="N405" i="80"/>
  <c r="K364" i="80"/>
  <c r="J303" i="80"/>
  <c r="G114" i="80"/>
  <c r="G126" i="80"/>
  <c r="G143" i="80"/>
  <c r="F360" i="80"/>
  <c r="F364" i="80"/>
  <c r="N19" i="80"/>
  <c r="N27" i="80"/>
  <c r="N30" i="80"/>
  <c r="I114" i="80"/>
  <c r="I126" i="80"/>
  <c r="I143" i="80"/>
  <c r="H360" i="80"/>
  <c r="H364" i="80"/>
  <c r="D114" i="80"/>
  <c r="D126" i="80"/>
  <c r="D143" i="80"/>
  <c r="C360" i="80"/>
  <c r="C364" i="80"/>
  <c r="M114" i="80"/>
  <c r="M126" i="80"/>
  <c r="M143" i="80"/>
  <c r="L360" i="80"/>
  <c r="L364" i="80"/>
  <c r="H114" i="80"/>
  <c r="H126" i="80"/>
  <c r="H143" i="80"/>
  <c r="G360" i="80"/>
  <c r="G364" i="80"/>
  <c r="G239" i="80"/>
  <c r="G240" i="80"/>
  <c r="N164" i="80"/>
  <c r="N166" i="80"/>
  <c r="J399" i="80"/>
  <c r="N298" i="80"/>
  <c r="N22" i="80"/>
  <c r="N309" i="80"/>
  <c r="N231" i="80"/>
  <c r="G226" i="80"/>
  <c r="N162" i="80"/>
  <c r="M364" i="80"/>
  <c r="J24" i="80"/>
  <c r="N428" i="80"/>
  <c r="N223" i="80"/>
  <c r="N225" i="80"/>
  <c r="B225" i="80"/>
  <c r="D226" i="80"/>
  <c r="O112" i="80"/>
  <c r="C114" i="80"/>
  <c r="O337" i="80"/>
  <c r="C338" i="80"/>
  <c r="B302" i="80"/>
  <c r="D303" i="80"/>
  <c r="N300" i="80"/>
  <c r="B439" i="80"/>
  <c r="N435" i="80"/>
  <c r="N439" i="80"/>
  <c r="J181" i="80"/>
  <c r="G316" i="80"/>
  <c r="G317" i="80"/>
  <c r="H312" i="80"/>
  <c r="H315" i="80"/>
  <c r="N301" i="80"/>
  <c r="O113" i="80"/>
  <c r="N403" i="80"/>
  <c r="N171" i="80"/>
  <c r="N404" i="80"/>
  <c r="G399" i="80"/>
  <c r="N221" i="80"/>
  <c r="N28" i="80"/>
  <c r="D24" i="80"/>
  <c r="M24" i="80"/>
  <c r="N24" i="80"/>
  <c r="N396" i="80"/>
  <c r="N398" i="80"/>
  <c r="B398" i="80"/>
  <c r="D399" i="80"/>
  <c r="O253" i="80"/>
  <c r="C254" i="80"/>
  <c r="N402" i="80"/>
  <c r="N307" i="80"/>
  <c r="N426" i="80"/>
  <c r="N394" i="80"/>
  <c r="F114" i="80"/>
  <c r="F126" i="80"/>
  <c r="F143" i="80"/>
  <c r="E360" i="80"/>
  <c r="E364" i="80"/>
  <c r="K412" i="80"/>
  <c r="L408" i="80"/>
  <c r="L411" i="80"/>
  <c r="N308" i="80"/>
  <c r="G303" i="80"/>
  <c r="N230" i="80"/>
  <c r="J226" i="80"/>
  <c r="D364" i="80"/>
  <c r="N172" i="80"/>
  <c r="J114" i="80"/>
  <c r="J126" i="80"/>
  <c r="J143" i="80"/>
  <c r="I360" i="80"/>
  <c r="I364" i="80"/>
  <c r="N21" i="80"/>
  <c r="D332" i="78"/>
  <c r="B439" i="81"/>
  <c r="N435" i="81"/>
  <c r="N439" i="81"/>
  <c r="C143" i="81"/>
  <c r="O126" i="81"/>
  <c r="N408" i="81"/>
  <c r="M412" i="81"/>
  <c r="M413" i="81"/>
  <c r="J235" i="81"/>
  <c r="J238" i="81"/>
  <c r="I239" i="81"/>
  <c r="C356" i="81"/>
  <c r="B363" i="81"/>
  <c r="O344" i="81"/>
  <c r="O356" i="81"/>
  <c r="N363" i="81"/>
  <c r="K312" i="81"/>
  <c r="K315" i="81"/>
  <c r="J316" i="81"/>
  <c r="J317" i="81"/>
  <c r="M176" i="81"/>
  <c r="M179" i="81"/>
  <c r="L180" i="81"/>
  <c r="C262" i="80"/>
  <c r="O254" i="80"/>
  <c r="C344" i="80"/>
  <c r="O338" i="80"/>
  <c r="N167" i="80"/>
  <c r="M408" i="80"/>
  <c r="M411" i="80"/>
  <c r="L412" i="80"/>
  <c r="H316" i="80"/>
  <c r="I312" i="80"/>
  <c r="I315" i="80"/>
  <c r="H239" i="80"/>
  <c r="O114" i="80"/>
  <c r="C126" i="80"/>
  <c r="N226" i="80"/>
  <c r="N23" i="80"/>
  <c r="N303" i="80"/>
  <c r="N399" i="80"/>
  <c r="N302" i="80"/>
  <c r="D330" i="76"/>
  <c r="M180" i="81"/>
  <c r="M181" i="81"/>
  <c r="K316" i="81"/>
  <c r="L312" i="81"/>
  <c r="L315" i="81"/>
  <c r="N176" i="81"/>
  <c r="J239" i="81"/>
  <c r="J240" i="81"/>
  <c r="K235" i="81"/>
  <c r="K238" i="81"/>
  <c r="B360" i="81"/>
  <c r="B364" i="81"/>
  <c r="O143" i="81"/>
  <c r="N360" i="81"/>
  <c r="N364" i="81"/>
  <c r="C356" i="80"/>
  <c r="B363" i="80"/>
  <c r="O344" i="80"/>
  <c r="O356" i="80"/>
  <c r="N363" i="80"/>
  <c r="C278" i="80"/>
  <c r="O262" i="80"/>
  <c r="C143" i="80"/>
  <c r="O126" i="80"/>
  <c r="J312" i="80"/>
  <c r="J315" i="80"/>
  <c r="I316" i="80"/>
  <c r="I239" i="80"/>
  <c r="M412" i="80"/>
  <c r="M413" i="80"/>
  <c r="N408" i="80"/>
  <c r="P142" i="78"/>
  <c r="P124" i="78"/>
  <c r="F142" i="78"/>
  <c r="O142" i="78"/>
  <c r="K239" i="81"/>
  <c r="L235" i="81"/>
  <c r="L238" i="81"/>
  <c r="L316" i="81"/>
  <c r="M312" i="81"/>
  <c r="M315" i="81"/>
  <c r="J316" i="80"/>
  <c r="J317" i="80"/>
  <c r="K312" i="80"/>
  <c r="K315" i="80"/>
  <c r="O143" i="80"/>
  <c r="N360" i="80"/>
  <c r="B360" i="80"/>
  <c r="B362" i="80"/>
  <c r="O278" i="80"/>
  <c r="N362" i="80"/>
  <c r="M181" i="80"/>
  <c r="N176" i="80"/>
  <c r="J239" i="80"/>
  <c r="J240" i="80"/>
  <c r="P143" i="78"/>
  <c r="P362" i="76"/>
  <c r="O275" i="78"/>
  <c r="O276" i="78"/>
  <c r="C277" i="78"/>
  <c r="L239" i="81"/>
  <c r="M235" i="81"/>
  <c r="M238" i="81"/>
  <c r="M316" i="81"/>
  <c r="M317" i="81"/>
  <c r="N312" i="81"/>
  <c r="B364" i="80"/>
  <c r="K239" i="80"/>
  <c r="N364" i="80"/>
  <c r="K316" i="80"/>
  <c r="L312" i="80"/>
  <c r="L315" i="80"/>
  <c r="N438" i="78"/>
  <c r="N437" i="78"/>
  <c r="N436" i="78"/>
  <c r="N434" i="78"/>
  <c r="M433" i="78"/>
  <c r="L433" i="78"/>
  <c r="K433" i="78"/>
  <c r="J433" i="78"/>
  <c r="I433" i="78"/>
  <c r="H433" i="78"/>
  <c r="G433" i="78"/>
  <c r="F433" i="78"/>
  <c r="E433" i="78"/>
  <c r="D433" i="78"/>
  <c r="C433" i="78"/>
  <c r="B433" i="78"/>
  <c r="N432" i="78"/>
  <c r="N431" i="78"/>
  <c r="N430" i="78"/>
  <c r="N429" i="78"/>
  <c r="N427" i="78"/>
  <c r="D422" i="78"/>
  <c r="I426" i="78"/>
  <c r="I428" i="78"/>
  <c r="I435" i="78"/>
  <c r="I439" i="78"/>
  <c r="E426" i="78"/>
  <c r="E428" i="78"/>
  <c r="I411" i="78"/>
  <c r="I412" i="78"/>
  <c r="E411" i="78"/>
  <c r="E412" i="78"/>
  <c r="N411" i="78"/>
  <c r="H411" i="78"/>
  <c r="H412" i="78"/>
  <c r="G411" i="78"/>
  <c r="G412" i="78"/>
  <c r="F411" i="78"/>
  <c r="F412" i="78"/>
  <c r="D411" i="78"/>
  <c r="D412" i="78"/>
  <c r="D413" i="78"/>
  <c r="C411" i="78"/>
  <c r="C412" i="78"/>
  <c r="B411" i="78"/>
  <c r="B412" i="78"/>
  <c r="N410" i="78"/>
  <c r="N409" i="78"/>
  <c r="J408" i="78"/>
  <c r="J411" i="78"/>
  <c r="K408" i="78"/>
  <c r="K411" i="78"/>
  <c r="K391" i="78"/>
  <c r="K405" i="78"/>
  <c r="G391" i="78"/>
  <c r="G405" i="78"/>
  <c r="N400" i="78"/>
  <c r="K394" i="78"/>
  <c r="G394" i="78"/>
  <c r="M391" i="78"/>
  <c r="L391" i="78"/>
  <c r="L403" i="78"/>
  <c r="K402" i="78"/>
  <c r="J391" i="78"/>
  <c r="J403" i="78"/>
  <c r="I391" i="78"/>
  <c r="I403" i="78"/>
  <c r="H391" i="78"/>
  <c r="H403" i="78"/>
  <c r="G402" i="78"/>
  <c r="F391" i="78"/>
  <c r="F403" i="78"/>
  <c r="E391" i="78"/>
  <c r="D391" i="78"/>
  <c r="D403" i="78"/>
  <c r="C391" i="78"/>
  <c r="C402" i="78"/>
  <c r="B391" i="78"/>
  <c r="B403" i="78"/>
  <c r="N390" i="78"/>
  <c r="N389" i="78"/>
  <c r="N388" i="78"/>
  <c r="N387" i="78"/>
  <c r="N386" i="78"/>
  <c r="N385" i="78"/>
  <c r="N384" i="78"/>
  <c r="N383" i="78"/>
  <c r="N382" i="78"/>
  <c r="N381" i="78"/>
  <c r="N380" i="78"/>
  <c r="N355" i="78"/>
  <c r="M355" i="78"/>
  <c r="L355" i="78"/>
  <c r="K355" i="78"/>
  <c r="J355" i="78"/>
  <c r="I355" i="78"/>
  <c r="H355" i="78"/>
  <c r="G355" i="78"/>
  <c r="F355" i="78"/>
  <c r="E355" i="78"/>
  <c r="D355" i="78"/>
  <c r="C355" i="78"/>
  <c r="O354" i="78"/>
  <c r="O353" i="78"/>
  <c r="O352" i="78"/>
  <c r="O351" i="78"/>
  <c r="O350" i="78"/>
  <c r="O349" i="78"/>
  <c r="O348" i="78"/>
  <c r="O347" i="78"/>
  <c r="O346" i="78"/>
  <c r="O345" i="78"/>
  <c r="O343" i="78"/>
  <c r="N342" i="78"/>
  <c r="M342" i="78"/>
  <c r="L342" i="78"/>
  <c r="K342" i="78"/>
  <c r="J342" i="78"/>
  <c r="I342" i="78"/>
  <c r="H342" i="78"/>
  <c r="G342" i="78"/>
  <c r="F342" i="78"/>
  <c r="E342" i="78"/>
  <c r="D342" i="78"/>
  <c r="C342" i="78"/>
  <c r="O341" i="78"/>
  <c r="O340" i="78"/>
  <c r="O339" i="78"/>
  <c r="D333" i="78"/>
  <c r="N337" i="78"/>
  <c r="N338" i="78"/>
  <c r="N344" i="78"/>
  <c r="N356" i="78"/>
  <c r="M363" i="78"/>
  <c r="D315" i="78"/>
  <c r="D316" i="78"/>
  <c r="D317" i="78"/>
  <c r="N315" i="78"/>
  <c r="E315" i="78"/>
  <c r="F312" i="78"/>
  <c r="F315" i="78"/>
  <c r="C315" i="78"/>
  <c r="C316" i="78"/>
  <c r="B315" i="78"/>
  <c r="B316" i="78"/>
  <c r="N314" i="78"/>
  <c r="N313" i="78"/>
  <c r="L295" i="78"/>
  <c r="L307" i="78"/>
  <c r="N304" i="78"/>
  <c r="J295" i="78"/>
  <c r="J300" i="78"/>
  <c r="J302" i="78"/>
  <c r="F295" i="78"/>
  <c r="F300" i="78"/>
  <c r="F302" i="78"/>
  <c r="B295" i="78"/>
  <c r="B300" i="78"/>
  <c r="B302" i="78"/>
  <c r="F298" i="78"/>
  <c r="M295" i="78"/>
  <c r="M307" i="78"/>
  <c r="K295" i="78"/>
  <c r="K307" i="78"/>
  <c r="J306" i="78"/>
  <c r="I295" i="78"/>
  <c r="I307" i="78"/>
  <c r="H295" i="78"/>
  <c r="H307" i="78"/>
  <c r="G295" i="78"/>
  <c r="G307" i="78"/>
  <c r="F306" i="78"/>
  <c r="E295" i="78"/>
  <c r="E307" i="78"/>
  <c r="D295" i="78"/>
  <c r="D307" i="78"/>
  <c r="C295" i="78"/>
  <c r="C307" i="78"/>
  <c r="B306" i="78"/>
  <c r="N294" i="78"/>
  <c r="N293" i="78"/>
  <c r="N292" i="78"/>
  <c r="N291" i="78"/>
  <c r="N290" i="78"/>
  <c r="N289" i="78"/>
  <c r="N288" i="78"/>
  <c r="N287" i="78"/>
  <c r="N286" i="78"/>
  <c r="N285" i="78"/>
  <c r="N284" i="78"/>
  <c r="N295" i="78"/>
  <c r="O274" i="78"/>
  <c r="O273" i="78"/>
  <c r="O272" i="78"/>
  <c r="O271" i="78"/>
  <c r="O270" i="78"/>
  <c r="O269" i="78"/>
  <c r="N277" i="78"/>
  <c r="M277" i="78"/>
  <c r="L277" i="78"/>
  <c r="K277" i="78"/>
  <c r="J277" i="78"/>
  <c r="I277" i="78"/>
  <c r="H277" i="78"/>
  <c r="G277" i="78"/>
  <c r="F277" i="78"/>
  <c r="E277" i="78"/>
  <c r="D277" i="78"/>
  <c r="O267" i="78"/>
  <c r="O266" i="78"/>
  <c r="O265" i="78"/>
  <c r="O264" i="78"/>
  <c r="O263" i="78"/>
  <c r="O261" i="78"/>
  <c r="N260" i="78"/>
  <c r="M260" i="78"/>
  <c r="L260" i="78"/>
  <c r="K260" i="78"/>
  <c r="J260" i="78"/>
  <c r="I260" i="78"/>
  <c r="H260" i="78"/>
  <c r="G260" i="78"/>
  <c r="F260" i="78"/>
  <c r="E260" i="78"/>
  <c r="D260" i="78"/>
  <c r="C260" i="78"/>
  <c r="O259" i="78"/>
  <c r="O258" i="78"/>
  <c r="O257" i="78"/>
  <c r="O256" i="78"/>
  <c r="O255" i="78"/>
  <c r="F248" i="78"/>
  <c r="F249" i="78"/>
  <c r="C238" i="78"/>
  <c r="C239" i="78"/>
  <c r="N238" i="78"/>
  <c r="E238" i="78"/>
  <c r="F235" i="78"/>
  <c r="F238" i="78"/>
  <c r="F239" i="78"/>
  <c r="D238" i="78"/>
  <c r="D239" i="78"/>
  <c r="D240" i="78"/>
  <c r="B238" i="78"/>
  <c r="B239" i="78"/>
  <c r="N237" i="78"/>
  <c r="N236" i="78"/>
  <c r="K218" i="78"/>
  <c r="K231" i="78"/>
  <c r="G218" i="78"/>
  <c r="G231" i="78"/>
  <c r="K229" i="78"/>
  <c r="G229" i="78"/>
  <c r="N227" i="78"/>
  <c r="M218" i="78"/>
  <c r="M224" i="78"/>
  <c r="I218" i="78"/>
  <c r="I224" i="78"/>
  <c r="M223" i="78"/>
  <c r="M225" i="78"/>
  <c r="K221" i="78"/>
  <c r="G221" i="78"/>
  <c r="M230" i="78"/>
  <c r="L218" i="78"/>
  <c r="L232" i="78"/>
  <c r="K230" i="78"/>
  <c r="J218" i="78"/>
  <c r="I230" i="78"/>
  <c r="H218" i="78"/>
  <c r="H232" i="78"/>
  <c r="G230" i="78"/>
  <c r="F218" i="78"/>
  <c r="F223" i="78"/>
  <c r="F225" i="78"/>
  <c r="E218" i="78"/>
  <c r="E230" i="78"/>
  <c r="D218" i="78"/>
  <c r="D232" i="78"/>
  <c r="C218" i="78"/>
  <c r="C230" i="78"/>
  <c r="B218" i="78"/>
  <c r="N217" i="78"/>
  <c r="N216" i="78"/>
  <c r="N215" i="78"/>
  <c r="N214" i="78"/>
  <c r="N213" i="78"/>
  <c r="N212" i="78"/>
  <c r="N211" i="78"/>
  <c r="N210" i="78"/>
  <c r="N209" i="78"/>
  <c r="N208" i="78"/>
  <c r="N207" i="78"/>
  <c r="N200" i="78"/>
  <c r="N199" i="78"/>
  <c r="N198" i="78"/>
  <c r="N196" i="78"/>
  <c r="M195" i="78"/>
  <c r="L195" i="78"/>
  <c r="K195" i="78"/>
  <c r="J195" i="78"/>
  <c r="I195" i="78"/>
  <c r="H195" i="78"/>
  <c r="G195" i="78"/>
  <c r="F195" i="78"/>
  <c r="E195" i="78"/>
  <c r="D195" i="78"/>
  <c r="C195" i="78"/>
  <c r="B195" i="78"/>
  <c r="N194" i="78"/>
  <c r="N193" i="78"/>
  <c r="N192" i="78"/>
  <c r="N191" i="78"/>
  <c r="N190" i="78"/>
  <c r="M189" i="78"/>
  <c r="L189" i="78"/>
  <c r="K189" i="78"/>
  <c r="J189" i="78"/>
  <c r="J197" i="78"/>
  <c r="J201" i="78"/>
  <c r="J361" i="78"/>
  <c r="I189" i="78"/>
  <c r="H189" i="78"/>
  <c r="G189" i="78"/>
  <c r="F189" i="78"/>
  <c r="E189" i="78"/>
  <c r="D189" i="78"/>
  <c r="C189" i="78"/>
  <c r="B189" i="78"/>
  <c r="N188" i="78"/>
  <c r="N187" i="78"/>
  <c r="N186" i="78"/>
  <c r="N185" i="78"/>
  <c r="F179" i="78"/>
  <c r="F180" i="78"/>
  <c r="B179" i="78"/>
  <c r="B180" i="78"/>
  <c r="N179" i="78"/>
  <c r="H179" i="78"/>
  <c r="I176" i="78"/>
  <c r="I179" i="78"/>
  <c r="I180" i="78"/>
  <c r="G179" i="78"/>
  <c r="G180" i="78"/>
  <c r="E179" i="78"/>
  <c r="E180" i="78"/>
  <c r="G181" i="78"/>
  <c r="D179" i="78"/>
  <c r="D180" i="78"/>
  <c r="D181" i="78"/>
  <c r="C179" i="78"/>
  <c r="C180" i="78"/>
  <c r="N178" i="78"/>
  <c r="N177" i="78"/>
  <c r="J176" i="78"/>
  <c r="J179" i="78"/>
  <c r="K176" i="78"/>
  <c r="K179" i="78"/>
  <c r="J159" i="78"/>
  <c r="J173" i="78"/>
  <c r="F159" i="78"/>
  <c r="F173" i="78"/>
  <c r="F171" i="78"/>
  <c r="N168" i="78"/>
  <c r="M159" i="78"/>
  <c r="M171" i="78"/>
  <c r="L159" i="78"/>
  <c r="K159" i="78"/>
  <c r="K171" i="78"/>
  <c r="J171" i="78"/>
  <c r="I159" i="78"/>
  <c r="I171" i="78"/>
  <c r="H159" i="78"/>
  <c r="H173" i="78"/>
  <c r="G159" i="78"/>
  <c r="G171" i="78"/>
  <c r="F164" i="78"/>
  <c r="F166" i="78"/>
  <c r="E159" i="78"/>
  <c r="E171" i="78"/>
  <c r="D159" i="78"/>
  <c r="C159" i="78"/>
  <c r="C171" i="78"/>
  <c r="B159" i="78"/>
  <c r="B171" i="78"/>
  <c r="N158" i="78"/>
  <c r="N157" i="78"/>
  <c r="N156" i="78"/>
  <c r="N155" i="78"/>
  <c r="N154" i="78"/>
  <c r="N153" i="78"/>
  <c r="N152" i="78"/>
  <c r="N151" i="78"/>
  <c r="N150" i="78"/>
  <c r="N149" i="78"/>
  <c r="N148" i="78"/>
  <c r="O141" i="78"/>
  <c r="O140" i="78"/>
  <c r="O139" i="78"/>
  <c r="O138" i="78"/>
  <c r="O137" i="78"/>
  <c r="O136" i="78"/>
  <c r="O135" i="78"/>
  <c r="O134" i="78"/>
  <c r="O133" i="78"/>
  <c r="O132" i="78"/>
  <c r="O131" i="78"/>
  <c r="O130" i="78"/>
  <c r="O129" i="78"/>
  <c r="O128" i="78"/>
  <c r="O125" i="78"/>
  <c r="N124" i="78"/>
  <c r="M124" i="78"/>
  <c r="L124" i="78"/>
  <c r="K124" i="78"/>
  <c r="J124" i="78"/>
  <c r="I124" i="78"/>
  <c r="H124" i="78"/>
  <c r="G124" i="78"/>
  <c r="F124" i="78"/>
  <c r="E124" i="78"/>
  <c r="D124" i="78"/>
  <c r="C124" i="78"/>
  <c r="O123" i="78"/>
  <c r="O122" i="78"/>
  <c r="O121" i="78"/>
  <c r="O120" i="78"/>
  <c r="O119" i="78"/>
  <c r="O118" i="78"/>
  <c r="O117" i="78"/>
  <c r="O116" i="78"/>
  <c r="O115" i="78"/>
  <c r="M112" i="78"/>
  <c r="N55" i="78"/>
  <c r="N54" i="78"/>
  <c r="N53" i="78"/>
  <c r="N52" i="78"/>
  <c r="N51" i="78"/>
  <c r="N50" i="78"/>
  <c r="N46" i="78"/>
  <c r="N45" i="78"/>
  <c r="N44" i="78"/>
  <c r="N43" i="78"/>
  <c r="N42" i="78"/>
  <c r="M37" i="78"/>
  <c r="L37" i="78"/>
  <c r="K37" i="78"/>
  <c r="M38" i="78"/>
  <c r="J37" i="78"/>
  <c r="I37" i="78"/>
  <c r="H37" i="78"/>
  <c r="G37" i="78"/>
  <c r="F37" i="78"/>
  <c r="E37" i="78"/>
  <c r="D37" i="78"/>
  <c r="D38" i="78"/>
  <c r="C37" i="78"/>
  <c r="B37" i="78"/>
  <c r="G16" i="78"/>
  <c r="G28" i="78"/>
  <c r="N25" i="78"/>
  <c r="K16" i="78"/>
  <c r="K21" i="78"/>
  <c r="K23" i="78"/>
  <c r="M16" i="78"/>
  <c r="M21" i="78"/>
  <c r="M23" i="78"/>
  <c r="L16" i="78"/>
  <c r="L30" i="78"/>
  <c r="K30" i="78"/>
  <c r="J16" i="78"/>
  <c r="J28" i="78"/>
  <c r="I16" i="78"/>
  <c r="I21" i="78"/>
  <c r="I23" i="78"/>
  <c r="H16" i="78"/>
  <c r="H30" i="78"/>
  <c r="G30" i="78"/>
  <c r="F16" i="78"/>
  <c r="F28" i="78"/>
  <c r="E16" i="78"/>
  <c r="E21" i="78"/>
  <c r="E23" i="78"/>
  <c r="D16" i="78"/>
  <c r="D30" i="78"/>
  <c r="C16" i="78"/>
  <c r="C30" i="78"/>
  <c r="B16" i="78"/>
  <c r="B28" i="78"/>
  <c r="N15" i="78"/>
  <c r="N14" i="78"/>
  <c r="N13" i="78"/>
  <c r="N12" i="78"/>
  <c r="N11" i="78"/>
  <c r="N10" i="78"/>
  <c r="N9" i="78"/>
  <c r="N8" i="78"/>
  <c r="N7" i="78"/>
  <c r="N6" i="78"/>
  <c r="N5" i="78"/>
  <c r="N4" i="78"/>
  <c r="F389" i="76"/>
  <c r="O127" i="76"/>
  <c r="F325" i="76"/>
  <c r="O270" i="76"/>
  <c r="O274" i="76"/>
  <c r="P353" i="76"/>
  <c r="N235" i="81"/>
  <c r="M239" i="81"/>
  <c r="M240" i="81"/>
  <c r="L316" i="80"/>
  <c r="M312" i="80"/>
  <c r="M315" i="80"/>
  <c r="L239" i="80"/>
  <c r="E224" i="78"/>
  <c r="C231" i="78"/>
  <c r="C221" i="78"/>
  <c r="C229" i="78"/>
  <c r="C405" i="78"/>
  <c r="C394" i="78"/>
  <c r="N57" i="78"/>
  <c r="N189" i="78"/>
  <c r="H19" i="78"/>
  <c r="L19" i="78"/>
  <c r="H22" i="78"/>
  <c r="L22" i="78"/>
  <c r="H27" i="78"/>
  <c r="L27" i="78"/>
  <c r="I28" i="78"/>
  <c r="H29" i="78"/>
  <c r="L29" i="78"/>
  <c r="J38" i="78"/>
  <c r="G162" i="78"/>
  <c r="K162" i="78"/>
  <c r="J164" i="78"/>
  <c r="J166" i="78"/>
  <c r="G165" i="78"/>
  <c r="K165" i="78"/>
  <c r="I170" i="78"/>
  <c r="M170" i="78"/>
  <c r="I172" i="78"/>
  <c r="M172" i="78"/>
  <c r="I173" i="78"/>
  <c r="M173" i="78"/>
  <c r="H180" i="78"/>
  <c r="K197" i="78"/>
  <c r="K201" i="78"/>
  <c r="K361" i="78"/>
  <c r="M197" i="78"/>
  <c r="M201" i="78"/>
  <c r="M361" i="78"/>
  <c r="D197" i="78"/>
  <c r="D201" i="78"/>
  <c r="D361" i="78"/>
  <c r="H197" i="78"/>
  <c r="H201" i="78"/>
  <c r="H361" i="78"/>
  <c r="L197" i="78"/>
  <c r="L201" i="78"/>
  <c r="L361" i="78"/>
  <c r="E221" i="78"/>
  <c r="I221" i="78"/>
  <c r="M221" i="78"/>
  <c r="E223" i="78"/>
  <c r="E225" i="78"/>
  <c r="I223" i="78"/>
  <c r="I225" i="78"/>
  <c r="C224" i="78"/>
  <c r="G224" i="78"/>
  <c r="K224" i="78"/>
  <c r="E229" i="78"/>
  <c r="I229" i="78"/>
  <c r="M229" i="78"/>
  <c r="L230" i="78"/>
  <c r="E231" i="78"/>
  <c r="I231" i="78"/>
  <c r="M231" i="78"/>
  <c r="E232" i="78"/>
  <c r="I232" i="78"/>
  <c r="M232" i="78"/>
  <c r="E239" i="78"/>
  <c r="B298" i="78"/>
  <c r="E298" i="78"/>
  <c r="G298" i="78"/>
  <c r="J298" i="78"/>
  <c r="M298" i="78"/>
  <c r="E300" i="78"/>
  <c r="E302" i="78"/>
  <c r="I300" i="78"/>
  <c r="I302" i="78"/>
  <c r="M300" i="78"/>
  <c r="M302" i="78"/>
  <c r="I301" i="78"/>
  <c r="I306" i="78"/>
  <c r="B308" i="78"/>
  <c r="F308" i="78"/>
  <c r="J308" i="78"/>
  <c r="B309" i="78"/>
  <c r="F309" i="78"/>
  <c r="J309" i="78"/>
  <c r="E316" i="78"/>
  <c r="C337" i="78"/>
  <c r="C338" i="78"/>
  <c r="C344" i="78"/>
  <c r="K337" i="78"/>
  <c r="K338" i="78"/>
  <c r="K344" i="78"/>
  <c r="K356" i="78"/>
  <c r="J363" i="78"/>
  <c r="O342" i="78"/>
  <c r="D394" i="78"/>
  <c r="H394" i="78"/>
  <c r="L394" i="78"/>
  <c r="C396" i="78"/>
  <c r="C398" i="78"/>
  <c r="G396" i="78"/>
  <c r="G398" i="78"/>
  <c r="K396" i="78"/>
  <c r="K398" i="78"/>
  <c r="F397" i="78"/>
  <c r="F402" i="78"/>
  <c r="C404" i="78"/>
  <c r="G404" i="78"/>
  <c r="K404" i="78"/>
  <c r="B405" i="78"/>
  <c r="F405" i="78"/>
  <c r="J405" i="78"/>
  <c r="J412" i="78"/>
  <c r="M426" i="78"/>
  <c r="M428" i="78"/>
  <c r="M435" i="78"/>
  <c r="M439" i="78"/>
  <c r="F19" i="78"/>
  <c r="J19" i="78"/>
  <c r="F22" i="78"/>
  <c r="J22" i="78"/>
  <c r="F27" i="78"/>
  <c r="J27" i="78"/>
  <c r="F29" i="78"/>
  <c r="J29" i="78"/>
  <c r="I162" i="78"/>
  <c r="M162" i="78"/>
  <c r="I164" i="78"/>
  <c r="I166" i="78"/>
  <c r="M164" i="78"/>
  <c r="M166" i="78"/>
  <c r="I165" i="78"/>
  <c r="M165" i="78"/>
  <c r="G170" i="78"/>
  <c r="K170" i="78"/>
  <c r="G172" i="78"/>
  <c r="K172" i="78"/>
  <c r="N218" i="78"/>
  <c r="D223" i="78"/>
  <c r="D225" i="78"/>
  <c r="H223" i="78"/>
  <c r="H225" i="78"/>
  <c r="D230" i="78"/>
  <c r="C298" i="78"/>
  <c r="I298" i="78"/>
  <c r="K298" i="78"/>
  <c r="E301" i="78"/>
  <c r="M301" i="78"/>
  <c r="E306" i="78"/>
  <c r="M306" i="78"/>
  <c r="C308" i="78"/>
  <c r="G308" i="78"/>
  <c r="K308" i="78"/>
  <c r="E309" i="78"/>
  <c r="I309" i="78"/>
  <c r="M309" i="78"/>
  <c r="G337" i="78"/>
  <c r="G338" i="78"/>
  <c r="G344" i="78"/>
  <c r="G356" i="78"/>
  <c r="F363" i="78"/>
  <c r="B396" i="78"/>
  <c r="B398" i="78"/>
  <c r="F396" i="78"/>
  <c r="F398" i="78"/>
  <c r="J396" i="78"/>
  <c r="J398" i="78"/>
  <c r="B397" i="78"/>
  <c r="J397" i="78"/>
  <c r="B402" i="78"/>
  <c r="J402" i="78"/>
  <c r="D404" i="78"/>
  <c r="H404" i="78"/>
  <c r="L404" i="78"/>
  <c r="J413" i="78"/>
  <c r="G413" i="78"/>
  <c r="E435" i="78"/>
  <c r="E439" i="78"/>
  <c r="N433" i="78"/>
  <c r="O355" i="78"/>
  <c r="I197" i="78"/>
  <c r="I201" i="78"/>
  <c r="I361" i="78"/>
  <c r="F197" i="78"/>
  <c r="F201" i="78"/>
  <c r="F361" i="78"/>
  <c r="G197" i="78"/>
  <c r="G201" i="78"/>
  <c r="G361" i="78"/>
  <c r="E197" i="78"/>
  <c r="E201" i="78"/>
  <c r="E361" i="78"/>
  <c r="C197" i="78"/>
  <c r="C201" i="78"/>
  <c r="C361" i="78"/>
  <c r="N195" i="78"/>
  <c r="E173" i="78"/>
  <c r="E165" i="78"/>
  <c r="E162" i="78"/>
  <c r="E170" i="78"/>
  <c r="E164" i="78"/>
  <c r="E166" i="78"/>
  <c r="E172" i="78"/>
  <c r="C162" i="78"/>
  <c r="C165" i="78"/>
  <c r="C170" i="78"/>
  <c r="C172" i="78"/>
  <c r="N159" i="78"/>
  <c r="B164" i="78"/>
  <c r="B166" i="78"/>
  <c r="D27" i="78"/>
  <c r="D29" i="78"/>
  <c r="D19" i="78"/>
  <c r="D22" i="78"/>
  <c r="C21" i="78"/>
  <c r="C23" i="78"/>
  <c r="B19" i="78"/>
  <c r="B27" i="78"/>
  <c r="B29" i="78"/>
  <c r="B22" i="78"/>
  <c r="O124" i="78"/>
  <c r="E253" i="78"/>
  <c r="E254" i="78"/>
  <c r="E262" i="78"/>
  <c r="E278" i="78"/>
  <c r="D362" i="78"/>
  <c r="C253" i="78"/>
  <c r="C254" i="78"/>
  <c r="C262" i="78"/>
  <c r="M253" i="78"/>
  <c r="M254" i="78"/>
  <c r="M262" i="78"/>
  <c r="M278" i="78"/>
  <c r="L362" i="78"/>
  <c r="I112" i="78"/>
  <c r="K253" i="78"/>
  <c r="K254" i="78"/>
  <c r="K262" i="78"/>
  <c r="K278" i="78"/>
  <c r="J362" i="78"/>
  <c r="G253" i="78"/>
  <c r="G254" i="78"/>
  <c r="G262" i="78"/>
  <c r="G278" i="78"/>
  <c r="F362" i="78"/>
  <c r="K412" i="78"/>
  <c r="L408" i="78"/>
  <c r="L411" i="78"/>
  <c r="K180" i="78"/>
  <c r="L176" i="78"/>
  <c r="L179" i="78"/>
  <c r="F316" i="78"/>
  <c r="G312" i="78"/>
  <c r="G315" i="78"/>
  <c r="D170" i="78"/>
  <c r="D165" i="78"/>
  <c r="D172" i="78"/>
  <c r="D162" i="78"/>
  <c r="L170" i="78"/>
  <c r="L165" i="78"/>
  <c r="L172" i="78"/>
  <c r="L162" i="78"/>
  <c r="B231" i="78"/>
  <c r="B221" i="78"/>
  <c r="B229" i="78"/>
  <c r="B224" i="78"/>
  <c r="J231" i="78"/>
  <c r="J221" i="78"/>
  <c r="J229" i="78"/>
  <c r="J224" i="78"/>
  <c r="E402" i="78"/>
  <c r="E397" i="78"/>
  <c r="E404" i="78"/>
  <c r="E394" i="78"/>
  <c r="E405" i="78"/>
  <c r="E396" i="78"/>
  <c r="E398" i="78"/>
  <c r="G399" i="78"/>
  <c r="M402" i="78"/>
  <c r="M397" i="78"/>
  <c r="M404" i="78"/>
  <c r="M394" i="78"/>
  <c r="M405" i="78"/>
  <c r="M396" i="78"/>
  <c r="M398" i="78"/>
  <c r="E29" i="78"/>
  <c r="E19" i="78"/>
  <c r="E27" i="78"/>
  <c r="E22" i="78"/>
  <c r="M29" i="78"/>
  <c r="M19" i="78"/>
  <c r="M27" i="78"/>
  <c r="M22" i="78"/>
  <c r="B172" i="78"/>
  <c r="B170" i="78"/>
  <c r="B165" i="78"/>
  <c r="F172" i="78"/>
  <c r="F162" i="78"/>
  <c r="F170" i="78"/>
  <c r="F165" i="78"/>
  <c r="J172" i="78"/>
  <c r="J162" i="78"/>
  <c r="J170" i="78"/>
  <c r="J165" i="78"/>
  <c r="D229" i="78"/>
  <c r="D224" i="78"/>
  <c r="D231" i="78"/>
  <c r="D221" i="78"/>
  <c r="H229" i="78"/>
  <c r="H224" i="78"/>
  <c r="H231" i="78"/>
  <c r="H221" i="78"/>
  <c r="L229" i="78"/>
  <c r="L224" i="78"/>
  <c r="L231" i="78"/>
  <c r="L221" i="78"/>
  <c r="N253" i="78"/>
  <c r="N254" i="78"/>
  <c r="N262" i="78"/>
  <c r="N278" i="78"/>
  <c r="M362" i="78"/>
  <c r="J253" i="78"/>
  <c r="J254" i="78"/>
  <c r="J262" i="78"/>
  <c r="J278" i="78"/>
  <c r="I362" i="78"/>
  <c r="F253" i="78"/>
  <c r="F254" i="78"/>
  <c r="F262" i="78"/>
  <c r="F278" i="78"/>
  <c r="E362" i="78"/>
  <c r="L253" i="78"/>
  <c r="L254" i="78"/>
  <c r="L262" i="78"/>
  <c r="L278" i="78"/>
  <c r="K362" i="78"/>
  <c r="H253" i="78"/>
  <c r="H254" i="78"/>
  <c r="H262" i="78"/>
  <c r="H278" i="78"/>
  <c r="G362" i="78"/>
  <c r="D253" i="78"/>
  <c r="D254" i="78"/>
  <c r="D262" i="78"/>
  <c r="D278" i="78"/>
  <c r="C362" i="78"/>
  <c r="L164" i="78"/>
  <c r="L166" i="78"/>
  <c r="H171" i="78"/>
  <c r="J180" i="78"/>
  <c r="J181" i="78"/>
  <c r="B197" i="78"/>
  <c r="B232" i="78"/>
  <c r="O268" i="78"/>
  <c r="O277" i="78"/>
  <c r="M403" i="78"/>
  <c r="M30" i="78"/>
  <c r="G112" i="78"/>
  <c r="D173" i="78"/>
  <c r="B223" i="78"/>
  <c r="B230" i="78"/>
  <c r="J230" i="78"/>
  <c r="F232" i="78"/>
  <c r="E28" i="78"/>
  <c r="M28" i="78"/>
  <c r="N47" i="78"/>
  <c r="E112" i="78"/>
  <c r="D164" i="78"/>
  <c r="D166" i="78"/>
  <c r="D171" i="78"/>
  <c r="L171" i="78"/>
  <c r="N171" i="78"/>
  <c r="B173" i="78"/>
  <c r="L223" i="78"/>
  <c r="L225" i="78"/>
  <c r="H230" i="78"/>
  <c r="J232" i="78"/>
  <c r="G235" i="78"/>
  <c r="G238" i="78"/>
  <c r="I253" i="78"/>
  <c r="I254" i="78"/>
  <c r="I262" i="78"/>
  <c r="I278" i="78"/>
  <c r="H362" i="78"/>
  <c r="O260" i="78"/>
  <c r="N391" i="78"/>
  <c r="E403" i="78"/>
  <c r="H170" i="78"/>
  <c r="H165" i="78"/>
  <c r="H172" i="78"/>
  <c r="H162" i="78"/>
  <c r="F231" i="78"/>
  <c r="F221" i="78"/>
  <c r="F229" i="78"/>
  <c r="F224" i="78"/>
  <c r="I402" i="78"/>
  <c r="I397" i="78"/>
  <c r="I404" i="78"/>
  <c r="I394" i="78"/>
  <c r="I405" i="78"/>
  <c r="I396" i="78"/>
  <c r="I398" i="78"/>
  <c r="I29" i="78"/>
  <c r="I19" i="78"/>
  <c r="I27" i="78"/>
  <c r="I22" i="78"/>
  <c r="L112" i="78"/>
  <c r="H112" i="78"/>
  <c r="D112" i="78"/>
  <c r="N112" i="78"/>
  <c r="J112" i="78"/>
  <c r="F112" i="78"/>
  <c r="C27" i="78"/>
  <c r="C22" i="78"/>
  <c r="C29" i="78"/>
  <c r="C19" i="78"/>
  <c r="G27" i="78"/>
  <c r="G22" i="78"/>
  <c r="G29" i="78"/>
  <c r="G19" i="78"/>
  <c r="K27" i="78"/>
  <c r="K22" i="78"/>
  <c r="K29" i="78"/>
  <c r="K19" i="78"/>
  <c r="D306" i="78"/>
  <c r="D301" i="78"/>
  <c r="D308" i="78"/>
  <c r="D298" i="78"/>
  <c r="D309" i="78"/>
  <c r="D300" i="78"/>
  <c r="D302" i="78"/>
  <c r="H306" i="78"/>
  <c r="H301" i="78"/>
  <c r="H308" i="78"/>
  <c r="H298" i="78"/>
  <c r="H309" i="78"/>
  <c r="H300" i="78"/>
  <c r="H302" i="78"/>
  <c r="J303" i="78"/>
  <c r="L306" i="78"/>
  <c r="L301" i="78"/>
  <c r="L308" i="78"/>
  <c r="L298" i="78"/>
  <c r="L309" i="78"/>
  <c r="L300" i="78"/>
  <c r="L302" i="78"/>
  <c r="L426" i="78"/>
  <c r="L428" i="78"/>
  <c r="L435" i="78"/>
  <c r="L439" i="78"/>
  <c r="H426" i="78"/>
  <c r="H428" i="78"/>
  <c r="H435" i="78"/>
  <c r="H439" i="78"/>
  <c r="D426" i="78"/>
  <c r="D428" i="78"/>
  <c r="D435" i="78"/>
  <c r="D439" i="78"/>
  <c r="J426" i="78"/>
  <c r="J428" i="78"/>
  <c r="J435" i="78"/>
  <c r="J439" i="78"/>
  <c r="F426" i="78"/>
  <c r="F428" i="78"/>
  <c r="F435" i="78"/>
  <c r="F439" i="78"/>
  <c r="B426" i="78"/>
  <c r="K426" i="78"/>
  <c r="K428" i="78"/>
  <c r="K435" i="78"/>
  <c r="K439" i="78"/>
  <c r="G426" i="78"/>
  <c r="G428" i="78"/>
  <c r="G435" i="78"/>
  <c r="G439" i="78"/>
  <c r="C426" i="78"/>
  <c r="C428" i="78"/>
  <c r="C435" i="78"/>
  <c r="C439" i="78"/>
  <c r="E30" i="78"/>
  <c r="G38" i="78"/>
  <c r="G21" i="78"/>
  <c r="G23" i="78"/>
  <c r="C28" i="78"/>
  <c r="K28" i="78"/>
  <c r="I30" i="78"/>
  <c r="C112" i="78"/>
  <c r="K112" i="78"/>
  <c r="H164" i="78"/>
  <c r="H166" i="78"/>
  <c r="J167" i="78"/>
  <c r="L173" i="78"/>
  <c r="J223" i="78"/>
  <c r="J225" i="78"/>
  <c r="J226" i="78"/>
  <c r="F230" i="78"/>
  <c r="C301" i="78"/>
  <c r="G301" i="78"/>
  <c r="K301" i="78"/>
  <c r="C306" i="78"/>
  <c r="G306" i="78"/>
  <c r="K306" i="78"/>
  <c r="B307" i="78"/>
  <c r="F307" i="78"/>
  <c r="J307" i="78"/>
  <c r="E308" i="78"/>
  <c r="I308" i="78"/>
  <c r="M308" i="78"/>
  <c r="E337" i="78"/>
  <c r="E338" i="78"/>
  <c r="E344" i="78"/>
  <c r="E356" i="78"/>
  <c r="D363" i="78"/>
  <c r="I337" i="78"/>
  <c r="I338" i="78"/>
  <c r="I344" i="78"/>
  <c r="I356" i="78"/>
  <c r="H363" i="78"/>
  <c r="M337" i="78"/>
  <c r="M338" i="78"/>
  <c r="M344" i="78"/>
  <c r="M356" i="78"/>
  <c r="L363" i="78"/>
  <c r="B394" i="78"/>
  <c r="F394" i="78"/>
  <c r="J394" i="78"/>
  <c r="D397" i="78"/>
  <c r="H397" i="78"/>
  <c r="L397" i="78"/>
  <c r="D402" i="78"/>
  <c r="H402" i="78"/>
  <c r="L402" i="78"/>
  <c r="C403" i="78"/>
  <c r="G403" i="78"/>
  <c r="K403" i="78"/>
  <c r="B404" i="78"/>
  <c r="F404" i="78"/>
  <c r="J404" i="78"/>
  <c r="B21" i="78"/>
  <c r="F21" i="78"/>
  <c r="F23" i="78"/>
  <c r="G24" i="78"/>
  <c r="J21" i="78"/>
  <c r="J23" i="78"/>
  <c r="D28" i="78"/>
  <c r="H28" i="78"/>
  <c r="L28" i="78"/>
  <c r="B30" i="78"/>
  <c r="F30" i="78"/>
  <c r="J30" i="78"/>
  <c r="C164" i="78"/>
  <c r="C166" i="78"/>
  <c r="G164" i="78"/>
  <c r="G166" i="78"/>
  <c r="G167" i="78"/>
  <c r="K164" i="78"/>
  <c r="K166" i="78"/>
  <c r="M167" i="78"/>
  <c r="C173" i="78"/>
  <c r="G173" i="78"/>
  <c r="K173" i="78"/>
  <c r="C223" i="78"/>
  <c r="C225" i="78"/>
  <c r="G223" i="78"/>
  <c r="G225" i="78"/>
  <c r="G226" i="78"/>
  <c r="K223" i="78"/>
  <c r="K225" i="78"/>
  <c r="C232" i="78"/>
  <c r="G232" i="78"/>
  <c r="K232" i="78"/>
  <c r="C300" i="78"/>
  <c r="C302" i="78"/>
  <c r="D303" i="78"/>
  <c r="G300" i="78"/>
  <c r="G302" i="78"/>
  <c r="G303" i="78"/>
  <c r="K300" i="78"/>
  <c r="K302" i="78"/>
  <c r="M303" i="78"/>
  <c r="B301" i="78"/>
  <c r="F301" i="78"/>
  <c r="J301" i="78"/>
  <c r="C309" i="78"/>
  <c r="G309" i="78"/>
  <c r="K309" i="78"/>
  <c r="N309" i="78"/>
  <c r="D337" i="78"/>
  <c r="H337" i="78"/>
  <c r="H338" i="78"/>
  <c r="H344" i="78"/>
  <c r="H356" i="78"/>
  <c r="G363" i="78"/>
  <c r="L337" i="78"/>
  <c r="L338" i="78"/>
  <c r="L344" i="78"/>
  <c r="L356" i="78"/>
  <c r="K363" i="78"/>
  <c r="D396" i="78"/>
  <c r="D398" i="78"/>
  <c r="H396" i="78"/>
  <c r="H398" i="78"/>
  <c r="L396" i="78"/>
  <c r="L398" i="78"/>
  <c r="M399" i="78"/>
  <c r="C397" i="78"/>
  <c r="G397" i="78"/>
  <c r="K397" i="78"/>
  <c r="D405" i="78"/>
  <c r="H405" i="78"/>
  <c r="L405" i="78"/>
  <c r="N16" i="78"/>
  <c r="D21" i="78"/>
  <c r="D23" i="78"/>
  <c r="H21" i="78"/>
  <c r="H23" i="78"/>
  <c r="J24" i="78"/>
  <c r="L21" i="78"/>
  <c r="L23" i="78"/>
  <c r="M24" i="78"/>
  <c r="F337" i="78"/>
  <c r="F338" i="78"/>
  <c r="F344" i="78"/>
  <c r="F356" i="78"/>
  <c r="E363" i="78"/>
  <c r="J337" i="78"/>
  <c r="J338" i="78"/>
  <c r="J344" i="78"/>
  <c r="J356" i="78"/>
  <c r="I363" i="78"/>
  <c r="D353" i="76"/>
  <c r="E353" i="76"/>
  <c r="F353" i="76"/>
  <c r="G353" i="76"/>
  <c r="H353" i="76"/>
  <c r="I353" i="76"/>
  <c r="J353" i="76"/>
  <c r="K353" i="76"/>
  <c r="L353" i="76"/>
  <c r="M353" i="76"/>
  <c r="N353" i="76"/>
  <c r="C353" i="76"/>
  <c r="P125" i="76"/>
  <c r="P259" i="76"/>
  <c r="P275" i="76"/>
  <c r="D275" i="76"/>
  <c r="E275" i="76"/>
  <c r="F275" i="76"/>
  <c r="G275" i="76"/>
  <c r="H275" i="76"/>
  <c r="I275" i="76"/>
  <c r="J275" i="76"/>
  <c r="K275" i="76"/>
  <c r="L275" i="76"/>
  <c r="M275" i="76"/>
  <c r="N275" i="76"/>
  <c r="C275" i="76"/>
  <c r="O264" i="76"/>
  <c r="O265" i="76"/>
  <c r="O266" i="76"/>
  <c r="O267" i="76"/>
  <c r="O254" i="76"/>
  <c r="O255" i="76"/>
  <c r="O256" i="76"/>
  <c r="O257" i="76"/>
  <c r="O258" i="76"/>
  <c r="O115" i="76"/>
  <c r="O116" i="76"/>
  <c r="O117" i="76"/>
  <c r="O118" i="76"/>
  <c r="O119" i="76"/>
  <c r="O120" i="76"/>
  <c r="O121" i="76"/>
  <c r="O122" i="76"/>
  <c r="P141" i="76"/>
  <c r="D141" i="76"/>
  <c r="E141" i="76"/>
  <c r="F141" i="76"/>
  <c r="G141" i="76"/>
  <c r="H141" i="76"/>
  <c r="I141" i="76"/>
  <c r="J141" i="76"/>
  <c r="K141" i="76"/>
  <c r="L141" i="76"/>
  <c r="M141" i="76"/>
  <c r="N141" i="76"/>
  <c r="C141" i="76"/>
  <c r="O128" i="76"/>
  <c r="O129" i="76"/>
  <c r="O130" i="76"/>
  <c r="O131" i="76"/>
  <c r="O132" i="76"/>
  <c r="O133" i="76"/>
  <c r="O134" i="76"/>
  <c r="O135" i="76"/>
  <c r="O136" i="76"/>
  <c r="O137" i="76"/>
  <c r="O138" i="76"/>
  <c r="O139" i="76"/>
  <c r="O140" i="76"/>
  <c r="M239" i="80"/>
  <c r="M240" i="80"/>
  <c r="N235" i="80"/>
  <c r="N312" i="80"/>
  <c r="M316" i="80"/>
  <c r="M317" i="80"/>
  <c r="N405" i="78"/>
  <c r="N397" i="78"/>
  <c r="N396" i="78"/>
  <c r="N398" i="78"/>
  <c r="N301" i="78"/>
  <c r="N403" i="78"/>
  <c r="N308" i="78"/>
  <c r="N307" i="78"/>
  <c r="N303" i="78"/>
  <c r="N306" i="78"/>
  <c r="N298" i="78"/>
  <c r="N224" i="78"/>
  <c r="N164" i="78"/>
  <c r="D167" i="78"/>
  <c r="N167" i="78"/>
  <c r="N29" i="78"/>
  <c r="N28" i="78"/>
  <c r="N19" i="78"/>
  <c r="O262" i="78"/>
  <c r="C278" i="78"/>
  <c r="N223" i="78"/>
  <c r="N225" i="78"/>
  <c r="B225" i="78"/>
  <c r="D226" i="78"/>
  <c r="H312" i="78"/>
  <c r="H315" i="78"/>
  <c r="G316" i="78"/>
  <c r="G317" i="78"/>
  <c r="M408" i="78"/>
  <c r="M411" i="78"/>
  <c r="L412" i="78"/>
  <c r="D338" i="78"/>
  <c r="O337" i="78"/>
  <c r="O112" i="78"/>
  <c r="M226" i="78"/>
  <c r="N404" i="78"/>
  <c r="N394" i="78"/>
  <c r="N232" i="78"/>
  <c r="N172" i="78"/>
  <c r="N231" i="78"/>
  <c r="J399" i="78"/>
  <c r="N30" i="78"/>
  <c r="N27" i="78"/>
  <c r="N300" i="78"/>
  <c r="N302" i="78"/>
  <c r="N230" i="78"/>
  <c r="N162" i="78"/>
  <c r="N221" i="78"/>
  <c r="B23" i="78"/>
  <c r="D24" i="78"/>
  <c r="N24" i="78"/>
  <c r="N21" i="78"/>
  <c r="C356" i="78"/>
  <c r="B363" i="78"/>
  <c r="B201" i="78"/>
  <c r="B361" i="78"/>
  <c r="N197" i="78"/>
  <c r="N201" i="78"/>
  <c r="N361" i="78"/>
  <c r="B428" i="78"/>
  <c r="N426" i="78"/>
  <c r="H235" i="78"/>
  <c r="H238" i="78"/>
  <c r="G239" i="78"/>
  <c r="G240" i="78"/>
  <c r="M176" i="78"/>
  <c r="M179" i="78"/>
  <c r="L180" i="78"/>
  <c r="N165" i="78"/>
  <c r="D399" i="78"/>
  <c r="N399" i="78"/>
  <c r="N402" i="78"/>
  <c r="O253" i="78"/>
  <c r="N22" i="78"/>
  <c r="N173" i="78"/>
  <c r="N170" i="78"/>
  <c r="O254" i="78"/>
  <c r="N229" i="78"/>
  <c r="O141" i="76"/>
  <c r="O263" i="76"/>
  <c r="O268" i="76"/>
  <c r="O269" i="76"/>
  <c r="O271" i="76"/>
  <c r="O272" i="76"/>
  <c r="O273" i="76"/>
  <c r="N226" i="78"/>
  <c r="N166" i="78"/>
  <c r="H239" i="78"/>
  <c r="I235" i="78"/>
  <c r="I238" i="78"/>
  <c r="D344" i="78"/>
  <c r="O338" i="78"/>
  <c r="H316" i="78"/>
  <c r="I312" i="78"/>
  <c r="I315" i="78"/>
  <c r="B362" i="78"/>
  <c r="O278" i="78"/>
  <c r="N362" i="78"/>
  <c r="M180" i="78"/>
  <c r="M181" i="78"/>
  <c r="N176" i="78"/>
  <c r="N428" i="78"/>
  <c r="B435" i="78"/>
  <c r="M412" i="78"/>
  <c r="M413" i="78"/>
  <c r="N408" i="78"/>
  <c r="N23" i="78"/>
  <c r="O337" i="76"/>
  <c r="O352" i="76"/>
  <c r="O351" i="76"/>
  <c r="O350" i="76"/>
  <c r="O349" i="76"/>
  <c r="O348" i="76"/>
  <c r="O347" i="76"/>
  <c r="O346" i="76"/>
  <c r="O345" i="76"/>
  <c r="O344" i="76"/>
  <c r="O343" i="76"/>
  <c r="O341" i="76"/>
  <c r="N340" i="76"/>
  <c r="M340" i="76"/>
  <c r="L340" i="76"/>
  <c r="K340" i="76"/>
  <c r="J340" i="76"/>
  <c r="I340" i="76"/>
  <c r="H340" i="76"/>
  <c r="G340" i="76"/>
  <c r="F340" i="76"/>
  <c r="E340" i="76"/>
  <c r="D340" i="76"/>
  <c r="C340" i="76"/>
  <c r="O339" i="76"/>
  <c r="O338" i="76"/>
  <c r="N313" i="76"/>
  <c r="E313" i="76"/>
  <c r="F310" i="76"/>
  <c r="F313" i="76"/>
  <c r="D313" i="76"/>
  <c r="D314" i="76"/>
  <c r="D315" i="76"/>
  <c r="C313" i="76"/>
  <c r="C314" i="76"/>
  <c r="B313" i="76"/>
  <c r="B314" i="76"/>
  <c r="N312" i="76"/>
  <c r="N311" i="76"/>
  <c r="N302" i="76"/>
  <c r="M293" i="76"/>
  <c r="M305" i="76"/>
  <c r="L293" i="76"/>
  <c r="L306" i="76"/>
  <c r="K293" i="76"/>
  <c r="K307" i="76"/>
  <c r="J293" i="76"/>
  <c r="J304" i="76"/>
  <c r="I293" i="76"/>
  <c r="I305" i="76"/>
  <c r="H293" i="76"/>
  <c r="H306" i="76"/>
  <c r="G293" i="76"/>
  <c r="G307" i="76"/>
  <c r="F293" i="76"/>
  <c r="F304" i="76"/>
  <c r="E293" i="76"/>
  <c r="E305" i="76"/>
  <c r="D293" i="76"/>
  <c r="D306" i="76"/>
  <c r="C293" i="76"/>
  <c r="C307" i="76"/>
  <c r="B293" i="76"/>
  <c r="B304" i="76"/>
  <c r="N292" i="76"/>
  <c r="N291" i="76"/>
  <c r="N290" i="76"/>
  <c r="N289" i="76"/>
  <c r="N288" i="76"/>
  <c r="N287" i="76"/>
  <c r="N286" i="76"/>
  <c r="N285" i="76"/>
  <c r="N284" i="76"/>
  <c r="N283" i="76"/>
  <c r="N282" i="76"/>
  <c r="D331" i="76"/>
  <c r="F335" i="76"/>
  <c r="D356" i="78"/>
  <c r="C363" i="78"/>
  <c r="O344" i="78"/>
  <c r="O356" i="78"/>
  <c r="N363" i="78"/>
  <c r="B439" i="78"/>
  <c r="N435" i="78"/>
  <c r="N439" i="78"/>
  <c r="J312" i="78"/>
  <c r="J315" i="78"/>
  <c r="I316" i="78"/>
  <c r="J235" i="78"/>
  <c r="J238" i="78"/>
  <c r="I239" i="78"/>
  <c r="O353" i="76"/>
  <c r="E314" i="76"/>
  <c r="G306" i="76"/>
  <c r="J306" i="76"/>
  <c r="B298" i="76"/>
  <c r="B300" i="76"/>
  <c r="F306" i="76"/>
  <c r="G296" i="76"/>
  <c r="B306" i="76"/>
  <c r="B307" i="76"/>
  <c r="F296" i="76"/>
  <c r="J298" i="76"/>
  <c r="J300" i="76"/>
  <c r="J307" i="76"/>
  <c r="F307" i="76"/>
  <c r="E298" i="76"/>
  <c r="E300" i="76"/>
  <c r="M298" i="76"/>
  <c r="M300" i="76"/>
  <c r="M299" i="76"/>
  <c r="M304" i="76"/>
  <c r="E307" i="76"/>
  <c r="M307" i="76"/>
  <c r="N293" i="76"/>
  <c r="C296" i="76"/>
  <c r="K296" i="76"/>
  <c r="I298" i="76"/>
  <c r="I300" i="76"/>
  <c r="I299" i="76"/>
  <c r="I304" i="76"/>
  <c r="B296" i="76"/>
  <c r="J296" i="76"/>
  <c r="F298" i="76"/>
  <c r="F300" i="76"/>
  <c r="E299" i="76"/>
  <c r="E304" i="76"/>
  <c r="C306" i="76"/>
  <c r="K306" i="76"/>
  <c r="I307" i="76"/>
  <c r="O340" i="76"/>
  <c r="F314" i="76"/>
  <c r="G310" i="76"/>
  <c r="G313" i="76"/>
  <c r="H305" i="76"/>
  <c r="D299" i="76"/>
  <c r="L299" i="76"/>
  <c r="D304" i="76"/>
  <c r="C305" i="76"/>
  <c r="E296" i="76"/>
  <c r="I296" i="76"/>
  <c r="M296" i="76"/>
  <c r="D298" i="76"/>
  <c r="D300" i="76"/>
  <c r="H298" i="76"/>
  <c r="H300" i="76"/>
  <c r="L298" i="76"/>
  <c r="L300" i="76"/>
  <c r="C299" i="76"/>
  <c r="G299" i="76"/>
  <c r="K299" i="76"/>
  <c r="C304" i="76"/>
  <c r="G304" i="76"/>
  <c r="K304" i="76"/>
  <c r="B305" i="76"/>
  <c r="F305" i="76"/>
  <c r="J305" i="76"/>
  <c r="E306" i="76"/>
  <c r="I306" i="76"/>
  <c r="M306" i="76"/>
  <c r="D307" i="76"/>
  <c r="H307" i="76"/>
  <c r="L307" i="76"/>
  <c r="D305" i="76"/>
  <c r="L305" i="76"/>
  <c r="H299" i="76"/>
  <c r="H304" i="76"/>
  <c r="L304" i="76"/>
  <c r="G305" i="76"/>
  <c r="K305" i="76"/>
  <c r="D296" i="76"/>
  <c r="H296" i="76"/>
  <c r="L296" i="76"/>
  <c r="C298" i="76"/>
  <c r="C300" i="76"/>
  <c r="D301" i="76"/>
  <c r="G298" i="76"/>
  <c r="G300" i="76"/>
  <c r="K298" i="76"/>
  <c r="K300" i="76"/>
  <c r="M301" i="76"/>
  <c r="B299" i="76"/>
  <c r="F299" i="76"/>
  <c r="J299" i="76"/>
  <c r="M111" i="76"/>
  <c r="N436" i="76"/>
  <c r="N435" i="76"/>
  <c r="N434" i="76"/>
  <c r="N432" i="76"/>
  <c r="M431" i="76"/>
  <c r="L431" i="76"/>
  <c r="K431" i="76"/>
  <c r="J431" i="76"/>
  <c r="I431" i="76"/>
  <c r="H431" i="76"/>
  <c r="G431" i="76"/>
  <c r="F431" i="76"/>
  <c r="E431" i="76"/>
  <c r="D431" i="76"/>
  <c r="C431" i="76"/>
  <c r="B431" i="76"/>
  <c r="N430" i="76"/>
  <c r="N429" i="76"/>
  <c r="N428" i="76"/>
  <c r="N427" i="76"/>
  <c r="N425" i="76"/>
  <c r="D420" i="76"/>
  <c r="M424" i="76"/>
  <c r="M426" i="76"/>
  <c r="N409" i="76"/>
  <c r="I409" i="76"/>
  <c r="J406" i="76"/>
  <c r="J409" i="76"/>
  <c r="H409" i="76"/>
  <c r="H410" i="76"/>
  <c r="G409" i="76"/>
  <c r="G410" i="76"/>
  <c r="F409" i="76"/>
  <c r="F410" i="76"/>
  <c r="E409" i="76"/>
  <c r="E410" i="76"/>
  <c r="D409" i="76"/>
  <c r="D410" i="76"/>
  <c r="D411" i="76"/>
  <c r="C409" i="76"/>
  <c r="C410" i="76"/>
  <c r="B409" i="76"/>
  <c r="B410" i="76"/>
  <c r="N408" i="76"/>
  <c r="N407" i="76"/>
  <c r="N398" i="76"/>
  <c r="M389" i="76"/>
  <c r="M403" i="76"/>
  <c r="L389" i="76"/>
  <c r="L403" i="76"/>
  <c r="K389" i="76"/>
  <c r="K403" i="76"/>
  <c r="J389" i="76"/>
  <c r="J403" i="76"/>
  <c r="I389" i="76"/>
  <c r="I403" i="76"/>
  <c r="H389" i="76"/>
  <c r="H403" i="76"/>
  <c r="G389" i="76"/>
  <c r="G403" i="76"/>
  <c r="F403" i="76"/>
  <c r="E389" i="76"/>
  <c r="E403" i="76"/>
  <c r="D389" i="76"/>
  <c r="D403" i="76"/>
  <c r="C389" i="76"/>
  <c r="C403" i="76"/>
  <c r="B389" i="76"/>
  <c r="B403" i="76"/>
  <c r="N388" i="76"/>
  <c r="N387" i="76"/>
  <c r="N386" i="76"/>
  <c r="N385" i="76"/>
  <c r="N384" i="76"/>
  <c r="N383" i="76"/>
  <c r="N382" i="76"/>
  <c r="N381" i="76"/>
  <c r="N380" i="76"/>
  <c r="N379" i="76"/>
  <c r="N378" i="76"/>
  <c r="O262" i="76"/>
  <c r="O275" i="76"/>
  <c r="O260" i="76"/>
  <c r="N259" i="76"/>
  <c r="M259" i="76"/>
  <c r="L259" i="76"/>
  <c r="K259" i="76"/>
  <c r="J259" i="76"/>
  <c r="I259" i="76"/>
  <c r="H259" i="76"/>
  <c r="G259" i="76"/>
  <c r="F259" i="76"/>
  <c r="E259" i="76"/>
  <c r="D259" i="76"/>
  <c r="C259" i="76"/>
  <c r="F247" i="76"/>
  <c r="F248" i="76"/>
  <c r="N237" i="76"/>
  <c r="E237" i="76"/>
  <c r="E238" i="76"/>
  <c r="D237" i="76"/>
  <c r="D238" i="76"/>
  <c r="D239" i="76"/>
  <c r="C237" i="76"/>
  <c r="C238" i="76"/>
  <c r="B237" i="76"/>
  <c r="B238" i="76"/>
  <c r="N236" i="76"/>
  <c r="N235" i="76"/>
  <c r="N226" i="76"/>
  <c r="M217" i="76"/>
  <c r="M231" i="76"/>
  <c r="L217" i="76"/>
  <c r="K217" i="76"/>
  <c r="K231" i="76"/>
  <c r="J217" i="76"/>
  <c r="I217" i="76"/>
  <c r="I231" i="76"/>
  <c r="H217" i="76"/>
  <c r="G217" i="76"/>
  <c r="G231" i="76"/>
  <c r="F217" i="76"/>
  <c r="E217" i="76"/>
  <c r="E231" i="76"/>
  <c r="D217" i="76"/>
  <c r="C217" i="76"/>
  <c r="C231" i="76"/>
  <c r="B217" i="76"/>
  <c r="N216" i="76"/>
  <c r="N215" i="76"/>
  <c r="N214" i="76"/>
  <c r="N213" i="76"/>
  <c r="N212" i="76"/>
  <c r="N211" i="76"/>
  <c r="N210" i="76"/>
  <c r="N209" i="76"/>
  <c r="N208" i="76"/>
  <c r="N207" i="76"/>
  <c r="N206" i="76"/>
  <c r="N199" i="76"/>
  <c r="N198" i="76"/>
  <c r="N197" i="76"/>
  <c r="N195" i="76"/>
  <c r="M194" i="76"/>
  <c r="L194" i="76"/>
  <c r="K194" i="76"/>
  <c r="J194" i="76"/>
  <c r="I194" i="76"/>
  <c r="H194" i="76"/>
  <c r="G194" i="76"/>
  <c r="F194" i="76"/>
  <c r="E194" i="76"/>
  <c r="D194" i="76"/>
  <c r="C194" i="76"/>
  <c r="B194" i="76"/>
  <c r="N193" i="76"/>
  <c r="N192" i="76"/>
  <c r="N191" i="76"/>
  <c r="N190" i="76"/>
  <c r="N189" i="76"/>
  <c r="M188" i="76"/>
  <c r="L188" i="76"/>
  <c r="K188" i="76"/>
  <c r="J188" i="76"/>
  <c r="I188" i="76"/>
  <c r="H188" i="76"/>
  <c r="G188" i="76"/>
  <c r="F188" i="76"/>
  <c r="E188" i="76"/>
  <c r="D188" i="76"/>
  <c r="C188" i="76"/>
  <c r="B188" i="76"/>
  <c r="N187" i="76"/>
  <c r="N186" i="76"/>
  <c r="N185" i="76"/>
  <c r="N184" i="76"/>
  <c r="N178" i="76"/>
  <c r="H178" i="76"/>
  <c r="I175" i="76"/>
  <c r="I178" i="76"/>
  <c r="G178" i="76"/>
  <c r="G179" i="76"/>
  <c r="F178" i="76"/>
  <c r="F179" i="76"/>
  <c r="E178" i="76"/>
  <c r="E179" i="76"/>
  <c r="D178" i="76"/>
  <c r="D179" i="76"/>
  <c r="D180" i="76"/>
  <c r="C178" i="76"/>
  <c r="C179" i="76"/>
  <c r="B178" i="76"/>
  <c r="B179" i="76"/>
  <c r="N177" i="76"/>
  <c r="N176" i="76"/>
  <c r="N167" i="76"/>
  <c r="M158" i="76"/>
  <c r="M172" i="76"/>
  <c r="L158" i="76"/>
  <c r="L171" i="76"/>
  <c r="K158" i="76"/>
  <c r="K172" i="76"/>
  <c r="J158" i="76"/>
  <c r="J172" i="76"/>
  <c r="I158" i="76"/>
  <c r="I172" i="76"/>
  <c r="H158" i="76"/>
  <c r="H170" i="76"/>
  <c r="G158" i="76"/>
  <c r="G172" i="76"/>
  <c r="F158" i="76"/>
  <c r="F172" i="76"/>
  <c r="E158" i="76"/>
  <c r="E172" i="76"/>
  <c r="D158" i="76"/>
  <c r="D170" i="76"/>
  <c r="C158" i="76"/>
  <c r="C172" i="76"/>
  <c r="B158" i="76"/>
  <c r="B172" i="76"/>
  <c r="N157" i="76"/>
  <c r="N156" i="76"/>
  <c r="N155" i="76"/>
  <c r="N154" i="76"/>
  <c r="N153" i="76"/>
  <c r="N152" i="76"/>
  <c r="N151" i="76"/>
  <c r="N150" i="76"/>
  <c r="N149" i="76"/>
  <c r="N148" i="76"/>
  <c r="N147" i="76"/>
  <c r="O124" i="76"/>
  <c r="N123" i="76"/>
  <c r="M123" i="76"/>
  <c r="L123" i="76"/>
  <c r="K123" i="76"/>
  <c r="J123" i="76"/>
  <c r="I123" i="76"/>
  <c r="H123" i="76"/>
  <c r="G123" i="76"/>
  <c r="F123" i="76"/>
  <c r="E123" i="76"/>
  <c r="D123" i="76"/>
  <c r="C123" i="76"/>
  <c r="O114" i="76"/>
  <c r="N55" i="76"/>
  <c r="N54" i="76"/>
  <c r="N53" i="76"/>
  <c r="N52" i="76"/>
  <c r="N51" i="76"/>
  <c r="N50" i="76"/>
  <c r="N46" i="76"/>
  <c r="N45" i="76"/>
  <c r="N44" i="76"/>
  <c r="N43" i="76"/>
  <c r="N42" i="76"/>
  <c r="M37" i="76"/>
  <c r="L37" i="76"/>
  <c r="K37" i="76"/>
  <c r="J37" i="76"/>
  <c r="I37" i="76"/>
  <c r="H37" i="76"/>
  <c r="G37" i="76"/>
  <c r="F37" i="76"/>
  <c r="E37" i="76"/>
  <c r="D37" i="76"/>
  <c r="D38" i="76"/>
  <c r="C37" i="76"/>
  <c r="B37" i="76"/>
  <c r="N25" i="76"/>
  <c r="M16" i="76"/>
  <c r="M30" i="76"/>
  <c r="L16" i="76"/>
  <c r="L30" i="76"/>
  <c r="K16" i="76"/>
  <c r="K30" i="76"/>
  <c r="J16" i="76"/>
  <c r="J30" i="76"/>
  <c r="I16" i="76"/>
  <c r="I30" i="76"/>
  <c r="H16" i="76"/>
  <c r="H30" i="76"/>
  <c r="G16" i="76"/>
  <c r="G30" i="76"/>
  <c r="F16" i="76"/>
  <c r="F30" i="76"/>
  <c r="E16" i="76"/>
  <c r="E30" i="76"/>
  <c r="D16" i="76"/>
  <c r="D30" i="76"/>
  <c r="C16" i="76"/>
  <c r="C30" i="76"/>
  <c r="B16" i="76"/>
  <c r="B30" i="76"/>
  <c r="N15" i="76"/>
  <c r="N14" i="76"/>
  <c r="N13" i="76"/>
  <c r="N12" i="76"/>
  <c r="N11" i="76"/>
  <c r="N10" i="76"/>
  <c r="N9" i="76"/>
  <c r="N8" i="76"/>
  <c r="N7" i="76"/>
  <c r="N6" i="76"/>
  <c r="N5" i="76"/>
  <c r="N4" i="76"/>
  <c r="M335" i="76"/>
  <c r="D335" i="76"/>
  <c r="I335" i="76"/>
  <c r="I336" i="76"/>
  <c r="E335" i="76"/>
  <c r="E336" i="76"/>
  <c r="C335" i="76"/>
  <c r="C336" i="76"/>
  <c r="N335" i="76"/>
  <c r="K335" i="76"/>
  <c r="K336" i="76"/>
  <c r="G335" i="76"/>
  <c r="G336" i="76"/>
  <c r="G342" i="76"/>
  <c r="G354" i="76"/>
  <c r="F361" i="76"/>
  <c r="J335" i="76"/>
  <c r="J336" i="76"/>
  <c r="J342" i="76"/>
  <c r="J354" i="76"/>
  <c r="I361" i="76"/>
  <c r="L335" i="76"/>
  <c r="L336" i="76"/>
  <c r="H335" i="76"/>
  <c r="H336" i="76"/>
  <c r="J316" i="78"/>
  <c r="J317" i="78"/>
  <c r="K312" i="78"/>
  <c r="K315" i="78"/>
  <c r="J239" i="78"/>
  <c r="J240" i="78"/>
  <c r="K235" i="78"/>
  <c r="K238" i="78"/>
  <c r="O259" i="76"/>
  <c r="J301" i="76"/>
  <c r="K392" i="76"/>
  <c r="H22" i="76"/>
  <c r="F424" i="76"/>
  <c r="F426" i="76"/>
  <c r="F433" i="76"/>
  <c r="F437" i="76"/>
  <c r="L22" i="76"/>
  <c r="D19" i="76"/>
  <c r="D29" i="76"/>
  <c r="B424" i="76"/>
  <c r="B426" i="76"/>
  <c r="B433" i="76"/>
  <c r="H19" i="76"/>
  <c r="L29" i="76"/>
  <c r="E161" i="76"/>
  <c r="C395" i="76"/>
  <c r="F29" i="76"/>
  <c r="I164" i="76"/>
  <c r="D22" i="76"/>
  <c r="H27" i="76"/>
  <c r="M161" i="76"/>
  <c r="C230" i="76"/>
  <c r="I179" i="76"/>
  <c r="J175" i="76"/>
  <c r="J178" i="76"/>
  <c r="K175" i="76"/>
  <c r="K178" i="76"/>
  <c r="L175" i="76"/>
  <c r="L178" i="76"/>
  <c r="E400" i="76"/>
  <c r="F27" i="76"/>
  <c r="N47" i="76"/>
  <c r="C196" i="76"/>
  <c r="C200" i="76"/>
  <c r="C359" i="76"/>
  <c r="K196" i="76"/>
  <c r="K200" i="76"/>
  <c r="K359" i="76"/>
  <c r="G228" i="76"/>
  <c r="L19" i="76"/>
  <c r="J27" i="76"/>
  <c r="J29" i="76"/>
  <c r="H179" i="76"/>
  <c r="E196" i="76"/>
  <c r="E200" i="76"/>
  <c r="E359" i="76"/>
  <c r="I196" i="76"/>
  <c r="I200" i="76"/>
  <c r="I359" i="76"/>
  <c r="M196" i="76"/>
  <c r="M200" i="76"/>
  <c r="M359" i="76"/>
  <c r="K230" i="76"/>
  <c r="C392" i="76"/>
  <c r="G395" i="76"/>
  <c r="I400" i="76"/>
  <c r="K402" i="76"/>
  <c r="J424" i="76"/>
  <c r="J426" i="76"/>
  <c r="J433" i="76"/>
  <c r="J437" i="76"/>
  <c r="N307" i="76"/>
  <c r="I402" i="76"/>
  <c r="G196" i="76"/>
  <c r="G200" i="76"/>
  <c r="G359" i="76"/>
  <c r="E402" i="76"/>
  <c r="G301" i="76"/>
  <c r="N301" i="76"/>
  <c r="B27" i="76"/>
  <c r="B29" i="76"/>
  <c r="F234" i="76"/>
  <c r="F237" i="76"/>
  <c r="G234" i="76"/>
  <c r="G237" i="76"/>
  <c r="G392" i="76"/>
  <c r="K395" i="76"/>
  <c r="M400" i="76"/>
  <c r="M402" i="76"/>
  <c r="J410" i="76"/>
  <c r="K406" i="76"/>
  <c r="K409" i="76"/>
  <c r="L406" i="76"/>
  <c r="L409" i="76"/>
  <c r="J38" i="76"/>
  <c r="I161" i="76"/>
  <c r="E164" i="76"/>
  <c r="M164" i="76"/>
  <c r="G169" i="76"/>
  <c r="C171" i="76"/>
  <c r="K171" i="76"/>
  <c r="G180" i="76"/>
  <c r="N194" i="76"/>
  <c r="E220" i="76"/>
  <c r="M220" i="76"/>
  <c r="I223" i="76"/>
  <c r="C228" i="76"/>
  <c r="K228" i="76"/>
  <c r="G230" i="76"/>
  <c r="N389" i="76"/>
  <c r="I410" i="76"/>
  <c r="N306" i="76"/>
  <c r="N304" i="76"/>
  <c r="F19" i="76"/>
  <c r="B22" i="76"/>
  <c r="J22" i="76"/>
  <c r="D27" i="76"/>
  <c r="L27" i="76"/>
  <c r="H29" i="76"/>
  <c r="M38" i="76"/>
  <c r="N56" i="76"/>
  <c r="N158" i="76"/>
  <c r="G161" i="76"/>
  <c r="C164" i="76"/>
  <c r="K164" i="76"/>
  <c r="E169" i="76"/>
  <c r="M169" i="76"/>
  <c r="I171" i="76"/>
  <c r="B196" i="76"/>
  <c r="B200" i="76"/>
  <c r="B359" i="76"/>
  <c r="F196" i="76"/>
  <c r="F200" i="76"/>
  <c r="F359" i="76"/>
  <c r="J196" i="76"/>
  <c r="J200" i="76"/>
  <c r="J359" i="76"/>
  <c r="C220" i="76"/>
  <c r="K220" i="76"/>
  <c r="G223" i="76"/>
  <c r="I228" i="76"/>
  <c r="E230" i="76"/>
  <c r="M230" i="76"/>
  <c r="E392" i="76"/>
  <c r="M392" i="76"/>
  <c r="I395" i="76"/>
  <c r="C400" i="76"/>
  <c r="K400" i="76"/>
  <c r="G402" i="76"/>
  <c r="D424" i="76"/>
  <c r="D426" i="76"/>
  <c r="D433" i="76"/>
  <c r="D437" i="76"/>
  <c r="L424" i="76"/>
  <c r="L426" i="76"/>
  <c r="L433" i="76"/>
  <c r="L437" i="76"/>
  <c r="D336" i="76"/>
  <c r="M336" i="76"/>
  <c r="M342" i="76"/>
  <c r="M354" i="76"/>
  <c r="L361" i="76"/>
  <c r="N336" i="76"/>
  <c r="N342" i="76"/>
  <c r="N354" i="76"/>
  <c r="M361" i="76"/>
  <c r="F336" i="76"/>
  <c r="C169" i="76"/>
  <c r="K169" i="76"/>
  <c r="G171" i="76"/>
  <c r="I220" i="76"/>
  <c r="E223" i="76"/>
  <c r="M223" i="76"/>
  <c r="N30" i="76"/>
  <c r="B19" i="76"/>
  <c r="J19" i="76"/>
  <c r="F22" i="76"/>
  <c r="G38" i="76"/>
  <c r="C161" i="76"/>
  <c r="K161" i="76"/>
  <c r="G164" i="76"/>
  <c r="I169" i="76"/>
  <c r="E171" i="76"/>
  <c r="D196" i="76"/>
  <c r="D200" i="76"/>
  <c r="D359" i="76"/>
  <c r="H196" i="76"/>
  <c r="H200" i="76"/>
  <c r="H359" i="76"/>
  <c r="L196" i="76"/>
  <c r="L200" i="76"/>
  <c r="L359" i="76"/>
  <c r="N217" i="76"/>
  <c r="G220" i="76"/>
  <c r="C223" i="76"/>
  <c r="K223" i="76"/>
  <c r="E228" i="76"/>
  <c r="M228" i="76"/>
  <c r="I230" i="76"/>
  <c r="I392" i="76"/>
  <c r="E395" i="76"/>
  <c r="M395" i="76"/>
  <c r="G400" i="76"/>
  <c r="C402" i="76"/>
  <c r="M433" i="76"/>
  <c r="M437" i="76"/>
  <c r="H424" i="76"/>
  <c r="H426" i="76"/>
  <c r="H433" i="76"/>
  <c r="H437" i="76"/>
  <c r="N431" i="76"/>
  <c r="N296" i="76"/>
  <c r="G314" i="76"/>
  <c r="G315" i="76"/>
  <c r="H310" i="76"/>
  <c r="H313" i="76"/>
  <c r="N299" i="76"/>
  <c r="N298" i="76"/>
  <c r="N305" i="76"/>
  <c r="O123" i="76"/>
  <c r="N252" i="76"/>
  <c r="N253" i="76"/>
  <c r="N261" i="76"/>
  <c r="N276" i="76"/>
  <c r="M360" i="76"/>
  <c r="L252" i="76"/>
  <c r="L253" i="76"/>
  <c r="J252" i="76"/>
  <c r="J253" i="76"/>
  <c r="H252" i="76"/>
  <c r="H253" i="76"/>
  <c r="F252" i="76"/>
  <c r="F253" i="76"/>
  <c r="F261" i="76"/>
  <c r="F276" i="76"/>
  <c r="E360" i="76"/>
  <c r="D252" i="76"/>
  <c r="D253" i="76"/>
  <c r="M252" i="76"/>
  <c r="M253" i="76"/>
  <c r="K252" i="76"/>
  <c r="K253" i="76"/>
  <c r="I252" i="76"/>
  <c r="I253" i="76"/>
  <c r="G252" i="76"/>
  <c r="G253" i="76"/>
  <c r="E252" i="76"/>
  <c r="E253" i="76"/>
  <c r="C252" i="76"/>
  <c r="C253" i="76"/>
  <c r="N16" i="76"/>
  <c r="C19" i="76"/>
  <c r="E19" i="76"/>
  <c r="G19" i="76"/>
  <c r="I19" i="76"/>
  <c r="K19" i="76"/>
  <c r="M19" i="76"/>
  <c r="B21" i="76"/>
  <c r="D21" i="76"/>
  <c r="D23" i="76"/>
  <c r="F21" i="76"/>
  <c r="F23" i="76"/>
  <c r="H21" i="76"/>
  <c r="H23" i="76"/>
  <c r="J21" i="76"/>
  <c r="J23" i="76"/>
  <c r="L21" i="76"/>
  <c r="L23" i="76"/>
  <c r="C22" i="76"/>
  <c r="E22" i="76"/>
  <c r="G22" i="76"/>
  <c r="I22" i="76"/>
  <c r="K22" i="76"/>
  <c r="M22" i="76"/>
  <c r="C27" i="76"/>
  <c r="E27" i="76"/>
  <c r="G27" i="76"/>
  <c r="I27" i="76"/>
  <c r="K27" i="76"/>
  <c r="M27" i="76"/>
  <c r="B28" i="76"/>
  <c r="D28" i="76"/>
  <c r="F28" i="76"/>
  <c r="H28" i="76"/>
  <c r="J28" i="76"/>
  <c r="L28" i="76"/>
  <c r="C29" i="76"/>
  <c r="E29" i="76"/>
  <c r="G29" i="76"/>
  <c r="I29" i="76"/>
  <c r="K29" i="76"/>
  <c r="M29" i="76"/>
  <c r="D111" i="76"/>
  <c r="F111" i="76"/>
  <c r="H111" i="76"/>
  <c r="J111" i="76"/>
  <c r="L111" i="76"/>
  <c r="N111" i="76"/>
  <c r="B161" i="76"/>
  <c r="D161" i="76"/>
  <c r="F161" i="76"/>
  <c r="H161" i="76"/>
  <c r="J161" i="76"/>
  <c r="L161" i="76"/>
  <c r="C163" i="76"/>
  <c r="C165" i="76"/>
  <c r="E163" i="76"/>
  <c r="E165" i="76"/>
  <c r="G163" i="76"/>
  <c r="G165" i="76"/>
  <c r="I163" i="76"/>
  <c r="I165" i="76"/>
  <c r="K163" i="76"/>
  <c r="K165" i="76"/>
  <c r="M163" i="76"/>
  <c r="M165" i="76"/>
  <c r="B164" i="76"/>
  <c r="D164" i="76"/>
  <c r="F164" i="76"/>
  <c r="H164" i="76"/>
  <c r="J164" i="76"/>
  <c r="L164" i="76"/>
  <c r="B169" i="76"/>
  <c r="D169" i="76"/>
  <c r="F169" i="76"/>
  <c r="H169" i="76"/>
  <c r="J169" i="76"/>
  <c r="L169" i="76"/>
  <c r="C170" i="76"/>
  <c r="E170" i="76"/>
  <c r="G170" i="76"/>
  <c r="I170" i="76"/>
  <c r="K170" i="76"/>
  <c r="M170" i="76"/>
  <c r="B171" i="76"/>
  <c r="D171" i="76"/>
  <c r="F171" i="76"/>
  <c r="H171" i="76"/>
  <c r="J171" i="76"/>
  <c r="M171" i="76"/>
  <c r="D172" i="76"/>
  <c r="H172" i="76"/>
  <c r="L172" i="76"/>
  <c r="N403" i="76"/>
  <c r="G411" i="76"/>
  <c r="B231" i="76"/>
  <c r="B229" i="76"/>
  <c r="B222" i="76"/>
  <c r="B230" i="76"/>
  <c r="B228" i="76"/>
  <c r="B223" i="76"/>
  <c r="B220" i="76"/>
  <c r="D231" i="76"/>
  <c r="D229" i="76"/>
  <c r="D222" i="76"/>
  <c r="D224" i="76"/>
  <c r="D230" i="76"/>
  <c r="D228" i="76"/>
  <c r="D223" i="76"/>
  <c r="D220" i="76"/>
  <c r="F231" i="76"/>
  <c r="F229" i="76"/>
  <c r="F222" i="76"/>
  <c r="F224" i="76"/>
  <c r="F230" i="76"/>
  <c r="F228" i="76"/>
  <c r="F223" i="76"/>
  <c r="F220" i="76"/>
  <c r="H231" i="76"/>
  <c r="H229" i="76"/>
  <c r="H222" i="76"/>
  <c r="H224" i="76"/>
  <c r="H230" i="76"/>
  <c r="H228" i="76"/>
  <c r="H223" i="76"/>
  <c r="H220" i="76"/>
  <c r="J231" i="76"/>
  <c r="J229" i="76"/>
  <c r="J222" i="76"/>
  <c r="J224" i="76"/>
  <c r="J230" i="76"/>
  <c r="J228" i="76"/>
  <c r="J223" i="76"/>
  <c r="J220" i="76"/>
  <c r="L231" i="76"/>
  <c r="L229" i="76"/>
  <c r="L222" i="76"/>
  <c r="L224" i="76"/>
  <c r="L230" i="76"/>
  <c r="L228" i="76"/>
  <c r="L223" i="76"/>
  <c r="L220" i="76"/>
  <c r="C21" i="76"/>
  <c r="C23" i="76"/>
  <c r="E21" i="76"/>
  <c r="E23" i="76"/>
  <c r="G21" i="76"/>
  <c r="G23" i="76"/>
  <c r="I21" i="76"/>
  <c r="I23" i="76"/>
  <c r="K21" i="76"/>
  <c r="K23" i="76"/>
  <c r="M21" i="76"/>
  <c r="M23" i="76"/>
  <c r="C28" i="76"/>
  <c r="E28" i="76"/>
  <c r="G28" i="76"/>
  <c r="I28" i="76"/>
  <c r="K28" i="76"/>
  <c r="M28" i="76"/>
  <c r="C111" i="76"/>
  <c r="E111" i="76"/>
  <c r="G111" i="76"/>
  <c r="I111" i="76"/>
  <c r="K111" i="76"/>
  <c r="B163" i="76"/>
  <c r="D163" i="76"/>
  <c r="D165" i="76"/>
  <c r="F163" i="76"/>
  <c r="F165" i="76"/>
  <c r="H163" i="76"/>
  <c r="H165" i="76"/>
  <c r="J163" i="76"/>
  <c r="J165" i="76"/>
  <c r="L163" i="76"/>
  <c r="L165" i="76"/>
  <c r="B170" i="76"/>
  <c r="F170" i="76"/>
  <c r="J170" i="76"/>
  <c r="L170" i="76"/>
  <c r="N188" i="76"/>
  <c r="C222" i="76"/>
  <c r="C224" i="76"/>
  <c r="E222" i="76"/>
  <c r="E224" i="76"/>
  <c r="G222" i="76"/>
  <c r="G224" i="76"/>
  <c r="I222" i="76"/>
  <c r="I224" i="76"/>
  <c r="K222" i="76"/>
  <c r="K224" i="76"/>
  <c r="M222" i="76"/>
  <c r="M224" i="76"/>
  <c r="C229" i="76"/>
  <c r="E229" i="76"/>
  <c r="G229" i="76"/>
  <c r="I229" i="76"/>
  <c r="K229" i="76"/>
  <c r="M229" i="76"/>
  <c r="B392" i="76"/>
  <c r="D392" i="76"/>
  <c r="F392" i="76"/>
  <c r="H392" i="76"/>
  <c r="J392" i="76"/>
  <c r="L392" i="76"/>
  <c r="C394" i="76"/>
  <c r="C396" i="76"/>
  <c r="E394" i="76"/>
  <c r="E396" i="76"/>
  <c r="G394" i="76"/>
  <c r="G396" i="76"/>
  <c r="I394" i="76"/>
  <c r="I396" i="76"/>
  <c r="K394" i="76"/>
  <c r="K396" i="76"/>
  <c r="M394" i="76"/>
  <c r="M396" i="76"/>
  <c r="B395" i="76"/>
  <c r="D395" i="76"/>
  <c r="F395" i="76"/>
  <c r="H395" i="76"/>
  <c r="J395" i="76"/>
  <c r="L395" i="76"/>
  <c r="B400" i="76"/>
  <c r="D400" i="76"/>
  <c r="F400" i="76"/>
  <c r="H400" i="76"/>
  <c r="J400" i="76"/>
  <c r="L400" i="76"/>
  <c r="C401" i="76"/>
  <c r="E401" i="76"/>
  <c r="G401" i="76"/>
  <c r="I401" i="76"/>
  <c r="K401" i="76"/>
  <c r="M401" i="76"/>
  <c r="B402" i="76"/>
  <c r="D402" i="76"/>
  <c r="F402" i="76"/>
  <c r="H402" i="76"/>
  <c r="J402" i="76"/>
  <c r="L402" i="76"/>
  <c r="C424" i="76"/>
  <c r="C426" i="76"/>
  <c r="C433" i="76"/>
  <c r="C437" i="76"/>
  <c r="E424" i="76"/>
  <c r="E426" i="76"/>
  <c r="E433" i="76"/>
  <c r="E437" i="76"/>
  <c r="G424" i="76"/>
  <c r="G426" i="76"/>
  <c r="G433" i="76"/>
  <c r="G437" i="76"/>
  <c r="I424" i="76"/>
  <c r="I426" i="76"/>
  <c r="I433" i="76"/>
  <c r="I437" i="76"/>
  <c r="K424" i="76"/>
  <c r="K426" i="76"/>
  <c r="K433" i="76"/>
  <c r="K437" i="76"/>
  <c r="B394" i="76"/>
  <c r="D394" i="76"/>
  <c r="D396" i="76"/>
  <c r="F394" i="76"/>
  <c r="F396" i="76"/>
  <c r="H394" i="76"/>
  <c r="H396" i="76"/>
  <c r="J394" i="76"/>
  <c r="J396" i="76"/>
  <c r="L394" i="76"/>
  <c r="L396" i="76"/>
  <c r="B401" i="76"/>
  <c r="D401" i="76"/>
  <c r="F401" i="76"/>
  <c r="H401" i="76"/>
  <c r="J401" i="76"/>
  <c r="L401" i="76"/>
  <c r="N334" i="75"/>
  <c r="N333" i="75"/>
  <c r="N332" i="75"/>
  <c r="N330" i="75"/>
  <c r="M329" i="75"/>
  <c r="L329" i="75"/>
  <c r="K329" i="75"/>
  <c r="J329" i="75"/>
  <c r="I329" i="75"/>
  <c r="H329" i="75"/>
  <c r="G329" i="75"/>
  <c r="F329" i="75"/>
  <c r="E329" i="75"/>
  <c r="D329" i="75"/>
  <c r="C329" i="75"/>
  <c r="B329" i="75"/>
  <c r="N329" i="75"/>
  <c r="N328" i="75"/>
  <c r="N327" i="75"/>
  <c r="N326" i="75"/>
  <c r="N325" i="75"/>
  <c r="N323" i="75"/>
  <c r="D318" i="75"/>
  <c r="L322" i="75"/>
  <c r="L324" i="75"/>
  <c r="L331" i="75"/>
  <c r="L335" i="75"/>
  <c r="F307" i="75"/>
  <c r="F308" i="75"/>
  <c r="B307" i="75"/>
  <c r="B308" i="75"/>
  <c r="N307" i="75"/>
  <c r="I307" i="75"/>
  <c r="I308" i="75"/>
  <c r="H307" i="75"/>
  <c r="H308" i="75"/>
  <c r="G307" i="75"/>
  <c r="G308" i="75"/>
  <c r="E307" i="75"/>
  <c r="E308" i="75"/>
  <c r="D307" i="75"/>
  <c r="D308" i="75"/>
  <c r="D309" i="75"/>
  <c r="C307" i="75"/>
  <c r="C308" i="75"/>
  <c r="N306" i="75"/>
  <c r="N305" i="75"/>
  <c r="J304" i="75"/>
  <c r="J307" i="75"/>
  <c r="K287" i="75"/>
  <c r="K301" i="75"/>
  <c r="G287" i="75"/>
  <c r="G301" i="75"/>
  <c r="C287" i="75"/>
  <c r="C301" i="75"/>
  <c r="L287" i="75"/>
  <c r="L300" i="75"/>
  <c r="H287" i="75"/>
  <c r="H300" i="75"/>
  <c r="D287" i="75"/>
  <c r="D300" i="75"/>
  <c r="J287" i="75"/>
  <c r="J298" i="75"/>
  <c r="F287" i="75"/>
  <c r="F298" i="75"/>
  <c r="B287" i="75"/>
  <c r="B298" i="75"/>
  <c r="N296" i="75"/>
  <c r="J293" i="75"/>
  <c r="F293" i="75"/>
  <c r="B293" i="75"/>
  <c r="K292" i="75"/>
  <c r="K294" i="75"/>
  <c r="G292" i="75"/>
  <c r="G294" i="75"/>
  <c r="C292" i="75"/>
  <c r="C294" i="75"/>
  <c r="L290" i="75"/>
  <c r="H290" i="75"/>
  <c r="D290" i="75"/>
  <c r="M287" i="75"/>
  <c r="M298" i="75"/>
  <c r="L299" i="75"/>
  <c r="K300" i="75"/>
  <c r="J301" i="75"/>
  <c r="I287" i="75"/>
  <c r="I298" i="75"/>
  <c r="H299" i="75"/>
  <c r="G300" i="75"/>
  <c r="F301" i="75"/>
  <c r="E287" i="75"/>
  <c r="E298" i="75"/>
  <c r="D299" i="75"/>
  <c r="C300" i="75"/>
  <c r="B301" i="75"/>
  <c r="N286" i="75"/>
  <c r="N285" i="75"/>
  <c r="N284" i="75"/>
  <c r="N283" i="75"/>
  <c r="N282" i="75"/>
  <c r="N281" i="75"/>
  <c r="N280" i="75"/>
  <c r="N279" i="75"/>
  <c r="N278" i="75"/>
  <c r="N277" i="75"/>
  <c r="N276" i="75"/>
  <c r="N269" i="75"/>
  <c r="N268" i="75"/>
  <c r="N267" i="75"/>
  <c r="N266" i="75"/>
  <c r="N265" i="75"/>
  <c r="N264" i="75"/>
  <c r="N263" i="75"/>
  <c r="N262" i="75"/>
  <c r="N261" i="75"/>
  <c r="N260" i="75"/>
  <c r="N259" i="75"/>
  <c r="N257" i="75"/>
  <c r="M256" i="75"/>
  <c r="L256" i="75"/>
  <c r="K256" i="75"/>
  <c r="J256" i="75"/>
  <c r="I256" i="75"/>
  <c r="H256" i="75"/>
  <c r="G256" i="75"/>
  <c r="F256" i="75"/>
  <c r="E256" i="75"/>
  <c r="D256" i="75"/>
  <c r="C256" i="75"/>
  <c r="B256" i="75"/>
  <c r="N256" i="75"/>
  <c r="N255" i="75"/>
  <c r="N254" i="75"/>
  <c r="N253" i="75"/>
  <c r="N252" i="75"/>
  <c r="N251" i="75"/>
  <c r="D240" i="75"/>
  <c r="D241" i="75"/>
  <c r="K248" i="75"/>
  <c r="G248" i="75"/>
  <c r="C248" i="75"/>
  <c r="J248" i="75"/>
  <c r="M235" i="75"/>
  <c r="M236" i="75"/>
  <c r="D224" i="75"/>
  <c r="D225" i="75"/>
  <c r="D226" i="75"/>
  <c r="B224" i="75"/>
  <c r="B225" i="75"/>
  <c r="N224" i="75"/>
  <c r="E224" i="75"/>
  <c r="E225" i="75"/>
  <c r="C224" i="75"/>
  <c r="C225" i="75"/>
  <c r="N223" i="75"/>
  <c r="N222" i="75"/>
  <c r="M204" i="75"/>
  <c r="M218" i="75"/>
  <c r="I204" i="75"/>
  <c r="I218" i="75"/>
  <c r="E204" i="75"/>
  <c r="E218" i="75"/>
  <c r="J204" i="75"/>
  <c r="J217" i="75"/>
  <c r="F204" i="75"/>
  <c r="F217" i="75"/>
  <c r="B204" i="75"/>
  <c r="B217" i="75"/>
  <c r="L204" i="75"/>
  <c r="L215" i="75"/>
  <c r="H204" i="75"/>
  <c r="H215" i="75"/>
  <c r="D204" i="75"/>
  <c r="D215" i="75"/>
  <c r="N213" i="75"/>
  <c r="L210" i="75"/>
  <c r="J210" i="75"/>
  <c r="H210" i="75"/>
  <c r="D210" i="75"/>
  <c r="M209" i="75"/>
  <c r="M211" i="75"/>
  <c r="I209" i="75"/>
  <c r="I211" i="75"/>
  <c r="E209" i="75"/>
  <c r="E211" i="75"/>
  <c r="L207" i="75"/>
  <c r="J207" i="75"/>
  <c r="H207" i="75"/>
  <c r="F207" i="75"/>
  <c r="D207" i="75"/>
  <c r="B207" i="75"/>
  <c r="M217" i="75"/>
  <c r="L218" i="75"/>
  <c r="K204" i="75"/>
  <c r="K215" i="75"/>
  <c r="J216" i="75"/>
  <c r="I217" i="75"/>
  <c r="H218" i="75"/>
  <c r="G204" i="75"/>
  <c r="G215" i="75"/>
  <c r="F216" i="75"/>
  <c r="E217" i="75"/>
  <c r="D218" i="75"/>
  <c r="C204" i="75"/>
  <c r="C215" i="75"/>
  <c r="B216" i="75"/>
  <c r="N203" i="75"/>
  <c r="N202" i="75"/>
  <c r="N201" i="75"/>
  <c r="N200" i="75"/>
  <c r="N199" i="75"/>
  <c r="N198" i="75"/>
  <c r="N197" i="75"/>
  <c r="N196" i="75"/>
  <c r="N195" i="75"/>
  <c r="N194" i="75"/>
  <c r="N193" i="75"/>
  <c r="N186" i="75"/>
  <c r="N185" i="75"/>
  <c r="N184" i="75"/>
  <c r="N182" i="75"/>
  <c r="M181" i="75"/>
  <c r="L181" i="75"/>
  <c r="K181" i="75"/>
  <c r="J181" i="75"/>
  <c r="I181" i="75"/>
  <c r="H181" i="75"/>
  <c r="G181" i="75"/>
  <c r="F181" i="75"/>
  <c r="E181" i="75"/>
  <c r="D181" i="75"/>
  <c r="C181" i="75"/>
  <c r="B181" i="75"/>
  <c r="N181" i="75"/>
  <c r="N180" i="75"/>
  <c r="N179" i="75"/>
  <c r="N178" i="75"/>
  <c r="N177" i="75"/>
  <c r="N176" i="75"/>
  <c r="M175" i="75"/>
  <c r="M183" i="75"/>
  <c r="M187" i="75"/>
  <c r="L175" i="75"/>
  <c r="L183" i="75"/>
  <c r="L187" i="75"/>
  <c r="K175" i="75"/>
  <c r="K183" i="75"/>
  <c r="K187" i="75"/>
  <c r="J175" i="75"/>
  <c r="J183" i="75"/>
  <c r="J187" i="75"/>
  <c r="I175" i="75"/>
  <c r="I183" i="75"/>
  <c r="I187" i="75"/>
  <c r="H175" i="75"/>
  <c r="H183" i="75"/>
  <c r="H187" i="75"/>
  <c r="G175" i="75"/>
  <c r="G183" i="75"/>
  <c r="G187" i="75"/>
  <c r="F175" i="75"/>
  <c r="F183" i="75"/>
  <c r="F187" i="75"/>
  <c r="E175" i="75"/>
  <c r="E183" i="75"/>
  <c r="E187" i="75"/>
  <c r="D175" i="75"/>
  <c r="D183" i="75"/>
  <c r="D187" i="75"/>
  <c r="C175" i="75"/>
  <c r="C183" i="75"/>
  <c r="C187" i="75"/>
  <c r="B175" i="75"/>
  <c r="B183" i="75"/>
  <c r="N174" i="75"/>
  <c r="N173" i="75"/>
  <c r="N172" i="75"/>
  <c r="N171" i="75"/>
  <c r="G165" i="75"/>
  <c r="G166" i="75"/>
  <c r="E165" i="75"/>
  <c r="E166" i="75"/>
  <c r="C165" i="75"/>
  <c r="C166" i="75"/>
  <c r="N165" i="75"/>
  <c r="H165" i="75"/>
  <c r="H166" i="75"/>
  <c r="F165" i="75"/>
  <c r="F166" i="75"/>
  <c r="G167" i="75"/>
  <c r="D165" i="75"/>
  <c r="D166" i="75"/>
  <c r="D167" i="75"/>
  <c r="B165" i="75"/>
  <c r="B166" i="75"/>
  <c r="N164" i="75"/>
  <c r="N163" i="75"/>
  <c r="M145" i="75"/>
  <c r="M159" i="75"/>
  <c r="I145" i="75"/>
  <c r="I159" i="75"/>
  <c r="E145" i="75"/>
  <c r="E159" i="75"/>
  <c r="J145" i="75"/>
  <c r="J158" i="75"/>
  <c r="F145" i="75"/>
  <c r="F158" i="75"/>
  <c r="B145" i="75"/>
  <c r="B158" i="75"/>
  <c r="L145" i="75"/>
  <c r="L156" i="75"/>
  <c r="H145" i="75"/>
  <c r="H156" i="75"/>
  <c r="D145" i="75"/>
  <c r="D156" i="75"/>
  <c r="N154" i="75"/>
  <c r="L151" i="75"/>
  <c r="H151" i="75"/>
  <c r="D151" i="75"/>
  <c r="M150" i="75"/>
  <c r="M152" i="75"/>
  <c r="L150" i="75"/>
  <c r="L152" i="75"/>
  <c r="I150" i="75"/>
  <c r="I152" i="75"/>
  <c r="H150" i="75"/>
  <c r="H152" i="75"/>
  <c r="E150" i="75"/>
  <c r="E152" i="75"/>
  <c r="D150" i="75"/>
  <c r="D152" i="75"/>
  <c r="L148" i="75"/>
  <c r="J148" i="75"/>
  <c r="H148" i="75"/>
  <c r="F148" i="75"/>
  <c r="D148" i="75"/>
  <c r="B148" i="75"/>
  <c r="M158" i="75"/>
  <c r="L159" i="75"/>
  <c r="K145" i="75"/>
  <c r="K156" i="75"/>
  <c r="J157" i="75"/>
  <c r="I158" i="75"/>
  <c r="H159" i="75"/>
  <c r="G145" i="75"/>
  <c r="G156" i="75"/>
  <c r="F157" i="75"/>
  <c r="E158" i="75"/>
  <c r="D159" i="75"/>
  <c r="C145" i="75"/>
  <c r="C156" i="75"/>
  <c r="B157" i="75"/>
  <c r="N144" i="75"/>
  <c r="N143" i="75"/>
  <c r="N142" i="75"/>
  <c r="N141" i="75"/>
  <c r="N140" i="75"/>
  <c r="N139" i="75"/>
  <c r="N138" i="75"/>
  <c r="N137" i="75"/>
  <c r="N136" i="75"/>
  <c r="N135" i="75"/>
  <c r="N134" i="75"/>
  <c r="N128" i="75"/>
  <c r="N127" i="75"/>
  <c r="N126" i="75"/>
  <c r="N125" i="75"/>
  <c r="N124" i="75"/>
  <c r="N122" i="75"/>
  <c r="M121" i="75"/>
  <c r="L121" i="75"/>
  <c r="K121" i="75"/>
  <c r="J121" i="75"/>
  <c r="I121" i="75"/>
  <c r="H121" i="75"/>
  <c r="G121" i="75"/>
  <c r="F121" i="75"/>
  <c r="E121" i="75"/>
  <c r="D121" i="75"/>
  <c r="C121" i="75"/>
  <c r="B121" i="75"/>
  <c r="N121" i="75"/>
  <c r="N120" i="75"/>
  <c r="N119" i="75"/>
  <c r="N118" i="75"/>
  <c r="N117" i="75"/>
  <c r="N116" i="75"/>
  <c r="N115" i="75"/>
  <c r="N114" i="75"/>
  <c r="N113" i="75"/>
  <c r="N112" i="75"/>
  <c r="N111" i="75"/>
  <c r="N110" i="75"/>
  <c r="K108" i="75"/>
  <c r="L107" i="75"/>
  <c r="N55" i="75"/>
  <c r="N54" i="75"/>
  <c r="N53" i="75"/>
  <c r="N52" i="75"/>
  <c r="N50" i="75"/>
  <c r="N51" i="75"/>
  <c r="N56" i="75"/>
  <c r="N46" i="75"/>
  <c r="N45" i="75"/>
  <c r="N44" i="75"/>
  <c r="N43" i="75"/>
  <c r="N42" i="75"/>
  <c r="N47" i="75"/>
  <c r="D37" i="75"/>
  <c r="D38" i="75"/>
  <c r="M37" i="75"/>
  <c r="L37" i="75"/>
  <c r="K37" i="75"/>
  <c r="M38" i="75"/>
  <c r="J37" i="75"/>
  <c r="I37" i="75"/>
  <c r="H37" i="75"/>
  <c r="J38" i="75"/>
  <c r="G37" i="75"/>
  <c r="E37" i="75"/>
  <c r="F37" i="75"/>
  <c r="G38" i="75"/>
  <c r="C37" i="75"/>
  <c r="B37" i="75"/>
  <c r="L16" i="75"/>
  <c r="L30" i="75"/>
  <c r="K16" i="75"/>
  <c r="K30" i="75"/>
  <c r="H16" i="75"/>
  <c r="H30" i="75"/>
  <c r="G16" i="75"/>
  <c r="G30" i="75"/>
  <c r="D16" i="75"/>
  <c r="D30" i="75"/>
  <c r="C16" i="75"/>
  <c r="C30" i="75"/>
  <c r="M16" i="75"/>
  <c r="M29" i="75"/>
  <c r="L29" i="75"/>
  <c r="K29" i="75"/>
  <c r="I16" i="75"/>
  <c r="I29" i="75"/>
  <c r="H29" i="75"/>
  <c r="G29" i="75"/>
  <c r="E16" i="75"/>
  <c r="E29" i="75"/>
  <c r="D29" i="75"/>
  <c r="C29" i="75"/>
  <c r="K27" i="75"/>
  <c r="G27" i="75"/>
  <c r="C27" i="75"/>
  <c r="N25" i="75"/>
  <c r="K22" i="75"/>
  <c r="G22" i="75"/>
  <c r="C22" i="75"/>
  <c r="L21" i="75"/>
  <c r="L23" i="75"/>
  <c r="K21" i="75"/>
  <c r="K23" i="75"/>
  <c r="H21" i="75"/>
  <c r="H23" i="75"/>
  <c r="G21" i="75"/>
  <c r="G23" i="75"/>
  <c r="D21" i="75"/>
  <c r="D23" i="75"/>
  <c r="C21" i="75"/>
  <c r="C23" i="75"/>
  <c r="M19" i="75"/>
  <c r="L19" i="75"/>
  <c r="K19" i="75"/>
  <c r="I19" i="75"/>
  <c r="H19" i="75"/>
  <c r="G19" i="75"/>
  <c r="E19" i="75"/>
  <c r="D19" i="75"/>
  <c r="C19" i="75"/>
  <c r="M30" i="75"/>
  <c r="L27" i="75"/>
  <c r="K28" i="75"/>
  <c r="J16" i="75"/>
  <c r="J29" i="75"/>
  <c r="I30" i="75"/>
  <c r="H27" i="75"/>
  <c r="G28" i="75"/>
  <c r="F16" i="75"/>
  <c r="F22" i="75"/>
  <c r="E30" i="75"/>
  <c r="D27" i="75"/>
  <c r="C28" i="75"/>
  <c r="B16" i="75"/>
  <c r="N16" i="75"/>
  <c r="N15" i="75"/>
  <c r="N14" i="75"/>
  <c r="N13" i="75"/>
  <c r="N12" i="75"/>
  <c r="N11" i="75"/>
  <c r="N10" i="75"/>
  <c r="N9" i="75"/>
  <c r="N8" i="75"/>
  <c r="N7" i="75"/>
  <c r="N6" i="75"/>
  <c r="N5" i="75"/>
  <c r="N4" i="75"/>
  <c r="C307" i="74"/>
  <c r="D307" i="74"/>
  <c r="E307" i="74"/>
  <c r="F307" i="74"/>
  <c r="G307" i="74"/>
  <c r="H307" i="74"/>
  <c r="I307" i="74"/>
  <c r="J307" i="74"/>
  <c r="K307" i="74"/>
  <c r="L307" i="74"/>
  <c r="M307" i="74"/>
  <c r="B307" i="74"/>
  <c r="C204" i="74"/>
  <c r="D204" i="74"/>
  <c r="E204" i="74"/>
  <c r="F204" i="74"/>
  <c r="G204" i="74"/>
  <c r="H204" i="74"/>
  <c r="I204" i="74"/>
  <c r="J204" i="74"/>
  <c r="K204" i="74"/>
  <c r="L204" i="74"/>
  <c r="M204" i="74"/>
  <c r="B204" i="74"/>
  <c r="C145" i="74"/>
  <c r="D145" i="74"/>
  <c r="E145" i="74"/>
  <c r="F145" i="74"/>
  <c r="G145" i="74"/>
  <c r="H145" i="74"/>
  <c r="I145" i="74"/>
  <c r="J145" i="74"/>
  <c r="K145" i="74"/>
  <c r="L145" i="74"/>
  <c r="M145" i="74"/>
  <c r="B145" i="74"/>
  <c r="M235" i="74"/>
  <c r="O335" i="76"/>
  <c r="L312" i="78"/>
  <c r="L315" i="78"/>
  <c r="K316" i="78"/>
  <c r="L235" i="78"/>
  <c r="L238" i="78"/>
  <c r="K239" i="78"/>
  <c r="J179" i="76"/>
  <c r="J180" i="76"/>
  <c r="J411" i="76"/>
  <c r="O336" i="76"/>
  <c r="O253" i="76"/>
  <c r="I261" i="76"/>
  <c r="I276" i="76"/>
  <c r="H360" i="76"/>
  <c r="H234" i="76"/>
  <c r="H237" i="76"/>
  <c r="H238" i="76"/>
  <c r="G238" i="76"/>
  <c r="I342" i="76"/>
  <c r="I354" i="76"/>
  <c r="H361" i="76"/>
  <c r="F238" i="76"/>
  <c r="N22" i="76"/>
  <c r="N19" i="76"/>
  <c r="K410" i="76"/>
  <c r="K179" i="76"/>
  <c r="F342" i="76"/>
  <c r="F354" i="76"/>
  <c r="E361" i="76"/>
  <c r="L342" i="76"/>
  <c r="L354" i="76"/>
  <c r="K361" i="76"/>
  <c r="D342" i="76"/>
  <c r="D354" i="76"/>
  <c r="C361" i="76"/>
  <c r="J166" i="76"/>
  <c r="M24" i="76"/>
  <c r="N172" i="76"/>
  <c r="N29" i="76"/>
  <c r="N27" i="76"/>
  <c r="E342" i="76"/>
  <c r="E354" i="76"/>
  <c r="D361" i="76"/>
  <c r="N424" i="76"/>
  <c r="G225" i="76"/>
  <c r="N196" i="76"/>
  <c r="N200" i="76"/>
  <c r="N359" i="76"/>
  <c r="N300" i="76"/>
  <c r="H342" i="76"/>
  <c r="H354" i="76"/>
  <c r="G361" i="76"/>
  <c r="K342" i="76"/>
  <c r="K354" i="76"/>
  <c r="J361" i="76"/>
  <c r="H314" i="76"/>
  <c r="I310" i="76"/>
  <c r="I313" i="76"/>
  <c r="J261" i="76"/>
  <c r="J276" i="76"/>
  <c r="I360" i="76"/>
  <c r="E261" i="76"/>
  <c r="E276" i="76"/>
  <c r="D360" i="76"/>
  <c r="M261" i="76"/>
  <c r="M276" i="76"/>
  <c r="L360" i="76"/>
  <c r="O252" i="76"/>
  <c r="D261" i="76"/>
  <c r="D276" i="76"/>
  <c r="C360" i="76"/>
  <c r="H261" i="76"/>
  <c r="H276" i="76"/>
  <c r="G360" i="76"/>
  <c r="L261" i="76"/>
  <c r="L276" i="76"/>
  <c r="K360" i="76"/>
  <c r="G261" i="76"/>
  <c r="G276" i="76"/>
  <c r="F360" i="76"/>
  <c r="K261" i="76"/>
  <c r="K276" i="76"/>
  <c r="J360" i="76"/>
  <c r="B165" i="76"/>
  <c r="D166" i="76"/>
  <c r="N163" i="76"/>
  <c r="B23" i="76"/>
  <c r="D24" i="76"/>
  <c r="N21" i="76"/>
  <c r="B437" i="76"/>
  <c r="N433" i="76"/>
  <c r="N437" i="76"/>
  <c r="M406" i="76"/>
  <c r="M409" i="76"/>
  <c r="L410" i="76"/>
  <c r="M175" i="76"/>
  <c r="M178" i="76"/>
  <c r="L179" i="76"/>
  <c r="J397" i="76"/>
  <c r="N402" i="76"/>
  <c r="N400" i="76"/>
  <c r="N395" i="76"/>
  <c r="M397" i="76"/>
  <c r="N392" i="76"/>
  <c r="M225" i="76"/>
  <c r="N170" i="76"/>
  <c r="G24" i="76"/>
  <c r="J225" i="76"/>
  <c r="N223" i="76"/>
  <c r="N230" i="76"/>
  <c r="N229" i="76"/>
  <c r="G166" i="76"/>
  <c r="N28" i="76"/>
  <c r="B396" i="76"/>
  <c r="D397" i="76"/>
  <c r="N394" i="76"/>
  <c r="O111" i="76"/>
  <c r="B224" i="76"/>
  <c r="D225" i="76"/>
  <c r="N222" i="76"/>
  <c r="N401" i="76"/>
  <c r="G397" i="76"/>
  <c r="N220" i="76"/>
  <c r="N228" i="76"/>
  <c r="N231" i="76"/>
  <c r="N171" i="76"/>
  <c r="N169" i="76"/>
  <c r="N164" i="76"/>
  <c r="M166" i="76"/>
  <c r="N161" i="76"/>
  <c r="J24" i="76"/>
  <c r="N426" i="76"/>
  <c r="E107" i="75"/>
  <c r="I107" i="75"/>
  <c r="M107" i="75"/>
  <c r="B187" i="75"/>
  <c r="N183" i="75"/>
  <c r="N187" i="75"/>
  <c r="M249" i="75"/>
  <c r="I249" i="75"/>
  <c r="E249" i="75"/>
  <c r="K249" i="75"/>
  <c r="K250" i="75"/>
  <c r="K258" i="75"/>
  <c r="K270" i="75"/>
  <c r="G249" i="75"/>
  <c r="G250" i="75"/>
  <c r="G258" i="75"/>
  <c r="G270" i="75"/>
  <c r="C249" i="75"/>
  <c r="C250" i="75"/>
  <c r="C258" i="75"/>
  <c r="C270" i="75"/>
  <c r="F249" i="75"/>
  <c r="B249" i="75"/>
  <c r="L249" i="75"/>
  <c r="H249" i="75"/>
  <c r="D249" i="75"/>
  <c r="J249" i="75"/>
  <c r="J250" i="75"/>
  <c r="J258" i="75"/>
  <c r="J270" i="75"/>
  <c r="G309" i="75"/>
  <c r="K304" i="75"/>
  <c r="K307" i="75"/>
  <c r="J308" i="75"/>
  <c r="J309" i="75"/>
  <c r="M21" i="75"/>
  <c r="M23" i="75"/>
  <c r="M24" i="75"/>
  <c r="F209" i="75"/>
  <c r="F211" i="75"/>
  <c r="G209" i="75"/>
  <c r="G211" i="75"/>
  <c r="G212" i="75"/>
  <c r="J28" i="75"/>
  <c r="G157" i="75"/>
  <c r="G216" i="75"/>
  <c r="E322" i="75"/>
  <c r="E324" i="75"/>
  <c r="E331" i="75"/>
  <c r="E335" i="75"/>
  <c r="M322" i="75"/>
  <c r="M324" i="75"/>
  <c r="M331" i="75"/>
  <c r="M335" i="75"/>
  <c r="J22" i="75"/>
  <c r="F27" i="75"/>
  <c r="I28" i="75"/>
  <c r="J21" i="75"/>
  <c r="J23" i="75"/>
  <c r="M22" i="75"/>
  <c r="I27" i="75"/>
  <c r="B30" i="75"/>
  <c r="C107" i="75"/>
  <c r="G107" i="75"/>
  <c r="K107" i="75"/>
  <c r="K109" i="75"/>
  <c r="K123" i="75"/>
  <c r="K129" i="75"/>
  <c r="B108" i="75"/>
  <c r="F108" i="75"/>
  <c r="J108" i="75"/>
  <c r="C150" i="75"/>
  <c r="C152" i="75"/>
  <c r="G150" i="75"/>
  <c r="G152" i="75"/>
  <c r="K150" i="75"/>
  <c r="K152" i="75"/>
  <c r="M153" i="75"/>
  <c r="B151" i="75"/>
  <c r="F151" i="75"/>
  <c r="J151" i="75"/>
  <c r="B156" i="75"/>
  <c r="F156" i="75"/>
  <c r="J156" i="75"/>
  <c r="E157" i="75"/>
  <c r="I157" i="75"/>
  <c r="M157" i="75"/>
  <c r="D158" i="75"/>
  <c r="H158" i="75"/>
  <c r="L158" i="75"/>
  <c r="C159" i="75"/>
  <c r="G159" i="75"/>
  <c r="K159" i="75"/>
  <c r="I162" i="75"/>
  <c r="I165" i="75"/>
  <c r="C209" i="75"/>
  <c r="C211" i="75"/>
  <c r="K209" i="75"/>
  <c r="K211" i="75"/>
  <c r="B210" i="75"/>
  <c r="F210" i="75"/>
  <c r="B215" i="75"/>
  <c r="F215" i="75"/>
  <c r="J215" i="75"/>
  <c r="E216" i="75"/>
  <c r="I216" i="75"/>
  <c r="M216" i="75"/>
  <c r="D217" i="75"/>
  <c r="H217" i="75"/>
  <c r="L217" i="75"/>
  <c r="C218" i="75"/>
  <c r="G218" i="75"/>
  <c r="K218" i="75"/>
  <c r="F221" i="75"/>
  <c r="F224" i="75"/>
  <c r="E248" i="75"/>
  <c r="I248" i="75"/>
  <c r="M248" i="75"/>
  <c r="B290" i="75"/>
  <c r="F290" i="75"/>
  <c r="J290" i="75"/>
  <c r="E292" i="75"/>
  <c r="E294" i="75"/>
  <c r="F292" i="75"/>
  <c r="F294" i="75"/>
  <c r="G295" i="75"/>
  <c r="I292" i="75"/>
  <c r="I294" i="75"/>
  <c r="M292" i="75"/>
  <c r="M294" i="75"/>
  <c r="D293" i="75"/>
  <c r="H293" i="75"/>
  <c r="L293" i="75"/>
  <c r="D298" i="75"/>
  <c r="H298" i="75"/>
  <c r="L298" i="75"/>
  <c r="C299" i="75"/>
  <c r="G299" i="75"/>
  <c r="K299" i="75"/>
  <c r="B300" i="75"/>
  <c r="F300" i="75"/>
  <c r="J300" i="75"/>
  <c r="E301" i="75"/>
  <c r="I301" i="75"/>
  <c r="M301" i="75"/>
  <c r="C322" i="75"/>
  <c r="C324" i="75"/>
  <c r="C331" i="75"/>
  <c r="C335" i="75"/>
  <c r="G322" i="75"/>
  <c r="G324" i="75"/>
  <c r="G331" i="75"/>
  <c r="G335" i="75"/>
  <c r="K322" i="75"/>
  <c r="K324" i="75"/>
  <c r="K331" i="75"/>
  <c r="K335" i="75"/>
  <c r="B28" i="75"/>
  <c r="H108" i="75"/>
  <c r="K157" i="75"/>
  <c r="C216" i="75"/>
  <c r="D216" i="75"/>
  <c r="H216" i="75"/>
  <c r="K216" i="75"/>
  <c r="L216" i="75"/>
  <c r="N216" i="75"/>
  <c r="I299" i="75"/>
  <c r="I322" i="75"/>
  <c r="I324" i="75"/>
  <c r="I331" i="75"/>
  <c r="I335" i="75"/>
  <c r="B22" i="75"/>
  <c r="B27" i="75"/>
  <c r="J27" i="75"/>
  <c r="E28" i="75"/>
  <c r="M28" i="75"/>
  <c r="B21" i="75"/>
  <c r="F21" i="75"/>
  <c r="F23" i="75"/>
  <c r="E22" i="75"/>
  <c r="I22" i="75"/>
  <c r="E27" i="75"/>
  <c r="M27" i="75"/>
  <c r="D28" i="75"/>
  <c r="H28" i="75"/>
  <c r="L28" i="75"/>
  <c r="F30" i="75"/>
  <c r="J30" i="75"/>
  <c r="B19" i="75"/>
  <c r="F19" i="75"/>
  <c r="J19" i="75"/>
  <c r="N19" i="75"/>
  <c r="E21" i="75"/>
  <c r="E23" i="75"/>
  <c r="G24" i="75"/>
  <c r="I21" i="75"/>
  <c r="I23" i="75"/>
  <c r="J24" i="75"/>
  <c r="D22" i="75"/>
  <c r="H22" i="75"/>
  <c r="L22" i="75"/>
  <c r="B29" i="75"/>
  <c r="F29" i="75"/>
  <c r="N29" i="75"/>
  <c r="B107" i="75"/>
  <c r="F107" i="75"/>
  <c r="F109" i="75"/>
  <c r="F123" i="75"/>
  <c r="F129" i="75"/>
  <c r="J107" i="75"/>
  <c r="E108" i="75"/>
  <c r="I108" i="75"/>
  <c r="M108" i="75"/>
  <c r="C148" i="75"/>
  <c r="E148" i="75"/>
  <c r="G148" i="75"/>
  <c r="I148" i="75"/>
  <c r="K148" i="75"/>
  <c r="M148" i="75"/>
  <c r="N148" i="75"/>
  <c r="B150" i="75"/>
  <c r="F150" i="75"/>
  <c r="F152" i="75"/>
  <c r="G153" i="75"/>
  <c r="J150" i="75"/>
  <c r="J152" i="75"/>
  <c r="J153" i="75"/>
  <c r="E151" i="75"/>
  <c r="I151" i="75"/>
  <c r="M151" i="75"/>
  <c r="E156" i="75"/>
  <c r="I156" i="75"/>
  <c r="M156" i="75"/>
  <c r="D157" i="75"/>
  <c r="C157" i="75"/>
  <c r="H157" i="75"/>
  <c r="L157" i="75"/>
  <c r="N157" i="75"/>
  <c r="C158" i="75"/>
  <c r="G158" i="75"/>
  <c r="K158" i="75"/>
  <c r="N158" i="75"/>
  <c r="B159" i="75"/>
  <c r="F159" i="75"/>
  <c r="J159" i="75"/>
  <c r="C207" i="75"/>
  <c r="E207" i="75"/>
  <c r="G207" i="75"/>
  <c r="I207" i="75"/>
  <c r="K207" i="75"/>
  <c r="M207" i="75"/>
  <c r="N207" i="75"/>
  <c r="B209" i="75"/>
  <c r="J209" i="75"/>
  <c r="J211" i="75"/>
  <c r="E210" i="75"/>
  <c r="I210" i="75"/>
  <c r="M210" i="75"/>
  <c r="E215" i="75"/>
  <c r="I215" i="75"/>
  <c r="M215" i="75"/>
  <c r="C217" i="75"/>
  <c r="G217" i="75"/>
  <c r="K217" i="75"/>
  <c r="N217" i="75"/>
  <c r="B218" i="75"/>
  <c r="F218" i="75"/>
  <c r="J218" i="75"/>
  <c r="N218" i="75"/>
  <c r="D248" i="75"/>
  <c r="H248" i="75"/>
  <c r="L248" i="75"/>
  <c r="N287" i="75"/>
  <c r="E290" i="75"/>
  <c r="I290" i="75"/>
  <c r="M290" i="75"/>
  <c r="D292" i="75"/>
  <c r="D294" i="75"/>
  <c r="H292" i="75"/>
  <c r="H294" i="75"/>
  <c r="L292" i="75"/>
  <c r="L294" i="75"/>
  <c r="M295" i="75"/>
  <c r="C293" i="75"/>
  <c r="E293" i="75"/>
  <c r="G293" i="75"/>
  <c r="I293" i="75"/>
  <c r="K293" i="75"/>
  <c r="M293" i="75"/>
  <c r="N293" i="75"/>
  <c r="C298" i="75"/>
  <c r="G298" i="75"/>
  <c r="K298" i="75"/>
  <c r="N298" i="75"/>
  <c r="B299" i="75"/>
  <c r="F299" i="75"/>
  <c r="J299" i="75"/>
  <c r="E300" i="75"/>
  <c r="I300" i="75"/>
  <c r="M300" i="75"/>
  <c r="D301" i="75"/>
  <c r="H301" i="75"/>
  <c r="L301" i="75"/>
  <c r="N301" i="75"/>
  <c r="B322" i="75"/>
  <c r="F322" i="75"/>
  <c r="F324" i="75"/>
  <c r="F331" i="75"/>
  <c r="F335" i="75"/>
  <c r="J322" i="75"/>
  <c r="J324" i="75"/>
  <c r="J331" i="75"/>
  <c r="J335" i="75"/>
  <c r="F28" i="75"/>
  <c r="D108" i="75"/>
  <c r="L108" i="75"/>
  <c r="L109" i="75"/>
  <c r="L123" i="75"/>
  <c r="L129" i="75"/>
  <c r="E299" i="75"/>
  <c r="M299" i="75"/>
  <c r="D107" i="75"/>
  <c r="H107" i="75"/>
  <c r="H109" i="75"/>
  <c r="H123" i="75"/>
  <c r="H129" i="75"/>
  <c r="C108" i="75"/>
  <c r="G108" i="75"/>
  <c r="N145" i="75"/>
  <c r="C151" i="75"/>
  <c r="G151" i="75"/>
  <c r="K151" i="75"/>
  <c r="N175" i="75"/>
  <c r="N204" i="75"/>
  <c r="D209" i="75"/>
  <c r="D211" i="75"/>
  <c r="H209" i="75"/>
  <c r="H211" i="75"/>
  <c r="J212" i="75"/>
  <c r="L209" i="75"/>
  <c r="L211" i="75"/>
  <c r="C210" i="75"/>
  <c r="G210" i="75"/>
  <c r="K210" i="75"/>
  <c r="B248" i="75"/>
  <c r="F248" i="75"/>
  <c r="C290" i="75"/>
  <c r="G290" i="75"/>
  <c r="K290" i="75"/>
  <c r="B292" i="75"/>
  <c r="J292" i="75"/>
  <c r="J294" i="75"/>
  <c r="D322" i="75"/>
  <c r="D324" i="75"/>
  <c r="D331" i="75"/>
  <c r="D335" i="75"/>
  <c r="H322" i="75"/>
  <c r="H324" i="75"/>
  <c r="H331" i="75"/>
  <c r="H335" i="75"/>
  <c r="M236" i="74"/>
  <c r="L239" i="78"/>
  <c r="M235" i="78"/>
  <c r="M238" i="78"/>
  <c r="L316" i="78"/>
  <c r="M312" i="78"/>
  <c r="M315" i="78"/>
  <c r="J109" i="75"/>
  <c r="J123" i="75"/>
  <c r="J129" i="75"/>
  <c r="G239" i="76"/>
  <c r="N23" i="76"/>
  <c r="I234" i="76"/>
  <c r="I237" i="76"/>
  <c r="J234" i="76"/>
  <c r="J237" i="76"/>
  <c r="N224" i="76"/>
  <c r="N396" i="76"/>
  <c r="C342" i="76"/>
  <c r="J310" i="76"/>
  <c r="J313" i="76"/>
  <c r="I314" i="76"/>
  <c r="M179" i="76"/>
  <c r="M180" i="76"/>
  <c r="N175" i="76"/>
  <c r="M410" i="76"/>
  <c r="M411" i="76"/>
  <c r="N406" i="76"/>
  <c r="C261" i="76"/>
  <c r="N225" i="76"/>
  <c r="N397" i="76"/>
  <c r="N24" i="76"/>
  <c r="N166" i="76"/>
  <c r="N165" i="76"/>
  <c r="H250" i="75"/>
  <c r="H258" i="75"/>
  <c r="H270" i="75"/>
  <c r="M109" i="75"/>
  <c r="M123" i="75"/>
  <c r="M129" i="75"/>
  <c r="I250" i="75"/>
  <c r="I258" i="75"/>
  <c r="I270" i="75"/>
  <c r="F250" i="75"/>
  <c r="F258" i="75"/>
  <c r="F270" i="75"/>
  <c r="E109" i="75"/>
  <c r="E123" i="75"/>
  <c r="E129" i="75"/>
  <c r="I109" i="75"/>
  <c r="I123" i="75"/>
  <c r="I129" i="75"/>
  <c r="L250" i="75"/>
  <c r="L258" i="75"/>
  <c r="L270" i="75"/>
  <c r="M250" i="75"/>
  <c r="M258" i="75"/>
  <c r="M270" i="75"/>
  <c r="N248" i="75"/>
  <c r="B250" i="75"/>
  <c r="J162" i="75"/>
  <c r="J165" i="75"/>
  <c r="I166" i="75"/>
  <c r="N292" i="75"/>
  <c r="N294" i="75"/>
  <c r="B294" i="75"/>
  <c r="D295" i="75"/>
  <c r="N21" i="75"/>
  <c r="B23" i="75"/>
  <c r="D24" i="75"/>
  <c r="N24" i="75"/>
  <c r="G221" i="75"/>
  <c r="G224" i="75"/>
  <c r="F225" i="75"/>
  <c r="N22" i="75"/>
  <c r="N156" i="75"/>
  <c r="N300" i="75"/>
  <c r="G109" i="75"/>
  <c r="G123" i="75"/>
  <c r="G129" i="75"/>
  <c r="D109" i="75"/>
  <c r="D123" i="75"/>
  <c r="D129" i="75"/>
  <c r="N28" i="75"/>
  <c r="N290" i="75"/>
  <c r="N215" i="75"/>
  <c r="N249" i="75"/>
  <c r="B324" i="75"/>
  <c r="N322" i="75"/>
  <c r="B152" i="75"/>
  <c r="D153" i="75"/>
  <c r="N153" i="75"/>
  <c r="N150" i="75"/>
  <c r="K308" i="75"/>
  <c r="L304" i="75"/>
  <c r="L307" i="75"/>
  <c r="B211" i="75"/>
  <c r="D212" i="75"/>
  <c r="N209" i="75"/>
  <c r="B109" i="75"/>
  <c r="N107" i="75"/>
  <c r="N210" i="75"/>
  <c r="C109" i="75"/>
  <c r="C123" i="75"/>
  <c r="C129" i="75"/>
  <c r="N27" i="75"/>
  <c r="N151" i="75"/>
  <c r="N299" i="75"/>
  <c r="J295" i="75"/>
  <c r="D250" i="75"/>
  <c r="D258" i="75"/>
  <c r="D270" i="75"/>
  <c r="N159" i="75"/>
  <c r="E250" i="75"/>
  <c r="E258" i="75"/>
  <c r="E270" i="75"/>
  <c r="M212" i="75"/>
  <c r="N108" i="75"/>
  <c r="N30" i="75"/>
  <c r="N354" i="74"/>
  <c r="N353" i="74"/>
  <c r="N352" i="74"/>
  <c r="N350" i="74"/>
  <c r="M349" i="74"/>
  <c r="L349" i="74"/>
  <c r="K349" i="74"/>
  <c r="J349" i="74"/>
  <c r="I349" i="74"/>
  <c r="H349" i="74"/>
  <c r="G349" i="74"/>
  <c r="F349" i="74"/>
  <c r="E349" i="74"/>
  <c r="D349" i="74"/>
  <c r="C349" i="74"/>
  <c r="B349" i="74"/>
  <c r="N348" i="74"/>
  <c r="N347" i="74"/>
  <c r="N346" i="74"/>
  <c r="N345" i="74"/>
  <c r="N343" i="74"/>
  <c r="D338" i="74"/>
  <c r="H342" i="74"/>
  <c r="H344" i="74"/>
  <c r="F342" i="74"/>
  <c r="F344" i="74"/>
  <c r="D342" i="74"/>
  <c r="D344" i="74"/>
  <c r="D351" i="74"/>
  <c r="D355" i="74"/>
  <c r="B342" i="74"/>
  <c r="B344" i="74"/>
  <c r="M342" i="74"/>
  <c r="M344" i="74"/>
  <c r="N327" i="74"/>
  <c r="I327" i="74"/>
  <c r="I328" i="74"/>
  <c r="H327" i="74"/>
  <c r="H328" i="74"/>
  <c r="G327" i="74"/>
  <c r="G328" i="74"/>
  <c r="F327" i="74"/>
  <c r="F328" i="74"/>
  <c r="E327" i="74"/>
  <c r="E328" i="74"/>
  <c r="G329" i="74"/>
  <c r="D327" i="74"/>
  <c r="D328" i="74"/>
  <c r="D329" i="74"/>
  <c r="C327" i="74"/>
  <c r="C328" i="74"/>
  <c r="B327" i="74"/>
  <c r="B328" i="74"/>
  <c r="N326" i="74"/>
  <c r="N325" i="74"/>
  <c r="J324" i="74"/>
  <c r="J327" i="74"/>
  <c r="N316" i="74"/>
  <c r="M321" i="74"/>
  <c r="L320" i="74"/>
  <c r="K321" i="74"/>
  <c r="J320" i="74"/>
  <c r="I321" i="74"/>
  <c r="H320" i="74"/>
  <c r="G321" i="74"/>
  <c r="F320" i="74"/>
  <c r="E321" i="74"/>
  <c r="D320" i="74"/>
  <c r="C321" i="74"/>
  <c r="B320" i="74"/>
  <c r="N306" i="74"/>
  <c r="N305" i="74"/>
  <c r="N304" i="74"/>
  <c r="N303" i="74"/>
  <c r="N302" i="74"/>
  <c r="N301" i="74"/>
  <c r="N300" i="74"/>
  <c r="N299" i="74"/>
  <c r="N298" i="74"/>
  <c r="N297" i="74"/>
  <c r="N296" i="74"/>
  <c r="N271" i="74"/>
  <c r="N270" i="74"/>
  <c r="N269" i="74"/>
  <c r="N268" i="74"/>
  <c r="N267" i="74"/>
  <c r="N266" i="74"/>
  <c r="N265" i="74"/>
  <c r="N264" i="74"/>
  <c r="N263" i="74"/>
  <c r="N261" i="74"/>
  <c r="N260" i="74"/>
  <c r="N258" i="74"/>
  <c r="M257" i="74"/>
  <c r="L257" i="74"/>
  <c r="K257" i="74"/>
  <c r="J257" i="74"/>
  <c r="I257" i="74"/>
  <c r="H257" i="74"/>
  <c r="G257" i="74"/>
  <c r="F257" i="74"/>
  <c r="E257" i="74"/>
  <c r="D257" i="74"/>
  <c r="C257" i="74"/>
  <c r="B257" i="74"/>
  <c r="N256" i="74"/>
  <c r="N255" i="74"/>
  <c r="N254" i="74"/>
  <c r="N252" i="74"/>
  <c r="N251" i="74"/>
  <c r="D240" i="74"/>
  <c r="D241" i="74"/>
  <c r="N224" i="74"/>
  <c r="E224" i="74"/>
  <c r="E225" i="74"/>
  <c r="D224" i="74"/>
  <c r="D225" i="74"/>
  <c r="D226" i="74"/>
  <c r="C224" i="74"/>
  <c r="C225" i="74"/>
  <c r="B224" i="74"/>
  <c r="B225" i="74"/>
  <c r="N223" i="74"/>
  <c r="N222" i="74"/>
  <c r="F221" i="74"/>
  <c r="F224" i="74"/>
  <c r="N213" i="74"/>
  <c r="M217" i="74"/>
  <c r="L218" i="74"/>
  <c r="K217" i="74"/>
  <c r="J218" i="74"/>
  <c r="I217" i="74"/>
  <c r="H218" i="74"/>
  <c r="G217" i="74"/>
  <c r="F218" i="74"/>
  <c r="E217" i="74"/>
  <c r="D218" i="74"/>
  <c r="C217" i="74"/>
  <c r="B218" i="74"/>
  <c r="N203" i="74"/>
  <c r="N202" i="74"/>
  <c r="N201" i="74"/>
  <c r="N200" i="74"/>
  <c r="N199" i="74"/>
  <c r="N198" i="74"/>
  <c r="N197" i="74"/>
  <c r="N196" i="74"/>
  <c r="N195" i="74"/>
  <c r="N194" i="74"/>
  <c r="N193" i="74"/>
  <c r="N186" i="74"/>
  <c r="N185" i="74"/>
  <c r="N184" i="74"/>
  <c r="N182" i="74"/>
  <c r="M181" i="74"/>
  <c r="L181" i="74"/>
  <c r="K181" i="74"/>
  <c r="J181" i="74"/>
  <c r="I181" i="74"/>
  <c r="H181" i="74"/>
  <c r="G181" i="74"/>
  <c r="F181" i="74"/>
  <c r="E181" i="74"/>
  <c r="D181" i="74"/>
  <c r="C181" i="74"/>
  <c r="B181" i="74"/>
  <c r="N180" i="74"/>
  <c r="N179" i="74"/>
  <c r="N178" i="74"/>
  <c r="N177" i="74"/>
  <c r="N176" i="74"/>
  <c r="M175" i="74"/>
  <c r="L175" i="74"/>
  <c r="K175" i="74"/>
  <c r="J175" i="74"/>
  <c r="I175" i="74"/>
  <c r="H175" i="74"/>
  <c r="H183" i="74"/>
  <c r="H187" i="74"/>
  <c r="H278" i="74"/>
  <c r="G175" i="74"/>
  <c r="F175" i="74"/>
  <c r="E175" i="74"/>
  <c r="D175" i="74"/>
  <c r="D183" i="74"/>
  <c r="D187" i="74"/>
  <c r="D278" i="74"/>
  <c r="C175" i="74"/>
  <c r="B175" i="74"/>
  <c r="N174" i="74"/>
  <c r="N173" i="74"/>
  <c r="N172" i="74"/>
  <c r="N171" i="74"/>
  <c r="N165" i="74"/>
  <c r="H165" i="74"/>
  <c r="H166" i="74"/>
  <c r="G165" i="74"/>
  <c r="G166" i="74"/>
  <c r="F165" i="74"/>
  <c r="F166" i="74"/>
  <c r="E165" i="74"/>
  <c r="E166" i="74"/>
  <c r="D165" i="74"/>
  <c r="D166" i="74"/>
  <c r="D167" i="74"/>
  <c r="C165" i="74"/>
  <c r="C166" i="74"/>
  <c r="B165" i="74"/>
  <c r="B166" i="74"/>
  <c r="N164" i="74"/>
  <c r="N163" i="74"/>
  <c r="I162" i="74"/>
  <c r="I165" i="74"/>
  <c r="N154" i="74"/>
  <c r="M151" i="74"/>
  <c r="M148" i="74"/>
  <c r="K151" i="74"/>
  <c r="I151" i="74"/>
  <c r="G151" i="74"/>
  <c r="E151" i="74"/>
  <c r="C151" i="74"/>
  <c r="N144" i="74"/>
  <c r="N143" i="74"/>
  <c r="N142" i="74"/>
  <c r="N141" i="74"/>
  <c r="N140" i="74"/>
  <c r="N139" i="74"/>
  <c r="N138" i="74"/>
  <c r="N137" i="74"/>
  <c r="N136" i="74"/>
  <c r="N135" i="74"/>
  <c r="N134" i="74"/>
  <c r="N128" i="74"/>
  <c r="N127" i="74"/>
  <c r="N126" i="74"/>
  <c r="N125" i="74"/>
  <c r="N124" i="74"/>
  <c r="N122" i="74"/>
  <c r="M121" i="74"/>
  <c r="L121" i="74"/>
  <c r="K121" i="74"/>
  <c r="J121" i="74"/>
  <c r="I121" i="74"/>
  <c r="H121" i="74"/>
  <c r="G121" i="74"/>
  <c r="F121" i="74"/>
  <c r="E121" i="74"/>
  <c r="D121" i="74"/>
  <c r="C121" i="74"/>
  <c r="B121" i="74"/>
  <c r="N120" i="74"/>
  <c r="N119" i="74"/>
  <c r="N118" i="74"/>
  <c r="N117" i="74"/>
  <c r="N116" i="74"/>
  <c r="N115" i="74"/>
  <c r="N114" i="74"/>
  <c r="N113" i="74"/>
  <c r="N112" i="74"/>
  <c r="N111" i="74"/>
  <c r="N110" i="74"/>
  <c r="L108" i="74"/>
  <c r="M107" i="74"/>
  <c r="N55" i="74"/>
  <c r="N54" i="74"/>
  <c r="N53" i="74"/>
  <c r="N52" i="74"/>
  <c r="N51" i="74"/>
  <c r="N50" i="74"/>
  <c r="N46" i="74"/>
  <c r="N45" i="74"/>
  <c r="N44" i="74"/>
  <c r="N43" i="74"/>
  <c r="N42" i="74"/>
  <c r="M37" i="74"/>
  <c r="L37" i="74"/>
  <c r="K37" i="74"/>
  <c r="M38" i="74"/>
  <c r="J37" i="74"/>
  <c r="I37" i="74"/>
  <c r="H37" i="74"/>
  <c r="J38" i="74"/>
  <c r="G37" i="74"/>
  <c r="F37" i="74"/>
  <c r="E37" i="74"/>
  <c r="G38" i="74"/>
  <c r="D37" i="74"/>
  <c r="D38" i="74"/>
  <c r="C37" i="74"/>
  <c r="B37" i="74"/>
  <c r="N25" i="74"/>
  <c r="M16" i="74"/>
  <c r="M29" i="74"/>
  <c r="L16" i="74"/>
  <c r="L30" i="74"/>
  <c r="K16" i="74"/>
  <c r="K29" i="74"/>
  <c r="J16" i="74"/>
  <c r="J30" i="74"/>
  <c r="I16" i="74"/>
  <c r="I29" i="74"/>
  <c r="H16" i="74"/>
  <c r="H30" i="74"/>
  <c r="G16" i="74"/>
  <c r="G29" i="74"/>
  <c r="F16" i="74"/>
  <c r="F30" i="74"/>
  <c r="E16" i="74"/>
  <c r="E29" i="74"/>
  <c r="D16" i="74"/>
  <c r="D30" i="74"/>
  <c r="C16" i="74"/>
  <c r="C29" i="74"/>
  <c r="B16" i="74"/>
  <c r="B30" i="74"/>
  <c r="N15" i="74"/>
  <c r="N14" i="74"/>
  <c r="N13" i="74"/>
  <c r="N12" i="74"/>
  <c r="N11" i="74"/>
  <c r="N10" i="74"/>
  <c r="N9" i="74"/>
  <c r="N8" i="74"/>
  <c r="N7" i="74"/>
  <c r="N6" i="74"/>
  <c r="N5" i="74"/>
  <c r="N4" i="74"/>
  <c r="N235" i="78"/>
  <c r="M239" i="78"/>
  <c r="M240" i="78"/>
  <c r="N312" i="78"/>
  <c r="M316" i="78"/>
  <c r="M317" i="78"/>
  <c r="M351" i="74"/>
  <c r="M355" i="74"/>
  <c r="M183" i="74"/>
  <c r="M187" i="74"/>
  <c r="M278" i="74"/>
  <c r="K183" i="74"/>
  <c r="K187" i="74"/>
  <c r="K278" i="74"/>
  <c r="I238" i="76"/>
  <c r="O342" i="76"/>
  <c r="O354" i="76"/>
  <c r="N361" i="76"/>
  <c r="C354" i="76"/>
  <c r="B361" i="76"/>
  <c r="J314" i="76"/>
  <c r="J315" i="76"/>
  <c r="K310" i="76"/>
  <c r="K313" i="76"/>
  <c r="I183" i="74"/>
  <c r="I187" i="74"/>
  <c r="I278" i="74"/>
  <c r="L183" i="74"/>
  <c r="L187" i="74"/>
  <c r="L278" i="74"/>
  <c r="J183" i="74"/>
  <c r="J187" i="74"/>
  <c r="J278" i="74"/>
  <c r="K234" i="76"/>
  <c r="K237" i="76"/>
  <c r="J238" i="76"/>
  <c r="C276" i="76"/>
  <c r="O261" i="76"/>
  <c r="G183" i="74"/>
  <c r="G187" i="74"/>
  <c r="G278" i="74"/>
  <c r="E183" i="74"/>
  <c r="E187" i="74"/>
  <c r="E278" i="74"/>
  <c r="F183" i="74"/>
  <c r="F187" i="74"/>
  <c r="F278" i="74"/>
  <c r="N47" i="74"/>
  <c r="N145" i="74"/>
  <c r="N204" i="74"/>
  <c r="N307" i="74"/>
  <c r="H351" i="74"/>
  <c r="H355" i="74"/>
  <c r="F351" i="74"/>
  <c r="F355" i="74"/>
  <c r="N349" i="74"/>
  <c r="N56" i="74"/>
  <c r="B183" i="74"/>
  <c r="G225" i="75"/>
  <c r="H221" i="75"/>
  <c r="H224" i="75"/>
  <c r="B258" i="75"/>
  <c r="N250" i="75"/>
  <c r="N212" i="75"/>
  <c r="G226" i="75"/>
  <c r="N295" i="75"/>
  <c r="N109" i="75"/>
  <c r="B123" i="75"/>
  <c r="N324" i="75"/>
  <c r="B331" i="75"/>
  <c r="M304" i="75"/>
  <c r="M307" i="75"/>
  <c r="L308" i="75"/>
  <c r="J166" i="75"/>
  <c r="J167" i="75"/>
  <c r="K162" i="75"/>
  <c r="K165" i="75"/>
  <c r="N211" i="75"/>
  <c r="N152" i="75"/>
  <c r="N23" i="75"/>
  <c r="C183" i="74"/>
  <c r="C187" i="74"/>
  <c r="C278" i="74"/>
  <c r="N181" i="74"/>
  <c r="C148" i="74"/>
  <c r="G148" i="74"/>
  <c r="K148" i="74"/>
  <c r="E148" i="74"/>
  <c r="I148" i="74"/>
  <c r="N257" i="74"/>
  <c r="N121" i="74"/>
  <c r="C108" i="74"/>
  <c r="G108" i="74"/>
  <c r="K108" i="74"/>
  <c r="E108" i="74"/>
  <c r="I108" i="74"/>
  <c r="M108" i="74"/>
  <c r="M109" i="74"/>
  <c r="M123" i="74"/>
  <c r="B159" i="74"/>
  <c r="B157" i="74"/>
  <c r="B158" i="74"/>
  <c r="B156" i="74"/>
  <c r="D159" i="74"/>
  <c r="D157" i="74"/>
  <c r="D158" i="74"/>
  <c r="D156" i="74"/>
  <c r="F159" i="74"/>
  <c r="F157" i="74"/>
  <c r="F158" i="74"/>
  <c r="F156" i="74"/>
  <c r="H159" i="74"/>
  <c r="H157" i="74"/>
  <c r="H158" i="74"/>
  <c r="H156" i="74"/>
  <c r="J159" i="74"/>
  <c r="J157" i="74"/>
  <c r="J158" i="74"/>
  <c r="J156" i="74"/>
  <c r="L159" i="74"/>
  <c r="L157" i="74"/>
  <c r="L158" i="74"/>
  <c r="L156" i="74"/>
  <c r="B187" i="74"/>
  <c r="B278" i="74"/>
  <c r="M248" i="74"/>
  <c r="K248" i="74"/>
  <c r="I248" i="74"/>
  <c r="G248" i="74"/>
  <c r="E248" i="74"/>
  <c r="C248" i="74"/>
  <c r="L248" i="74"/>
  <c r="J248" i="74"/>
  <c r="H248" i="74"/>
  <c r="F248" i="74"/>
  <c r="D248" i="74"/>
  <c r="B248" i="74"/>
  <c r="J328" i="74"/>
  <c r="K324" i="74"/>
  <c r="K327" i="74"/>
  <c r="B19" i="74"/>
  <c r="D19" i="74"/>
  <c r="F19" i="74"/>
  <c r="H19" i="74"/>
  <c r="J19" i="74"/>
  <c r="L19" i="74"/>
  <c r="C21" i="74"/>
  <c r="C23" i="74"/>
  <c r="E21" i="74"/>
  <c r="E23" i="74"/>
  <c r="G21" i="74"/>
  <c r="G23" i="74"/>
  <c r="I21" i="74"/>
  <c r="I23" i="74"/>
  <c r="K21" i="74"/>
  <c r="K23" i="74"/>
  <c r="M21" i="74"/>
  <c r="M23" i="74"/>
  <c r="B22" i="74"/>
  <c r="D22" i="74"/>
  <c r="F22" i="74"/>
  <c r="H22" i="74"/>
  <c r="J22" i="74"/>
  <c r="L22" i="74"/>
  <c r="B27" i="74"/>
  <c r="D27" i="74"/>
  <c r="F27" i="74"/>
  <c r="H27" i="74"/>
  <c r="J27" i="74"/>
  <c r="L27" i="74"/>
  <c r="C28" i="74"/>
  <c r="E28" i="74"/>
  <c r="G28" i="74"/>
  <c r="I28" i="74"/>
  <c r="M28" i="74"/>
  <c r="B29" i="74"/>
  <c r="D29" i="74"/>
  <c r="F29" i="74"/>
  <c r="H29" i="74"/>
  <c r="J29" i="74"/>
  <c r="L29" i="74"/>
  <c r="C30" i="74"/>
  <c r="E30" i="74"/>
  <c r="G30" i="74"/>
  <c r="I30" i="74"/>
  <c r="K30" i="74"/>
  <c r="M30" i="74"/>
  <c r="B107" i="74"/>
  <c r="D107" i="74"/>
  <c r="F107" i="74"/>
  <c r="H107" i="74"/>
  <c r="J107" i="74"/>
  <c r="L107" i="74"/>
  <c r="L109" i="74"/>
  <c r="L123" i="74"/>
  <c r="B150" i="74"/>
  <c r="D150" i="74"/>
  <c r="D152" i="74"/>
  <c r="F150" i="74"/>
  <c r="F152" i="74"/>
  <c r="H150" i="74"/>
  <c r="H152" i="74"/>
  <c r="J150" i="74"/>
  <c r="J152" i="74"/>
  <c r="L150" i="74"/>
  <c r="L152" i="74"/>
  <c r="C158" i="74"/>
  <c r="C156" i="74"/>
  <c r="C159" i="74"/>
  <c r="C157" i="74"/>
  <c r="E158" i="74"/>
  <c r="E156" i="74"/>
  <c r="E159" i="74"/>
  <c r="E157" i="74"/>
  <c r="G158" i="74"/>
  <c r="G156" i="74"/>
  <c r="G159" i="74"/>
  <c r="G157" i="74"/>
  <c r="I158" i="74"/>
  <c r="I156" i="74"/>
  <c r="I159" i="74"/>
  <c r="I157" i="74"/>
  <c r="K158" i="74"/>
  <c r="K156" i="74"/>
  <c r="K159" i="74"/>
  <c r="K157" i="74"/>
  <c r="M158" i="74"/>
  <c r="M156" i="74"/>
  <c r="M159" i="74"/>
  <c r="M157" i="74"/>
  <c r="J162" i="74"/>
  <c r="J165" i="74"/>
  <c r="I166" i="74"/>
  <c r="G221" i="74"/>
  <c r="G224" i="74"/>
  <c r="F225" i="74"/>
  <c r="L249" i="74"/>
  <c r="J249" i="74"/>
  <c r="H249" i="74"/>
  <c r="F249" i="74"/>
  <c r="D249" i="74"/>
  <c r="B249" i="74"/>
  <c r="M249" i="74"/>
  <c r="K249" i="74"/>
  <c r="I249" i="74"/>
  <c r="G249" i="74"/>
  <c r="E249" i="74"/>
  <c r="C249" i="74"/>
  <c r="B351" i="74"/>
  <c r="B355" i="74"/>
  <c r="N16" i="74"/>
  <c r="C19" i="74"/>
  <c r="E19" i="74"/>
  <c r="G19" i="74"/>
  <c r="I19" i="74"/>
  <c r="K19" i="74"/>
  <c r="M19" i="74"/>
  <c r="B21" i="74"/>
  <c r="D21" i="74"/>
  <c r="D23" i="74"/>
  <c r="F21" i="74"/>
  <c r="F23" i="74"/>
  <c r="H21" i="74"/>
  <c r="H23" i="74"/>
  <c r="J21" i="74"/>
  <c r="J23" i="74"/>
  <c r="L21" i="74"/>
  <c r="L23" i="74"/>
  <c r="C22" i="74"/>
  <c r="E22" i="74"/>
  <c r="G22" i="74"/>
  <c r="I22" i="74"/>
  <c r="K22" i="74"/>
  <c r="M22" i="74"/>
  <c r="C27" i="74"/>
  <c r="E27" i="74"/>
  <c r="G27" i="74"/>
  <c r="I27" i="74"/>
  <c r="K27" i="74"/>
  <c r="M27" i="74"/>
  <c r="B28" i="74"/>
  <c r="D28" i="74"/>
  <c r="F28" i="74"/>
  <c r="H28" i="74"/>
  <c r="J28" i="74"/>
  <c r="L28" i="74"/>
  <c r="C107" i="74"/>
  <c r="E107" i="74"/>
  <c r="G107" i="74"/>
  <c r="I107" i="74"/>
  <c r="K107" i="74"/>
  <c r="B108" i="74"/>
  <c r="D108" i="74"/>
  <c r="F108" i="74"/>
  <c r="H108" i="74"/>
  <c r="J108" i="74"/>
  <c r="B148" i="74"/>
  <c r="D148" i="74"/>
  <c r="F148" i="74"/>
  <c r="H148" i="74"/>
  <c r="J148" i="74"/>
  <c r="L148" i="74"/>
  <c r="C150" i="74"/>
  <c r="C152" i="74"/>
  <c r="E150" i="74"/>
  <c r="E152" i="74"/>
  <c r="G150" i="74"/>
  <c r="G152" i="74"/>
  <c r="I150" i="74"/>
  <c r="I152" i="74"/>
  <c r="K150" i="74"/>
  <c r="K152" i="74"/>
  <c r="M150" i="74"/>
  <c r="M152" i="74"/>
  <c r="B151" i="74"/>
  <c r="D151" i="74"/>
  <c r="F151" i="74"/>
  <c r="H151" i="74"/>
  <c r="J151" i="74"/>
  <c r="L151" i="74"/>
  <c r="G167" i="74"/>
  <c r="J329" i="74"/>
  <c r="B207" i="74"/>
  <c r="D207" i="74"/>
  <c r="F207" i="74"/>
  <c r="H207" i="74"/>
  <c r="J207" i="74"/>
  <c r="L207" i="74"/>
  <c r="C209" i="74"/>
  <c r="C211" i="74"/>
  <c r="E209" i="74"/>
  <c r="E211" i="74"/>
  <c r="G209" i="74"/>
  <c r="G211" i="74"/>
  <c r="I209" i="74"/>
  <c r="I211" i="74"/>
  <c r="K209" i="74"/>
  <c r="K211" i="74"/>
  <c r="M209" i="74"/>
  <c r="M211" i="74"/>
  <c r="B210" i="74"/>
  <c r="D210" i="74"/>
  <c r="F210" i="74"/>
  <c r="H210" i="74"/>
  <c r="J210" i="74"/>
  <c r="L210" i="74"/>
  <c r="B215" i="74"/>
  <c r="D215" i="74"/>
  <c r="F215" i="74"/>
  <c r="H215" i="74"/>
  <c r="J215" i="74"/>
  <c r="L215" i="74"/>
  <c r="C216" i="74"/>
  <c r="E216" i="74"/>
  <c r="G216" i="74"/>
  <c r="I216" i="74"/>
  <c r="K216" i="74"/>
  <c r="M216" i="74"/>
  <c r="B217" i="74"/>
  <c r="D217" i="74"/>
  <c r="F217" i="74"/>
  <c r="H217" i="74"/>
  <c r="J217" i="74"/>
  <c r="L217" i="74"/>
  <c r="C218" i="74"/>
  <c r="E218" i="74"/>
  <c r="G218" i="74"/>
  <c r="I218" i="74"/>
  <c r="K218" i="74"/>
  <c r="M218" i="74"/>
  <c r="C310" i="74"/>
  <c r="E310" i="74"/>
  <c r="G310" i="74"/>
  <c r="I310" i="74"/>
  <c r="K310" i="74"/>
  <c r="M310" i="74"/>
  <c r="B312" i="74"/>
  <c r="D312" i="74"/>
  <c r="D314" i="74"/>
  <c r="F312" i="74"/>
  <c r="F314" i="74"/>
  <c r="H312" i="74"/>
  <c r="H314" i="74"/>
  <c r="J312" i="74"/>
  <c r="J314" i="74"/>
  <c r="L312" i="74"/>
  <c r="L314" i="74"/>
  <c r="C313" i="74"/>
  <c r="E313" i="74"/>
  <c r="G313" i="74"/>
  <c r="I313" i="74"/>
  <c r="K313" i="74"/>
  <c r="M313" i="74"/>
  <c r="C318" i="74"/>
  <c r="E318" i="74"/>
  <c r="G318" i="74"/>
  <c r="I318" i="74"/>
  <c r="K318" i="74"/>
  <c r="M318" i="74"/>
  <c r="B319" i="74"/>
  <c r="D319" i="74"/>
  <c r="F319" i="74"/>
  <c r="H319" i="74"/>
  <c r="J319" i="74"/>
  <c r="L319" i="74"/>
  <c r="C320" i="74"/>
  <c r="E320" i="74"/>
  <c r="G320" i="74"/>
  <c r="I320" i="74"/>
  <c r="K320" i="74"/>
  <c r="M320" i="74"/>
  <c r="B321" i="74"/>
  <c r="D321" i="74"/>
  <c r="F321" i="74"/>
  <c r="H321" i="74"/>
  <c r="J321" i="74"/>
  <c r="L321" i="74"/>
  <c r="J342" i="74"/>
  <c r="J344" i="74"/>
  <c r="J351" i="74"/>
  <c r="J355" i="74"/>
  <c r="L342" i="74"/>
  <c r="L344" i="74"/>
  <c r="L351" i="74"/>
  <c r="L355" i="74"/>
  <c r="N175" i="74"/>
  <c r="C207" i="74"/>
  <c r="E207" i="74"/>
  <c r="G207" i="74"/>
  <c r="I207" i="74"/>
  <c r="K207" i="74"/>
  <c r="M207" i="74"/>
  <c r="B209" i="74"/>
  <c r="D209" i="74"/>
  <c r="D211" i="74"/>
  <c r="F209" i="74"/>
  <c r="F211" i="74"/>
  <c r="H209" i="74"/>
  <c r="H211" i="74"/>
  <c r="J209" i="74"/>
  <c r="J211" i="74"/>
  <c r="L209" i="74"/>
  <c r="L211" i="74"/>
  <c r="C210" i="74"/>
  <c r="E210" i="74"/>
  <c r="G210" i="74"/>
  <c r="I210" i="74"/>
  <c r="K210" i="74"/>
  <c r="M210" i="74"/>
  <c r="C215" i="74"/>
  <c r="E215" i="74"/>
  <c r="G215" i="74"/>
  <c r="I215" i="74"/>
  <c r="K215" i="74"/>
  <c r="M215" i="74"/>
  <c r="B216" i="74"/>
  <c r="D216" i="74"/>
  <c r="F216" i="74"/>
  <c r="H216" i="74"/>
  <c r="J216" i="74"/>
  <c r="L216" i="74"/>
  <c r="B310" i="74"/>
  <c r="D310" i="74"/>
  <c r="F310" i="74"/>
  <c r="H310" i="74"/>
  <c r="J310" i="74"/>
  <c r="L310" i="74"/>
  <c r="C312" i="74"/>
  <c r="C314" i="74"/>
  <c r="E312" i="74"/>
  <c r="E314" i="74"/>
  <c r="G312" i="74"/>
  <c r="G314" i="74"/>
  <c r="I312" i="74"/>
  <c r="I314" i="74"/>
  <c r="K312" i="74"/>
  <c r="K314" i="74"/>
  <c r="M312" i="74"/>
  <c r="M314" i="74"/>
  <c r="B313" i="74"/>
  <c r="D313" i="74"/>
  <c r="F313" i="74"/>
  <c r="H313" i="74"/>
  <c r="J313" i="74"/>
  <c r="L313" i="74"/>
  <c r="B318" i="74"/>
  <c r="D318" i="74"/>
  <c r="F318" i="74"/>
  <c r="H318" i="74"/>
  <c r="J318" i="74"/>
  <c r="L318" i="74"/>
  <c r="C319" i="74"/>
  <c r="E319" i="74"/>
  <c r="G319" i="74"/>
  <c r="I319" i="74"/>
  <c r="K319" i="74"/>
  <c r="M319" i="74"/>
  <c r="C342" i="74"/>
  <c r="C344" i="74"/>
  <c r="C351" i="74"/>
  <c r="C355" i="74"/>
  <c r="E342" i="74"/>
  <c r="E344" i="74"/>
  <c r="E351" i="74"/>
  <c r="E355" i="74"/>
  <c r="G342" i="74"/>
  <c r="G344" i="74"/>
  <c r="G351" i="74"/>
  <c r="G355" i="74"/>
  <c r="I342" i="74"/>
  <c r="I344" i="74"/>
  <c r="I351" i="74"/>
  <c r="I355" i="74"/>
  <c r="K342" i="74"/>
  <c r="K344" i="74"/>
  <c r="K351" i="74"/>
  <c r="K355" i="74"/>
  <c r="B360" i="76"/>
  <c r="O276" i="76"/>
  <c r="N360" i="76"/>
  <c r="J239" i="76"/>
  <c r="K314" i="76"/>
  <c r="L310" i="76"/>
  <c r="L313" i="76"/>
  <c r="J24" i="74"/>
  <c r="K238" i="76"/>
  <c r="L234" i="76"/>
  <c r="L237" i="76"/>
  <c r="N183" i="74"/>
  <c r="N187" i="74"/>
  <c r="N278" i="74"/>
  <c r="K166" i="75"/>
  <c r="L162" i="75"/>
  <c r="L165" i="75"/>
  <c r="B335" i="75"/>
  <c r="N331" i="75"/>
  <c r="N335" i="75"/>
  <c r="M308" i="75"/>
  <c r="M309" i="75"/>
  <c r="N304" i="75"/>
  <c r="I221" i="75"/>
  <c r="I224" i="75"/>
  <c r="H225" i="75"/>
  <c r="B129" i="75"/>
  <c r="N123" i="75"/>
  <c r="N129" i="75"/>
  <c r="B270" i="75"/>
  <c r="N258" i="75"/>
  <c r="N270" i="75"/>
  <c r="I109" i="74"/>
  <c r="I123" i="74"/>
  <c r="I129" i="74"/>
  <c r="I277" i="74"/>
  <c r="L129" i="74"/>
  <c r="L277" i="74"/>
  <c r="M129" i="74"/>
  <c r="M277" i="74"/>
  <c r="N320" i="74"/>
  <c r="G153" i="74"/>
  <c r="N30" i="74"/>
  <c r="G24" i="74"/>
  <c r="G315" i="74"/>
  <c r="J212" i="74"/>
  <c r="N218" i="74"/>
  <c r="G212" i="74"/>
  <c r="J250" i="74"/>
  <c r="J259" i="74"/>
  <c r="K109" i="74"/>
  <c r="K123" i="74"/>
  <c r="C109" i="74"/>
  <c r="C123" i="74"/>
  <c r="F250" i="74"/>
  <c r="F259" i="74"/>
  <c r="E109" i="74"/>
  <c r="E123" i="74"/>
  <c r="G109" i="74"/>
  <c r="G123" i="74"/>
  <c r="N249" i="74"/>
  <c r="C250" i="74"/>
  <c r="C259" i="74"/>
  <c r="G250" i="74"/>
  <c r="G259" i="74"/>
  <c r="K250" i="74"/>
  <c r="K259" i="74"/>
  <c r="H109" i="74"/>
  <c r="H123" i="74"/>
  <c r="D109" i="74"/>
  <c r="D123" i="74"/>
  <c r="B314" i="74"/>
  <c r="D315" i="74"/>
  <c r="N312" i="74"/>
  <c r="N351" i="74"/>
  <c r="N355" i="74"/>
  <c r="G225" i="74"/>
  <c r="G226" i="74"/>
  <c r="H221" i="74"/>
  <c r="H224" i="74"/>
  <c r="J166" i="74"/>
  <c r="J167" i="74"/>
  <c r="K162" i="74"/>
  <c r="K165" i="74"/>
  <c r="B152" i="74"/>
  <c r="D153" i="74"/>
  <c r="N150" i="74"/>
  <c r="L324" i="74"/>
  <c r="L327" i="74"/>
  <c r="K328" i="74"/>
  <c r="B250" i="74"/>
  <c r="N248" i="74"/>
  <c r="N342" i="74"/>
  <c r="N321" i="74"/>
  <c r="N319" i="74"/>
  <c r="N108" i="74"/>
  <c r="N156" i="74"/>
  <c r="N157" i="74"/>
  <c r="B211" i="74"/>
  <c r="D212" i="74"/>
  <c r="N209" i="74"/>
  <c r="B23" i="74"/>
  <c r="D24" i="74"/>
  <c r="N21" i="74"/>
  <c r="B109" i="74"/>
  <c r="N107" i="74"/>
  <c r="N318" i="74"/>
  <c r="N313" i="74"/>
  <c r="M315" i="74"/>
  <c r="N310" i="74"/>
  <c r="N216" i="74"/>
  <c r="J315" i="74"/>
  <c r="N217" i="74"/>
  <c r="N215" i="74"/>
  <c r="N210" i="74"/>
  <c r="M212" i="74"/>
  <c r="N207" i="74"/>
  <c r="N151" i="74"/>
  <c r="M153" i="74"/>
  <c r="N148" i="74"/>
  <c r="N28" i="74"/>
  <c r="N344" i="74"/>
  <c r="J153" i="74"/>
  <c r="J109" i="74"/>
  <c r="J123" i="74"/>
  <c r="F109" i="74"/>
  <c r="F123" i="74"/>
  <c r="N29" i="74"/>
  <c r="N27" i="74"/>
  <c r="N22" i="74"/>
  <c r="M24" i="74"/>
  <c r="N19" i="74"/>
  <c r="D250" i="74"/>
  <c r="D259" i="74"/>
  <c r="H250" i="74"/>
  <c r="H259" i="74"/>
  <c r="L250" i="74"/>
  <c r="L259" i="74"/>
  <c r="E250" i="74"/>
  <c r="E259" i="74"/>
  <c r="I250" i="74"/>
  <c r="I259" i="74"/>
  <c r="M250" i="74"/>
  <c r="M259" i="74"/>
  <c r="N158" i="74"/>
  <c r="N159" i="74"/>
  <c r="L314" i="76"/>
  <c r="M310" i="76"/>
  <c r="M313" i="76"/>
  <c r="M234" i="76"/>
  <c r="M237" i="76"/>
  <c r="L238" i="76"/>
  <c r="L166" i="75"/>
  <c r="M162" i="75"/>
  <c r="M165" i="75"/>
  <c r="I225" i="75"/>
  <c r="J221" i="75"/>
  <c r="J224" i="75"/>
  <c r="M272" i="74"/>
  <c r="M279" i="74"/>
  <c r="M280" i="74"/>
  <c r="J129" i="74"/>
  <c r="J277" i="74"/>
  <c r="L272" i="74"/>
  <c r="L279" i="74"/>
  <c r="L280" i="74"/>
  <c r="F129" i="74"/>
  <c r="F277" i="74"/>
  <c r="D129" i="74"/>
  <c r="D277" i="74"/>
  <c r="C272" i="74"/>
  <c r="C279" i="74"/>
  <c r="F272" i="74"/>
  <c r="F279" i="74"/>
  <c r="H272" i="74"/>
  <c r="H279" i="74"/>
  <c r="H129" i="74"/>
  <c r="H277" i="74"/>
  <c r="C129" i="74"/>
  <c r="C277" i="74"/>
  <c r="E272" i="74"/>
  <c r="E279" i="74"/>
  <c r="G272" i="74"/>
  <c r="G279" i="74"/>
  <c r="E129" i="74"/>
  <c r="E277" i="74"/>
  <c r="J272" i="74"/>
  <c r="J279" i="74"/>
  <c r="I272" i="74"/>
  <c r="I279" i="74"/>
  <c r="I280" i="74"/>
  <c r="D272" i="74"/>
  <c r="D279" i="74"/>
  <c r="K272" i="74"/>
  <c r="K279" i="74"/>
  <c r="G129" i="74"/>
  <c r="G277" i="74"/>
  <c r="K129" i="74"/>
  <c r="K277" i="74"/>
  <c r="N211" i="74"/>
  <c r="I221" i="74"/>
  <c r="I224" i="74"/>
  <c r="H225" i="74"/>
  <c r="B123" i="74"/>
  <c r="N109" i="74"/>
  <c r="B259" i="74"/>
  <c r="B272" i="74"/>
  <c r="N250" i="74"/>
  <c r="L328" i="74"/>
  <c r="M324" i="74"/>
  <c r="M327" i="74"/>
  <c r="N23" i="74"/>
  <c r="N24" i="74"/>
  <c r="N212" i="74"/>
  <c r="N153" i="74"/>
  <c r="N315" i="74"/>
  <c r="L162" i="74"/>
  <c r="L165" i="74"/>
  <c r="K166" i="74"/>
  <c r="N152" i="74"/>
  <c r="N314" i="74"/>
  <c r="N310" i="76"/>
  <c r="M314" i="76"/>
  <c r="M315" i="76"/>
  <c r="M238" i="76"/>
  <c r="M239" i="76"/>
  <c r="N234" i="76"/>
  <c r="N162" i="75"/>
  <c r="M166" i="75"/>
  <c r="M167" i="75"/>
  <c r="K221" i="75"/>
  <c r="K224" i="75"/>
  <c r="J225" i="75"/>
  <c r="J226" i="75"/>
  <c r="C280" i="74"/>
  <c r="E280" i="74"/>
  <c r="D280" i="74"/>
  <c r="H280" i="74"/>
  <c r="F280" i="74"/>
  <c r="G280" i="74"/>
  <c r="J280" i="74"/>
  <c r="K280" i="74"/>
  <c r="N324" i="74"/>
  <c r="M328" i="74"/>
  <c r="M329" i="74"/>
  <c r="L166" i="74"/>
  <c r="M162" i="74"/>
  <c r="M165" i="74"/>
  <c r="N259" i="74"/>
  <c r="N272" i="74"/>
  <c r="B129" i="74"/>
  <c r="B277" i="74"/>
  <c r="N123" i="74"/>
  <c r="I225" i="74"/>
  <c r="J221" i="74"/>
  <c r="J224" i="74"/>
  <c r="K225" i="75"/>
  <c r="L221" i="75"/>
  <c r="L224" i="75"/>
  <c r="N129" i="74"/>
  <c r="N277" i="74"/>
  <c r="N279" i="74"/>
  <c r="B279" i="74"/>
  <c r="B280" i="74"/>
  <c r="K221" i="74"/>
  <c r="K224" i="74"/>
  <c r="J225" i="74"/>
  <c r="J226" i="74"/>
  <c r="N162" i="74"/>
  <c r="M166" i="74"/>
  <c r="M167" i="74"/>
  <c r="M221" i="75"/>
  <c r="M224" i="75"/>
  <c r="L225" i="75"/>
  <c r="N280" i="74"/>
  <c r="K225" i="74"/>
  <c r="L221" i="74"/>
  <c r="L224" i="74"/>
  <c r="M225" i="75"/>
  <c r="M226" i="75"/>
  <c r="N221" i="75"/>
  <c r="M221" i="74"/>
  <c r="M224" i="74"/>
  <c r="L225" i="74"/>
  <c r="M225" i="74"/>
  <c r="M226" i="74"/>
  <c r="N221" i="74"/>
  <c r="M225" i="53"/>
  <c r="M226" i="53"/>
  <c r="F90" i="53"/>
  <c r="N61" i="53"/>
  <c r="N89" i="53"/>
  <c r="N90" i="53"/>
  <c r="C100" i="53"/>
  <c r="C101" i="53"/>
  <c r="C113" i="53"/>
  <c r="C115" i="53"/>
  <c r="C120" i="53"/>
  <c r="D100" i="53"/>
  <c r="D101" i="53"/>
  <c r="D113" i="53"/>
  <c r="D115" i="53"/>
  <c r="D120" i="53"/>
  <c r="E100" i="53"/>
  <c r="E101" i="53"/>
  <c r="E113" i="53"/>
  <c r="E115" i="53"/>
  <c r="E120" i="53"/>
  <c r="F100" i="53"/>
  <c r="F101" i="53"/>
  <c r="F113" i="53"/>
  <c r="F115" i="53"/>
  <c r="F120" i="53"/>
  <c r="G100" i="53"/>
  <c r="G101" i="53"/>
  <c r="G113" i="53"/>
  <c r="G115" i="53"/>
  <c r="G120" i="53"/>
  <c r="H100" i="53"/>
  <c r="H101" i="53"/>
  <c r="H113" i="53"/>
  <c r="H115" i="53"/>
  <c r="H120" i="53"/>
  <c r="I100" i="53"/>
  <c r="I101" i="53"/>
  <c r="I113" i="53"/>
  <c r="I115" i="53"/>
  <c r="I120" i="53"/>
  <c r="J100" i="53"/>
  <c r="J101" i="53"/>
  <c r="J113" i="53"/>
  <c r="J115" i="53"/>
  <c r="J120" i="53"/>
  <c r="K100" i="53"/>
  <c r="K101" i="53"/>
  <c r="K113" i="53"/>
  <c r="K115" i="53"/>
  <c r="K120" i="53"/>
  <c r="L100" i="53"/>
  <c r="L101" i="53"/>
  <c r="L113" i="53"/>
  <c r="L115" i="53"/>
  <c r="L120" i="53"/>
  <c r="M100" i="53"/>
  <c r="M101" i="53"/>
  <c r="M113" i="53"/>
  <c r="M115" i="53"/>
  <c r="M120" i="53"/>
  <c r="B100" i="53"/>
  <c r="B101" i="53"/>
  <c r="B113" i="53"/>
  <c r="B115" i="53"/>
  <c r="N115" i="53"/>
  <c r="N116" i="53"/>
  <c r="N117" i="53"/>
  <c r="N118" i="53"/>
  <c r="N119" i="53"/>
  <c r="N120" i="53"/>
  <c r="B120" i="53"/>
  <c r="C166" i="53"/>
  <c r="C172" i="53"/>
  <c r="C174" i="53"/>
  <c r="C177" i="53"/>
  <c r="D166" i="53"/>
  <c r="D172" i="53"/>
  <c r="D174" i="53"/>
  <c r="D177" i="53"/>
  <c r="E166" i="53"/>
  <c r="E172" i="53"/>
  <c r="E174" i="53"/>
  <c r="E177" i="53"/>
  <c r="F166" i="53"/>
  <c r="F172" i="53"/>
  <c r="F174" i="53"/>
  <c r="F177" i="53"/>
  <c r="G166" i="53"/>
  <c r="G172" i="53"/>
  <c r="G174" i="53"/>
  <c r="G177" i="53"/>
  <c r="H166" i="53"/>
  <c r="H172" i="53"/>
  <c r="H174" i="53"/>
  <c r="H177" i="53"/>
  <c r="I166" i="53"/>
  <c r="I172" i="53"/>
  <c r="I174" i="53"/>
  <c r="I177" i="53"/>
  <c r="J166" i="53"/>
  <c r="J172" i="53"/>
  <c r="J174" i="53"/>
  <c r="J177" i="53"/>
  <c r="K166" i="53"/>
  <c r="K172" i="53"/>
  <c r="K174" i="53"/>
  <c r="K177" i="53"/>
  <c r="L166" i="53"/>
  <c r="L172" i="53"/>
  <c r="L174" i="53"/>
  <c r="L177" i="53"/>
  <c r="M166" i="53"/>
  <c r="M172" i="53"/>
  <c r="M174" i="53"/>
  <c r="M177" i="53"/>
  <c r="B166" i="53"/>
  <c r="B172" i="53"/>
  <c r="B174" i="53"/>
  <c r="B177" i="53"/>
  <c r="N324" i="53"/>
  <c r="N323" i="53"/>
  <c r="N322" i="53"/>
  <c r="N320" i="53"/>
  <c r="M319" i="53"/>
  <c r="L319" i="53"/>
  <c r="K319" i="53"/>
  <c r="J319" i="53"/>
  <c r="I319" i="53"/>
  <c r="H319" i="53"/>
  <c r="G319" i="53"/>
  <c r="F319" i="53"/>
  <c r="E319" i="53"/>
  <c r="D319" i="53"/>
  <c r="C319" i="53"/>
  <c r="B319" i="53"/>
  <c r="N319" i="53"/>
  <c r="N318" i="53"/>
  <c r="N317" i="53"/>
  <c r="N316" i="53"/>
  <c r="N315" i="53"/>
  <c r="N313" i="53"/>
  <c r="D308" i="53"/>
  <c r="D297" i="53"/>
  <c r="D298" i="53"/>
  <c r="D299" i="53"/>
  <c r="H297" i="53"/>
  <c r="H298" i="53"/>
  <c r="F297" i="53"/>
  <c r="F298" i="53"/>
  <c r="B297" i="53"/>
  <c r="B298" i="53"/>
  <c r="N297" i="53"/>
  <c r="I297" i="53"/>
  <c r="I298" i="53"/>
  <c r="G297" i="53"/>
  <c r="G298" i="53"/>
  <c r="E297" i="53"/>
  <c r="E298" i="53"/>
  <c r="G299" i="53"/>
  <c r="C297" i="53"/>
  <c r="C298" i="53"/>
  <c r="N296" i="53"/>
  <c r="N295" i="53"/>
  <c r="J294" i="53"/>
  <c r="J297" i="53"/>
  <c r="K294" i="53"/>
  <c r="K297" i="53"/>
  <c r="K277" i="53"/>
  <c r="K291" i="53"/>
  <c r="G277" i="53"/>
  <c r="G291" i="53"/>
  <c r="C277" i="53"/>
  <c r="C291" i="53"/>
  <c r="L277" i="53"/>
  <c r="L290" i="53"/>
  <c r="J277" i="53"/>
  <c r="J290" i="53"/>
  <c r="H277" i="53"/>
  <c r="H290" i="53"/>
  <c r="F277" i="53"/>
  <c r="F290" i="53"/>
  <c r="D277" i="53"/>
  <c r="D290" i="53"/>
  <c r="B277" i="53"/>
  <c r="B290" i="53"/>
  <c r="M277" i="53"/>
  <c r="M289" i="53"/>
  <c r="I277" i="53"/>
  <c r="I289" i="53"/>
  <c r="E277" i="53"/>
  <c r="E289" i="53"/>
  <c r="L288" i="53"/>
  <c r="J288" i="53"/>
  <c r="H288" i="53"/>
  <c r="F288" i="53"/>
  <c r="D288" i="53"/>
  <c r="B288" i="53"/>
  <c r="N286" i="53"/>
  <c r="L283" i="53"/>
  <c r="J283" i="53"/>
  <c r="H283" i="53"/>
  <c r="F283" i="53"/>
  <c r="D283" i="53"/>
  <c r="B283" i="53"/>
  <c r="M282" i="53"/>
  <c r="M284" i="53"/>
  <c r="I282" i="53"/>
  <c r="I284" i="53"/>
  <c r="E282" i="53"/>
  <c r="E284" i="53"/>
  <c r="L280" i="53"/>
  <c r="J280" i="53"/>
  <c r="H280" i="53"/>
  <c r="F280" i="53"/>
  <c r="D280" i="53"/>
  <c r="B280" i="53"/>
  <c r="L291" i="53"/>
  <c r="J291" i="53"/>
  <c r="H291" i="53"/>
  <c r="F291" i="53"/>
  <c r="D291" i="53"/>
  <c r="B291" i="53"/>
  <c r="N276" i="53"/>
  <c r="N275" i="53"/>
  <c r="N274" i="53"/>
  <c r="N273" i="53"/>
  <c r="N272" i="53"/>
  <c r="N271" i="53"/>
  <c r="N270" i="53"/>
  <c r="N269" i="53"/>
  <c r="N268" i="53"/>
  <c r="N267" i="53"/>
  <c r="N266" i="53"/>
  <c r="N259" i="53"/>
  <c r="N258" i="53"/>
  <c r="N257" i="53"/>
  <c r="N256" i="53"/>
  <c r="N255" i="53"/>
  <c r="N254" i="53"/>
  <c r="N253" i="53"/>
  <c r="N252" i="53"/>
  <c r="N251" i="53"/>
  <c r="N250" i="53"/>
  <c r="N249" i="53"/>
  <c r="N247" i="53"/>
  <c r="M246" i="53"/>
  <c r="L246" i="53"/>
  <c r="K246" i="53"/>
  <c r="J246" i="53"/>
  <c r="I246" i="53"/>
  <c r="H246" i="53"/>
  <c r="G246" i="53"/>
  <c r="F246" i="53"/>
  <c r="E246" i="53"/>
  <c r="D246" i="53"/>
  <c r="C246" i="53"/>
  <c r="B246" i="53"/>
  <c r="N245" i="53"/>
  <c r="N244" i="53"/>
  <c r="N243" i="53"/>
  <c r="N242" i="53"/>
  <c r="N241" i="53"/>
  <c r="D230" i="53"/>
  <c r="D231" i="53"/>
  <c r="D214" i="53"/>
  <c r="D215" i="53"/>
  <c r="D216" i="53"/>
  <c r="B214" i="53"/>
  <c r="B215" i="53"/>
  <c r="N214" i="53"/>
  <c r="E214" i="53"/>
  <c r="F211" i="53"/>
  <c r="F214" i="53"/>
  <c r="G211" i="53"/>
  <c r="G214" i="53"/>
  <c r="G215" i="53"/>
  <c r="E215" i="53"/>
  <c r="C214" i="53"/>
  <c r="C215" i="53"/>
  <c r="N213" i="53"/>
  <c r="N212" i="53"/>
  <c r="H211" i="53"/>
  <c r="H214" i="53"/>
  <c r="I211" i="53"/>
  <c r="I214" i="53"/>
  <c r="L194" i="53"/>
  <c r="L207" i="53"/>
  <c r="J194" i="53"/>
  <c r="J207" i="53"/>
  <c r="H194" i="53"/>
  <c r="H207" i="53"/>
  <c r="F194" i="53"/>
  <c r="F207" i="53"/>
  <c r="D194" i="53"/>
  <c r="D207" i="53"/>
  <c r="B194" i="53"/>
  <c r="B207" i="53"/>
  <c r="L205" i="53"/>
  <c r="J205" i="53"/>
  <c r="H205" i="53"/>
  <c r="F205" i="53"/>
  <c r="D205" i="53"/>
  <c r="B205" i="53"/>
  <c r="N203" i="53"/>
  <c r="L200" i="53"/>
  <c r="J200" i="53"/>
  <c r="H200" i="53"/>
  <c r="F200" i="53"/>
  <c r="D200" i="53"/>
  <c r="B200" i="53"/>
  <c r="L197" i="53"/>
  <c r="J197" i="53"/>
  <c r="H197" i="53"/>
  <c r="F197" i="53"/>
  <c r="D197" i="53"/>
  <c r="B197" i="53"/>
  <c r="M194" i="53"/>
  <c r="L208" i="53"/>
  <c r="K194" i="53"/>
  <c r="J208" i="53"/>
  <c r="I194" i="53"/>
  <c r="H208" i="53"/>
  <c r="G194" i="53"/>
  <c r="F208" i="53"/>
  <c r="E194" i="53"/>
  <c r="D208" i="53"/>
  <c r="C194" i="53"/>
  <c r="B208" i="53"/>
  <c r="N193" i="53"/>
  <c r="N192" i="53"/>
  <c r="N191" i="53"/>
  <c r="N190" i="53"/>
  <c r="N189" i="53"/>
  <c r="N188" i="53"/>
  <c r="N187" i="53"/>
  <c r="N186" i="53"/>
  <c r="N185" i="53"/>
  <c r="N184" i="53"/>
  <c r="N183" i="53"/>
  <c r="N176" i="53"/>
  <c r="N175" i="53"/>
  <c r="N173" i="53"/>
  <c r="N172" i="53"/>
  <c r="N171" i="53"/>
  <c r="N170" i="53"/>
  <c r="N169" i="53"/>
  <c r="N168" i="53"/>
  <c r="N167" i="53"/>
  <c r="N165" i="53"/>
  <c r="N164" i="53"/>
  <c r="N163" i="53"/>
  <c r="N162" i="53"/>
  <c r="H156" i="53"/>
  <c r="H157" i="53"/>
  <c r="F156" i="53"/>
  <c r="F157" i="53"/>
  <c r="D156" i="53"/>
  <c r="D157" i="53"/>
  <c r="D158" i="53"/>
  <c r="B156" i="53"/>
  <c r="B157" i="53"/>
  <c r="N156" i="53"/>
  <c r="I153" i="53"/>
  <c r="I156" i="53"/>
  <c r="J153" i="53"/>
  <c r="J156" i="53"/>
  <c r="K153" i="53"/>
  <c r="K156" i="53"/>
  <c r="K157" i="53"/>
  <c r="I157" i="53"/>
  <c r="G156" i="53"/>
  <c r="G157" i="53"/>
  <c r="E156" i="53"/>
  <c r="E157" i="53"/>
  <c r="G158" i="53"/>
  <c r="C156" i="53"/>
  <c r="C157" i="53"/>
  <c r="N155" i="53"/>
  <c r="N154" i="53"/>
  <c r="L153" i="53"/>
  <c r="L156" i="53"/>
  <c r="M153" i="53"/>
  <c r="M156" i="53"/>
  <c r="M136" i="53"/>
  <c r="M149" i="53"/>
  <c r="I136" i="53"/>
  <c r="I149" i="53"/>
  <c r="E136" i="53"/>
  <c r="E149" i="53"/>
  <c r="K136" i="53"/>
  <c r="K147" i="53"/>
  <c r="G136" i="53"/>
  <c r="G147" i="53"/>
  <c r="C136" i="53"/>
  <c r="C147" i="53"/>
  <c r="N145" i="53"/>
  <c r="M142" i="53"/>
  <c r="K142" i="53"/>
  <c r="I142" i="53"/>
  <c r="G142" i="53"/>
  <c r="E142" i="53"/>
  <c r="C142" i="53"/>
  <c r="M139" i="53"/>
  <c r="K139" i="53"/>
  <c r="I139" i="53"/>
  <c r="G139" i="53"/>
  <c r="E139" i="53"/>
  <c r="C139" i="53"/>
  <c r="L136" i="53"/>
  <c r="J136" i="53"/>
  <c r="H136" i="53"/>
  <c r="F136" i="53"/>
  <c r="D136" i="53"/>
  <c r="B136" i="53"/>
  <c r="N135" i="53"/>
  <c r="N134" i="53"/>
  <c r="N133" i="53"/>
  <c r="N132" i="53"/>
  <c r="N131" i="53"/>
  <c r="N130" i="53"/>
  <c r="N129" i="53"/>
  <c r="N128" i="53"/>
  <c r="N127" i="53"/>
  <c r="N126" i="53"/>
  <c r="N125" i="53"/>
  <c r="N114" i="53"/>
  <c r="N113" i="53"/>
  <c r="N112" i="53"/>
  <c r="N111" i="53"/>
  <c r="N110" i="53"/>
  <c r="N109" i="53"/>
  <c r="N108" i="53"/>
  <c r="N107" i="53"/>
  <c r="N106" i="53"/>
  <c r="N105" i="53"/>
  <c r="N104" i="53"/>
  <c r="N103" i="53"/>
  <c r="N102" i="53"/>
  <c r="N99" i="53"/>
  <c r="D62" i="53"/>
  <c r="D63" i="53"/>
  <c r="N55" i="53"/>
  <c r="N54" i="53"/>
  <c r="N53" i="53"/>
  <c r="N52" i="53"/>
  <c r="N51" i="53"/>
  <c r="N50" i="53"/>
  <c r="N56" i="53"/>
  <c r="N46" i="53"/>
  <c r="N45" i="53"/>
  <c r="N44" i="53"/>
  <c r="N43" i="53"/>
  <c r="N42" i="53"/>
  <c r="N47" i="53"/>
  <c r="M37" i="53"/>
  <c r="L37" i="53"/>
  <c r="K37" i="53"/>
  <c r="M38" i="53"/>
  <c r="J37" i="53"/>
  <c r="I37" i="53"/>
  <c r="H37" i="53"/>
  <c r="J38" i="53"/>
  <c r="G37" i="53"/>
  <c r="F37" i="53"/>
  <c r="E37" i="53"/>
  <c r="G38" i="53"/>
  <c r="D37" i="53"/>
  <c r="D38" i="53"/>
  <c r="C37" i="53"/>
  <c r="B37" i="53"/>
  <c r="L16" i="53"/>
  <c r="L29" i="53"/>
  <c r="J16" i="53"/>
  <c r="J29" i="53"/>
  <c r="H16" i="53"/>
  <c r="H29" i="53"/>
  <c r="F16" i="53"/>
  <c r="F29" i="53"/>
  <c r="D16" i="53"/>
  <c r="D29" i="53"/>
  <c r="B16" i="53"/>
  <c r="B29" i="53"/>
  <c r="L27" i="53"/>
  <c r="J27" i="53"/>
  <c r="H27" i="53"/>
  <c r="F27" i="53"/>
  <c r="D27" i="53"/>
  <c r="B27" i="53"/>
  <c r="N25" i="53"/>
  <c r="L22" i="53"/>
  <c r="J22" i="53"/>
  <c r="H22" i="53"/>
  <c r="F22" i="53"/>
  <c r="D22" i="53"/>
  <c r="B22" i="53"/>
  <c r="L19" i="53"/>
  <c r="J19" i="53"/>
  <c r="H19" i="53"/>
  <c r="F19" i="53"/>
  <c r="D19" i="53"/>
  <c r="B19" i="53"/>
  <c r="M16" i="53"/>
  <c r="M29" i="53"/>
  <c r="L30" i="53"/>
  <c r="K16" i="53"/>
  <c r="K29" i="53"/>
  <c r="J30" i="53"/>
  <c r="I16" i="53"/>
  <c r="I29" i="53"/>
  <c r="H30" i="53"/>
  <c r="G16" i="53"/>
  <c r="G29" i="53"/>
  <c r="F30" i="53"/>
  <c r="E16" i="53"/>
  <c r="E29" i="53"/>
  <c r="D30" i="53"/>
  <c r="C16" i="53"/>
  <c r="C29" i="53"/>
  <c r="B30" i="53"/>
  <c r="N15" i="53"/>
  <c r="N14" i="53"/>
  <c r="N13" i="53"/>
  <c r="N12" i="53"/>
  <c r="N11" i="53"/>
  <c r="N10" i="53"/>
  <c r="N9" i="53"/>
  <c r="N8" i="53"/>
  <c r="N7" i="53"/>
  <c r="N6" i="53"/>
  <c r="N5" i="53"/>
  <c r="N4" i="53"/>
  <c r="M157" i="53"/>
  <c r="N153" i="53"/>
  <c r="K298" i="53"/>
  <c r="L294" i="53"/>
  <c r="L297" i="53"/>
  <c r="N174" i="53"/>
  <c r="N177" i="53"/>
  <c r="I215" i="53"/>
  <c r="J211" i="53"/>
  <c r="J214" i="53"/>
  <c r="N29" i="53"/>
  <c r="J157" i="53"/>
  <c r="J158" i="53"/>
  <c r="B149" i="53"/>
  <c r="B147" i="53"/>
  <c r="D149" i="53"/>
  <c r="D147" i="53"/>
  <c r="F149" i="53"/>
  <c r="F147" i="53"/>
  <c r="H149" i="53"/>
  <c r="H147" i="53"/>
  <c r="J149" i="53"/>
  <c r="J147" i="53"/>
  <c r="L149" i="53"/>
  <c r="L147" i="53"/>
  <c r="C207" i="53"/>
  <c r="E207" i="53"/>
  <c r="G207" i="53"/>
  <c r="I207" i="53"/>
  <c r="K207" i="53"/>
  <c r="M207" i="53"/>
  <c r="N207" i="53"/>
  <c r="C205" i="53"/>
  <c r="E205" i="53"/>
  <c r="G205" i="53"/>
  <c r="I205" i="53"/>
  <c r="K205" i="53"/>
  <c r="M205" i="53"/>
  <c r="N205" i="53"/>
  <c r="C200" i="53"/>
  <c r="E200" i="53"/>
  <c r="G200" i="53"/>
  <c r="I200" i="53"/>
  <c r="K200" i="53"/>
  <c r="M200" i="53"/>
  <c r="N200" i="53"/>
  <c r="C197" i="53"/>
  <c r="E197" i="53"/>
  <c r="G197" i="53"/>
  <c r="I197" i="53"/>
  <c r="K197" i="53"/>
  <c r="M197" i="53"/>
  <c r="N197" i="53"/>
  <c r="M239" i="53"/>
  <c r="K239" i="53"/>
  <c r="I239" i="53"/>
  <c r="G239" i="53"/>
  <c r="E239" i="53"/>
  <c r="C239" i="53"/>
  <c r="L238" i="53"/>
  <c r="J238" i="53"/>
  <c r="H238" i="53"/>
  <c r="F238" i="53"/>
  <c r="D238" i="53"/>
  <c r="B238" i="53"/>
  <c r="L312" i="53"/>
  <c r="L314" i="53"/>
  <c r="L321" i="53"/>
  <c r="L325" i="53"/>
  <c r="J312" i="53"/>
  <c r="J314" i="53"/>
  <c r="J321" i="53"/>
  <c r="J325" i="53"/>
  <c r="H312" i="53"/>
  <c r="H314" i="53"/>
  <c r="H321" i="53"/>
  <c r="H325" i="53"/>
  <c r="F312" i="53"/>
  <c r="F314" i="53"/>
  <c r="F321" i="53"/>
  <c r="F325" i="53"/>
  <c r="D312" i="53"/>
  <c r="D314" i="53"/>
  <c r="D321" i="53"/>
  <c r="D325" i="53"/>
  <c r="B312" i="53"/>
  <c r="C150" i="53"/>
  <c r="C148" i="53"/>
  <c r="E150" i="53"/>
  <c r="E148" i="53"/>
  <c r="G150" i="53"/>
  <c r="G148" i="53"/>
  <c r="I150" i="53"/>
  <c r="I148" i="53"/>
  <c r="K150" i="53"/>
  <c r="K148" i="53"/>
  <c r="M150" i="53"/>
  <c r="M148" i="53"/>
  <c r="C290" i="53"/>
  <c r="E290" i="53"/>
  <c r="G290" i="53"/>
  <c r="I290" i="53"/>
  <c r="K290" i="53"/>
  <c r="M290" i="53"/>
  <c r="N290" i="53"/>
  <c r="C288" i="53"/>
  <c r="E288" i="53"/>
  <c r="G288" i="53"/>
  <c r="I288" i="53"/>
  <c r="K288" i="53"/>
  <c r="M288" i="53"/>
  <c r="N288" i="53"/>
  <c r="C283" i="53"/>
  <c r="E283" i="53"/>
  <c r="G283" i="53"/>
  <c r="I283" i="53"/>
  <c r="K283" i="53"/>
  <c r="M283" i="53"/>
  <c r="N283" i="53"/>
  <c r="C280" i="53"/>
  <c r="E280" i="53"/>
  <c r="G280" i="53"/>
  <c r="I280" i="53"/>
  <c r="K280" i="53"/>
  <c r="M280" i="53"/>
  <c r="N280" i="53"/>
  <c r="C21" i="53"/>
  <c r="C23" i="53"/>
  <c r="E21" i="53"/>
  <c r="E23" i="53"/>
  <c r="G21" i="53"/>
  <c r="G23" i="53"/>
  <c r="I21" i="53"/>
  <c r="I23" i="53"/>
  <c r="K21" i="53"/>
  <c r="K23" i="53"/>
  <c r="M21" i="53"/>
  <c r="M23" i="53"/>
  <c r="C28" i="53"/>
  <c r="E28" i="53"/>
  <c r="G28" i="53"/>
  <c r="I28" i="53"/>
  <c r="K28" i="53"/>
  <c r="M28" i="53"/>
  <c r="C30" i="53"/>
  <c r="E30" i="53"/>
  <c r="G30" i="53"/>
  <c r="I30" i="53"/>
  <c r="K30" i="53"/>
  <c r="M30" i="53"/>
  <c r="N30" i="53"/>
  <c r="N136" i="53"/>
  <c r="B141" i="53"/>
  <c r="D141" i="53"/>
  <c r="D143" i="53"/>
  <c r="F141" i="53"/>
  <c r="F143" i="53"/>
  <c r="H141" i="53"/>
  <c r="H143" i="53"/>
  <c r="J141" i="53"/>
  <c r="J143" i="53"/>
  <c r="L141" i="53"/>
  <c r="L143" i="53"/>
  <c r="B148" i="53"/>
  <c r="F148" i="53"/>
  <c r="J148" i="53"/>
  <c r="D150" i="53"/>
  <c r="H150" i="53"/>
  <c r="L150" i="53"/>
  <c r="L157" i="53"/>
  <c r="M158" i="53"/>
  <c r="C199" i="53"/>
  <c r="C201" i="53"/>
  <c r="G199" i="53"/>
  <c r="G201" i="53"/>
  <c r="K199" i="53"/>
  <c r="K201" i="53"/>
  <c r="C206" i="53"/>
  <c r="G206" i="53"/>
  <c r="K206" i="53"/>
  <c r="E208" i="53"/>
  <c r="I208" i="53"/>
  <c r="M208" i="53"/>
  <c r="H215" i="53"/>
  <c r="E238" i="53"/>
  <c r="I238" i="53"/>
  <c r="M238" i="53"/>
  <c r="D239" i="53"/>
  <c r="H239" i="53"/>
  <c r="L239" i="53"/>
  <c r="J298" i="53"/>
  <c r="J299" i="53"/>
  <c r="E312" i="53"/>
  <c r="E314" i="53"/>
  <c r="E321" i="53"/>
  <c r="E325" i="53"/>
  <c r="I312" i="53"/>
  <c r="I314" i="53"/>
  <c r="I321" i="53"/>
  <c r="I325" i="53"/>
  <c r="M312" i="53"/>
  <c r="M314" i="53"/>
  <c r="M321" i="53"/>
  <c r="M325" i="53"/>
  <c r="N16" i="53"/>
  <c r="C19" i="53"/>
  <c r="E19" i="53"/>
  <c r="G19" i="53"/>
  <c r="I19" i="53"/>
  <c r="K19" i="53"/>
  <c r="M19" i="53"/>
  <c r="N19" i="53"/>
  <c r="B21" i="53"/>
  <c r="D21" i="53"/>
  <c r="D23" i="53"/>
  <c r="F21" i="53"/>
  <c r="F23" i="53"/>
  <c r="H21" i="53"/>
  <c r="H23" i="53"/>
  <c r="J21" i="53"/>
  <c r="J23" i="53"/>
  <c r="J24" i="53"/>
  <c r="L21" i="53"/>
  <c r="L23" i="53"/>
  <c r="C22" i="53"/>
  <c r="E22" i="53"/>
  <c r="G22" i="53"/>
  <c r="I22" i="53"/>
  <c r="K22" i="53"/>
  <c r="M22" i="53"/>
  <c r="N22" i="53"/>
  <c r="C27" i="53"/>
  <c r="E27" i="53"/>
  <c r="G27" i="53"/>
  <c r="I27" i="53"/>
  <c r="K27" i="53"/>
  <c r="M27" i="53"/>
  <c r="N27" i="53"/>
  <c r="B28" i="53"/>
  <c r="D28" i="53"/>
  <c r="F28" i="53"/>
  <c r="H28" i="53"/>
  <c r="J28" i="53"/>
  <c r="L28" i="53"/>
  <c r="B139" i="53"/>
  <c r="D139" i="53"/>
  <c r="F139" i="53"/>
  <c r="H139" i="53"/>
  <c r="J139" i="53"/>
  <c r="L139" i="53"/>
  <c r="C141" i="53"/>
  <c r="C143" i="53"/>
  <c r="E141" i="53"/>
  <c r="E143" i="53"/>
  <c r="G141" i="53"/>
  <c r="G143" i="53"/>
  <c r="G144" i="53"/>
  <c r="I141" i="53"/>
  <c r="I143" i="53"/>
  <c r="K141" i="53"/>
  <c r="K143" i="53"/>
  <c r="M141" i="53"/>
  <c r="M143" i="53"/>
  <c r="B142" i="53"/>
  <c r="D142" i="53"/>
  <c r="F142" i="53"/>
  <c r="H142" i="53"/>
  <c r="J142" i="53"/>
  <c r="L142" i="53"/>
  <c r="E147" i="53"/>
  <c r="I147" i="53"/>
  <c r="M147" i="53"/>
  <c r="D148" i="53"/>
  <c r="H148" i="53"/>
  <c r="L148" i="53"/>
  <c r="C149" i="53"/>
  <c r="G149" i="53"/>
  <c r="K149" i="53"/>
  <c r="B150" i="53"/>
  <c r="F150" i="53"/>
  <c r="J150" i="53"/>
  <c r="N166" i="53"/>
  <c r="E199" i="53"/>
  <c r="E201" i="53"/>
  <c r="F199" i="53"/>
  <c r="F201" i="53"/>
  <c r="G202" i="53"/>
  <c r="I199" i="53"/>
  <c r="I201" i="53"/>
  <c r="M199" i="53"/>
  <c r="M201" i="53"/>
  <c r="E206" i="53"/>
  <c r="I206" i="53"/>
  <c r="M206" i="53"/>
  <c r="C208" i="53"/>
  <c r="G208" i="53"/>
  <c r="K208" i="53"/>
  <c r="N208" i="53"/>
  <c r="F215" i="53"/>
  <c r="G216" i="53"/>
  <c r="C238" i="53"/>
  <c r="G238" i="53"/>
  <c r="K238" i="53"/>
  <c r="K240" i="53"/>
  <c r="K248" i="53"/>
  <c r="K260" i="53"/>
  <c r="B239" i="53"/>
  <c r="F239" i="53"/>
  <c r="J239" i="53"/>
  <c r="N246" i="53"/>
  <c r="C282" i="53"/>
  <c r="C284" i="53"/>
  <c r="G282" i="53"/>
  <c r="G284" i="53"/>
  <c r="K282" i="53"/>
  <c r="K284" i="53"/>
  <c r="L282" i="53"/>
  <c r="L284" i="53"/>
  <c r="M285" i="53"/>
  <c r="C289" i="53"/>
  <c r="G289" i="53"/>
  <c r="K289" i="53"/>
  <c r="E291" i="53"/>
  <c r="I291" i="53"/>
  <c r="M291" i="53"/>
  <c r="N291" i="53"/>
  <c r="C312" i="53"/>
  <c r="C314" i="53"/>
  <c r="C321" i="53"/>
  <c r="C325" i="53"/>
  <c r="G312" i="53"/>
  <c r="G314" i="53"/>
  <c r="G321" i="53"/>
  <c r="G325" i="53"/>
  <c r="K312" i="53"/>
  <c r="K314" i="53"/>
  <c r="K321" i="53"/>
  <c r="K325" i="53"/>
  <c r="N194" i="53"/>
  <c r="B199" i="53"/>
  <c r="D199" i="53"/>
  <c r="D201" i="53"/>
  <c r="H199" i="53"/>
  <c r="H201" i="53"/>
  <c r="J199" i="53"/>
  <c r="J201" i="53"/>
  <c r="J202" i="53"/>
  <c r="L199" i="53"/>
  <c r="L201" i="53"/>
  <c r="B206" i="53"/>
  <c r="D206" i="53"/>
  <c r="F206" i="53"/>
  <c r="H206" i="53"/>
  <c r="J206" i="53"/>
  <c r="L206" i="53"/>
  <c r="N277" i="53"/>
  <c r="B282" i="53"/>
  <c r="D282" i="53"/>
  <c r="D284" i="53"/>
  <c r="F282" i="53"/>
  <c r="F284" i="53"/>
  <c r="G285" i="53"/>
  <c r="H282" i="53"/>
  <c r="H284" i="53"/>
  <c r="J282" i="53"/>
  <c r="J284" i="53"/>
  <c r="B289" i="53"/>
  <c r="D289" i="53"/>
  <c r="F289" i="53"/>
  <c r="H289" i="53"/>
  <c r="J289" i="53"/>
  <c r="L289" i="53"/>
  <c r="C240" i="53"/>
  <c r="C248" i="53"/>
  <c r="C260" i="53"/>
  <c r="G240" i="53"/>
  <c r="G248" i="53"/>
  <c r="G260" i="53"/>
  <c r="H240" i="53"/>
  <c r="H248" i="53"/>
  <c r="H260" i="53"/>
  <c r="I240" i="53"/>
  <c r="I248" i="53"/>
  <c r="I260" i="53"/>
  <c r="B284" i="53"/>
  <c r="D285" i="53"/>
  <c r="N282" i="53"/>
  <c r="N284" i="53"/>
  <c r="B201" i="53"/>
  <c r="D202" i="53"/>
  <c r="N199" i="53"/>
  <c r="N201" i="53"/>
  <c r="B23" i="53"/>
  <c r="D24" i="53"/>
  <c r="N21" i="53"/>
  <c r="N23" i="53"/>
  <c r="B143" i="53"/>
  <c r="D144" i="53"/>
  <c r="N141" i="53"/>
  <c r="B314" i="53"/>
  <c r="N312" i="53"/>
  <c r="B240" i="53"/>
  <c r="N238" i="53"/>
  <c r="K211" i="53"/>
  <c r="K214" i="53"/>
  <c r="J215" i="53"/>
  <c r="N100" i="53"/>
  <c r="M294" i="53"/>
  <c r="M297" i="53"/>
  <c r="L298" i="53"/>
  <c r="N289" i="53"/>
  <c r="N239" i="53"/>
  <c r="N150" i="53"/>
  <c r="J216" i="53"/>
  <c r="J144" i="53"/>
  <c r="M24" i="53"/>
  <c r="D240" i="53"/>
  <c r="D248" i="53"/>
  <c r="D260" i="53"/>
  <c r="L240" i="53"/>
  <c r="L248" i="53"/>
  <c r="L260" i="53"/>
  <c r="N149" i="53"/>
  <c r="J285" i="53"/>
  <c r="N206" i="53"/>
  <c r="N142" i="53"/>
  <c r="M144" i="53"/>
  <c r="N139" i="53"/>
  <c r="N28" i="53"/>
  <c r="M240" i="53"/>
  <c r="M248" i="53"/>
  <c r="M260" i="53"/>
  <c r="E240" i="53"/>
  <c r="E248" i="53"/>
  <c r="E260" i="53"/>
  <c r="M202" i="53"/>
  <c r="N148" i="53"/>
  <c r="G24" i="53"/>
  <c r="F240" i="53"/>
  <c r="F248" i="53"/>
  <c r="F260" i="53"/>
  <c r="J240" i="53"/>
  <c r="J248" i="53"/>
  <c r="J260" i="53"/>
  <c r="N147" i="53"/>
  <c r="M298" i="53"/>
  <c r="M299" i="53"/>
  <c r="N294" i="53"/>
  <c r="N101" i="53"/>
  <c r="K215" i="53"/>
  <c r="L211" i="53"/>
  <c r="L214" i="53"/>
  <c r="B248" i="53"/>
  <c r="N240" i="53"/>
  <c r="N314" i="53"/>
  <c r="B321" i="53"/>
  <c r="N144" i="53"/>
  <c r="N24" i="53"/>
  <c r="N202" i="53"/>
  <c r="N285" i="53"/>
  <c r="N143" i="53"/>
  <c r="B260" i="53"/>
  <c r="N260" i="53"/>
  <c r="N248" i="53"/>
  <c r="B325" i="53"/>
  <c r="N321" i="53"/>
  <c r="N325" i="53"/>
  <c r="M211" i="53"/>
  <c r="M214" i="53"/>
  <c r="L215" i="53"/>
  <c r="M215" i="53"/>
  <c r="M216" i="53"/>
  <c r="N211" i="53"/>
  <c r="Q51" i="38"/>
  <c r="M43" i="38"/>
  <c r="M46" i="38"/>
  <c r="M51" i="38"/>
  <c r="L51" i="38"/>
  <c r="H51" i="38"/>
  <c r="E43" i="38"/>
  <c r="E45" i="38"/>
  <c r="E46" i="38"/>
  <c r="E51" i="38"/>
  <c r="D51" i="38"/>
  <c r="P50" i="38"/>
  <c r="R50" i="38"/>
  <c r="N50" i="38"/>
  <c r="J50" i="38"/>
  <c r="F50" i="38"/>
  <c r="P49" i="38"/>
  <c r="R49" i="38"/>
  <c r="N49" i="38"/>
  <c r="J49" i="38"/>
  <c r="F49" i="38"/>
  <c r="P48" i="38"/>
  <c r="R48" i="38"/>
  <c r="N48" i="38"/>
  <c r="J48" i="38"/>
  <c r="F48" i="38"/>
  <c r="P47" i="38"/>
  <c r="R47" i="38"/>
  <c r="N47" i="38"/>
  <c r="J47" i="38"/>
  <c r="F47" i="38"/>
  <c r="P46" i="38"/>
  <c r="R46" i="38"/>
  <c r="N46" i="38"/>
  <c r="I46" i="38"/>
  <c r="J46" i="38"/>
  <c r="F46" i="38"/>
  <c r="P45" i="38"/>
  <c r="R45" i="38"/>
  <c r="N45" i="38"/>
  <c r="I45" i="38"/>
  <c r="J45" i="38"/>
  <c r="F45" i="38"/>
  <c r="P44" i="38"/>
  <c r="R44" i="38"/>
  <c r="N44" i="38"/>
  <c r="J44" i="38"/>
  <c r="F44" i="38"/>
  <c r="P43" i="38"/>
  <c r="R43" i="38"/>
  <c r="N43" i="38"/>
  <c r="N51" i="38"/>
  <c r="I43" i="38"/>
  <c r="J43" i="38"/>
  <c r="J51" i="38"/>
  <c r="I51" i="38"/>
  <c r="F43" i="38"/>
  <c r="P42" i="38"/>
  <c r="R42" i="38"/>
  <c r="P41" i="38"/>
  <c r="R41" i="38"/>
  <c r="P40" i="38"/>
  <c r="R40" i="38"/>
  <c r="P39" i="38"/>
  <c r="R39" i="38"/>
  <c r="Q28" i="38"/>
  <c r="P28" i="38"/>
  <c r="N20" i="38"/>
  <c r="N28" i="38"/>
  <c r="M28" i="38"/>
  <c r="L28" i="38"/>
  <c r="D28" i="38"/>
  <c r="F28" i="38"/>
  <c r="N27" i="38"/>
  <c r="I27" i="38"/>
  <c r="J27" i="38"/>
  <c r="E27" i="38"/>
  <c r="F27" i="38"/>
  <c r="N26" i="38"/>
  <c r="I26" i="38"/>
  <c r="J26" i="38"/>
  <c r="E26" i="38"/>
  <c r="F26" i="38"/>
  <c r="N25" i="38"/>
  <c r="I25" i="38"/>
  <c r="J25" i="38"/>
  <c r="E25" i="38"/>
  <c r="F25" i="38"/>
  <c r="N24" i="38"/>
  <c r="I24" i="38"/>
  <c r="J24" i="38"/>
  <c r="E24" i="38"/>
  <c r="F24" i="38"/>
  <c r="N23" i="38"/>
  <c r="I23" i="38"/>
  <c r="J23" i="38"/>
  <c r="E23" i="38"/>
  <c r="F23" i="38"/>
  <c r="N22" i="38"/>
  <c r="I22" i="38"/>
  <c r="J22" i="38"/>
  <c r="E22" i="38"/>
  <c r="F22" i="38"/>
  <c r="N21" i="38"/>
  <c r="I21" i="38"/>
  <c r="I28" i="38"/>
  <c r="E21" i="38"/>
  <c r="F21" i="38"/>
  <c r="F20" i="38"/>
  <c r="F51" i="38"/>
  <c r="P51" i="38"/>
  <c r="R51" i="38"/>
  <c r="J21" i="38"/>
  <c r="N108" i="23"/>
  <c r="N107" i="23"/>
  <c r="N4" i="23"/>
  <c r="N5" i="23"/>
  <c r="N6" i="23"/>
  <c r="N7" i="23"/>
  <c r="N8" i="23"/>
  <c r="N9" i="23"/>
  <c r="N10" i="23"/>
  <c r="N11" i="23"/>
  <c r="N12" i="23"/>
  <c r="N13" i="23"/>
  <c r="N14" i="23"/>
  <c r="N15" i="23"/>
  <c r="B16" i="23"/>
  <c r="B19" i="23"/>
  <c r="C16" i="23"/>
  <c r="C21" i="23"/>
  <c r="D16" i="23"/>
  <c r="D19" i="23"/>
  <c r="E16" i="23"/>
  <c r="E21" i="23"/>
  <c r="E23" i="23"/>
  <c r="F16" i="23"/>
  <c r="F19" i="23"/>
  <c r="G16" i="23"/>
  <c r="G21" i="23"/>
  <c r="G23" i="23"/>
  <c r="H16" i="23"/>
  <c r="H19" i="23"/>
  <c r="I16" i="23"/>
  <c r="I19" i="23"/>
  <c r="J16" i="23"/>
  <c r="J19" i="23"/>
  <c r="K16" i="23"/>
  <c r="K22" i="23"/>
  <c r="L16" i="23"/>
  <c r="L19" i="23"/>
  <c r="M16" i="23"/>
  <c r="M19" i="23"/>
  <c r="F21" i="23"/>
  <c r="F23" i="23"/>
  <c r="G22" i="23"/>
  <c r="N25" i="23"/>
  <c r="G27" i="23"/>
  <c r="B28" i="23"/>
  <c r="G28" i="23"/>
  <c r="F30" i="23"/>
  <c r="B36" i="23"/>
  <c r="C33" i="23"/>
  <c r="C36" i="23"/>
  <c r="N42" i="23"/>
  <c r="N43" i="23"/>
  <c r="N44" i="23"/>
  <c r="N45" i="23"/>
  <c r="N46" i="23"/>
  <c r="N50" i="23"/>
  <c r="N51" i="23"/>
  <c r="N52" i="23"/>
  <c r="N53" i="23"/>
  <c r="N54" i="23"/>
  <c r="D61" i="23"/>
  <c r="D62" i="23"/>
  <c r="F89" i="23"/>
  <c r="N60" i="23"/>
  <c r="N88" i="23"/>
  <c r="N89" i="23"/>
  <c r="M99" i="23"/>
  <c r="M100" i="23"/>
  <c r="N98" i="23"/>
  <c r="N101" i="23"/>
  <c r="N102" i="23"/>
  <c r="N103" i="23"/>
  <c r="N106" i="23"/>
  <c r="N105" i="23"/>
  <c r="N104" i="23"/>
  <c r="B109" i="23"/>
  <c r="C109" i="23"/>
  <c r="D109" i="23"/>
  <c r="E109" i="23"/>
  <c r="F109" i="23"/>
  <c r="G109" i="23"/>
  <c r="H109" i="23"/>
  <c r="I109" i="23"/>
  <c r="J109" i="23"/>
  <c r="K109" i="23"/>
  <c r="L109" i="23"/>
  <c r="M109" i="23"/>
  <c r="N110" i="23"/>
  <c r="N112" i="23"/>
  <c r="N113" i="23"/>
  <c r="N119" i="23"/>
  <c r="N120" i="23"/>
  <c r="N121" i="23"/>
  <c r="N122" i="23"/>
  <c r="N123" i="23"/>
  <c r="N124" i="23"/>
  <c r="N125" i="23"/>
  <c r="N126" i="23"/>
  <c r="N127" i="23"/>
  <c r="N128" i="23"/>
  <c r="N129" i="23"/>
  <c r="B130" i="23"/>
  <c r="B133" i="23"/>
  <c r="C130" i="23"/>
  <c r="C133" i="23"/>
  <c r="D130" i="23"/>
  <c r="D133" i="23"/>
  <c r="E130" i="23"/>
  <c r="E135" i="23"/>
  <c r="E137" i="23"/>
  <c r="F130" i="23"/>
  <c r="F133" i="23"/>
  <c r="G130" i="23"/>
  <c r="G133" i="23"/>
  <c r="H130" i="23"/>
  <c r="H133" i="23"/>
  <c r="I130" i="23"/>
  <c r="I133" i="23"/>
  <c r="J130" i="23"/>
  <c r="J133" i="23"/>
  <c r="K130" i="23"/>
  <c r="K133" i="23"/>
  <c r="L130" i="23"/>
  <c r="L133" i="23"/>
  <c r="M130" i="23"/>
  <c r="M135" i="23"/>
  <c r="M137" i="23"/>
  <c r="N139" i="23"/>
  <c r="N148" i="23"/>
  <c r="N149" i="23"/>
  <c r="B150" i="23"/>
  <c r="C147" i="23"/>
  <c r="C150" i="23"/>
  <c r="N150" i="23"/>
  <c r="B151" i="23"/>
  <c r="N156" i="23"/>
  <c r="N157" i="23"/>
  <c r="N158" i="23"/>
  <c r="B159" i="23"/>
  <c r="C159" i="23"/>
  <c r="D159" i="23"/>
  <c r="E159" i="23"/>
  <c r="F159" i="23"/>
  <c r="G159" i="23"/>
  <c r="H159" i="23"/>
  <c r="I159" i="23"/>
  <c r="J159" i="23"/>
  <c r="K159" i="23"/>
  <c r="L159" i="23"/>
  <c r="M159" i="23"/>
  <c r="N160" i="23"/>
  <c r="N161" i="23"/>
  <c r="N162" i="23"/>
  <c r="N163" i="23"/>
  <c r="N164" i="23"/>
  <c r="B165" i="23"/>
  <c r="C165" i="23"/>
  <c r="D165" i="23"/>
  <c r="E165" i="23"/>
  <c r="F165" i="23"/>
  <c r="G165" i="23"/>
  <c r="H165" i="23"/>
  <c r="I165" i="23"/>
  <c r="J165" i="23"/>
  <c r="K165" i="23"/>
  <c r="L165" i="23"/>
  <c r="M165" i="23"/>
  <c r="N166" i="23"/>
  <c r="N168" i="23"/>
  <c r="N175" i="23"/>
  <c r="N176" i="23"/>
  <c r="N177" i="23"/>
  <c r="N178" i="23"/>
  <c r="N179" i="23"/>
  <c r="N180" i="23"/>
  <c r="N181" i="23"/>
  <c r="N182" i="23"/>
  <c r="N183" i="23"/>
  <c r="N184" i="23"/>
  <c r="N185" i="23"/>
  <c r="B186" i="23"/>
  <c r="B191" i="23"/>
  <c r="C186" i="23"/>
  <c r="C191" i="23"/>
  <c r="D186" i="23"/>
  <c r="D191" i="23"/>
  <c r="D193" i="23"/>
  <c r="E186" i="23"/>
  <c r="E191" i="23"/>
  <c r="E193" i="23"/>
  <c r="F186" i="23"/>
  <c r="F191" i="23"/>
  <c r="F193" i="23"/>
  <c r="G186" i="23"/>
  <c r="G191" i="23"/>
  <c r="G193" i="23"/>
  <c r="H186" i="23"/>
  <c r="H197" i="23"/>
  <c r="I186" i="23"/>
  <c r="I197" i="23"/>
  <c r="J186" i="23"/>
  <c r="J197" i="23"/>
  <c r="K186" i="23"/>
  <c r="K191" i="23"/>
  <c r="K193" i="23"/>
  <c r="L186" i="23"/>
  <c r="L191" i="23"/>
  <c r="L193" i="23"/>
  <c r="M186" i="23"/>
  <c r="M191" i="23"/>
  <c r="M193" i="23"/>
  <c r="D189" i="23"/>
  <c r="N195" i="23"/>
  <c r="D197" i="23"/>
  <c r="N204" i="23"/>
  <c r="N205" i="23"/>
  <c r="B206" i="23"/>
  <c r="B207" i="23"/>
  <c r="N206" i="23"/>
  <c r="M217" i="23"/>
  <c r="M218" i="23"/>
  <c r="D221" i="23"/>
  <c r="D222" i="23"/>
  <c r="N232" i="23"/>
  <c r="N233" i="23"/>
  <c r="N234" i="23"/>
  <c r="B235" i="23"/>
  <c r="C235" i="23"/>
  <c r="D235" i="23"/>
  <c r="E235" i="23"/>
  <c r="F235" i="23"/>
  <c r="G235" i="23"/>
  <c r="H235" i="23"/>
  <c r="I235" i="23"/>
  <c r="J235" i="23"/>
  <c r="K235" i="23"/>
  <c r="L235" i="23"/>
  <c r="M235" i="23"/>
  <c r="N236" i="23"/>
  <c r="N238" i="23"/>
  <c r="N239" i="23"/>
  <c r="N246" i="23"/>
  <c r="N247" i="23"/>
  <c r="N248" i="23"/>
  <c r="N249" i="23"/>
  <c r="N250" i="23"/>
  <c r="N251" i="23"/>
  <c r="N252" i="23"/>
  <c r="N253" i="23"/>
  <c r="N254" i="23"/>
  <c r="N255" i="23"/>
  <c r="N256" i="23"/>
  <c r="B257" i="23"/>
  <c r="B262" i="23"/>
  <c r="B264" i="23"/>
  <c r="C257" i="23"/>
  <c r="C260" i="23"/>
  <c r="D257" i="23"/>
  <c r="D262" i="23"/>
  <c r="D264" i="23"/>
  <c r="E257" i="23"/>
  <c r="E262" i="23"/>
  <c r="E264" i="23"/>
  <c r="F257" i="23"/>
  <c r="F262" i="23"/>
  <c r="F264" i="23"/>
  <c r="G257" i="23"/>
  <c r="G262" i="23"/>
  <c r="G264" i="23"/>
  <c r="H257" i="23"/>
  <c r="H271" i="23"/>
  <c r="I257" i="23"/>
  <c r="I260" i="23"/>
  <c r="J257" i="23"/>
  <c r="J262" i="23"/>
  <c r="J264" i="23"/>
  <c r="K257" i="23"/>
  <c r="K260" i="23"/>
  <c r="L257" i="23"/>
  <c r="L269" i="23"/>
  <c r="M257" i="23"/>
  <c r="M260" i="23"/>
  <c r="N266" i="23"/>
  <c r="N275" i="23"/>
  <c r="N276" i="23"/>
  <c r="B277" i="23"/>
  <c r="B278" i="23"/>
  <c r="C277" i="23"/>
  <c r="C278" i="23"/>
  <c r="D277" i="23"/>
  <c r="D278" i="23"/>
  <c r="D279" i="23"/>
  <c r="E277" i="23"/>
  <c r="E278" i="23"/>
  <c r="F277" i="23"/>
  <c r="F278" i="23"/>
  <c r="G277" i="23"/>
  <c r="G278" i="23"/>
  <c r="H277" i="23"/>
  <c r="H278" i="23"/>
  <c r="I277" i="23"/>
  <c r="J274" i="23"/>
  <c r="J277" i="23"/>
  <c r="N277" i="23"/>
  <c r="D287" i="23"/>
  <c r="D288" i="23"/>
  <c r="N293" i="23"/>
  <c r="N295" i="23"/>
  <c r="N296" i="23"/>
  <c r="N297" i="23"/>
  <c r="N298" i="23"/>
  <c r="B299" i="23"/>
  <c r="C299" i="23"/>
  <c r="D299" i="23"/>
  <c r="E299" i="23"/>
  <c r="F299" i="23"/>
  <c r="G299" i="23"/>
  <c r="H299" i="23"/>
  <c r="I299" i="23"/>
  <c r="J299" i="23"/>
  <c r="K299" i="23"/>
  <c r="L299" i="23"/>
  <c r="M299" i="23"/>
  <c r="N300" i="23"/>
  <c r="N302" i="23"/>
  <c r="N303" i="23"/>
  <c r="N4" i="21"/>
  <c r="N5" i="21"/>
  <c r="N6" i="21"/>
  <c r="N7" i="21"/>
  <c r="N8" i="21"/>
  <c r="N9" i="21"/>
  <c r="N10" i="21"/>
  <c r="N11" i="21"/>
  <c r="N12" i="21"/>
  <c r="N13" i="21"/>
  <c r="N14" i="21"/>
  <c r="N15" i="21"/>
  <c r="B16" i="21"/>
  <c r="B21" i="21"/>
  <c r="B23" i="21"/>
  <c r="C16" i="21"/>
  <c r="C19" i="21"/>
  <c r="D16" i="21"/>
  <c r="D29" i="21"/>
  <c r="E16" i="21"/>
  <c r="E29" i="21"/>
  <c r="F16" i="21"/>
  <c r="F21" i="21"/>
  <c r="F23" i="21"/>
  <c r="G16" i="21"/>
  <c r="G28" i="21"/>
  <c r="H16" i="21"/>
  <c r="H19" i="21"/>
  <c r="I16" i="21"/>
  <c r="I29" i="21"/>
  <c r="J16" i="21"/>
  <c r="J28" i="21"/>
  <c r="K16" i="21"/>
  <c r="K27" i="21"/>
  <c r="L16" i="21"/>
  <c r="L28" i="21"/>
  <c r="M16" i="21"/>
  <c r="M30" i="21"/>
  <c r="N25" i="21"/>
  <c r="B36" i="21"/>
  <c r="C33" i="21"/>
  <c r="C36" i="21"/>
  <c r="N42" i="21"/>
  <c r="N43" i="21"/>
  <c r="N44" i="21"/>
  <c r="N45" i="21"/>
  <c r="N46" i="21"/>
  <c r="N50" i="21"/>
  <c r="N51" i="21"/>
  <c r="N52" i="21"/>
  <c r="N53" i="21"/>
  <c r="N54" i="21"/>
  <c r="F89" i="21"/>
  <c r="N60" i="21"/>
  <c r="N88" i="21"/>
  <c r="N89" i="21"/>
  <c r="D61" i="21"/>
  <c r="D62" i="21"/>
  <c r="N98" i="21"/>
  <c r="N101" i="21"/>
  <c r="N102" i="21"/>
  <c r="N103" i="21"/>
  <c r="N104" i="21"/>
  <c r="N105" i="21"/>
  <c r="B107" i="21"/>
  <c r="C107" i="21"/>
  <c r="D107" i="21"/>
  <c r="E107" i="21"/>
  <c r="F107" i="21"/>
  <c r="G107" i="21"/>
  <c r="H107" i="21"/>
  <c r="I107" i="21"/>
  <c r="J107" i="21"/>
  <c r="K107" i="21"/>
  <c r="L107" i="21"/>
  <c r="M107" i="21"/>
  <c r="N108" i="21"/>
  <c r="N110" i="21"/>
  <c r="N111" i="21"/>
  <c r="N117" i="21"/>
  <c r="N118" i="21"/>
  <c r="N119" i="21"/>
  <c r="N120" i="21"/>
  <c r="N121" i="21"/>
  <c r="N122" i="21"/>
  <c r="N123" i="21"/>
  <c r="N124" i="21"/>
  <c r="N125" i="21"/>
  <c r="N126" i="21"/>
  <c r="N127" i="21"/>
  <c r="B128" i="21"/>
  <c r="B140" i="21"/>
  <c r="C128" i="21"/>
  <c r="C142" i="21"/>
  <c r="D128" i="21"/>
  <c r="D139" i="21"/>
  <c r="E128" i="21"/>
  <c r="E131" i="21"/>
  <c r="F128" i="21"/>
  <c r="F133" i="21"/>
  <c r="F135" i="21"/>
  <c r="G128" i="21"/>
  <c r="G131" i="21"/>
  <c r="H128" i="21"/>
  <c r="H142" i="21"/>
  <c r="I128" i="21"/>
  <c r="I139" i="21"/>
  <c r="J128" i="21"/>
  <c r="J142" i="21"/>
  <c r="K128" i="21"/>
  <c r="K131" i="21"/>
  <c r="L128" i="21"/>
  <c r="L140" i="21"/>
  <c r="M128" i="21"/>
  <c r="M141" i="21"/>
  <c r="N137" i="21"/>
  <c r="M140" i="21"/>
  <c r="B148" i="21"/>
  <c r="C145" i="21"/>
  <c r="C148" i="21"/>
  <c r="D145" i="21"/>
  <c r="D148" i="21"/>
  <c r="N146" i="21"/>
  <c r="N147" i="21"/>
  <c r="N148" i="21"/>
  <c r="N154" i="21"/>
  <c r="N155" i="21"/>
  <c r="N156" i="21"/>
  <c r="B157" i="21"/>
  <c r="C157" i="21"/>
  <c r="D157" i="21"/>
  <c r="E157" i="21"/>
  <c r="F157" i="21"/>
  <c r="G157" i="21"/>
  <c r="H157" i="21"/>
  <c r="I157" i="21"/>
  <c r="J157" i="21"/>
  <c r="K157" i="21"/>
  <c r="L157" i="21"/>
  <c r="M157" i="21"/>
  <c r="N158" i="21"/>
  <c r="N159" i="21"/>
  <c r="N160" i="21"/>
  <c r="N161" i="21"/>
  <c r="N162" i="21"/>
  <c r="B163" i="21"/>
  <c r="C163" i="21"/>
  <c r="D163" i="21"/>
  <c r="E163" i="21"/>
  <c r="F163" i="21"/>
  <c r="G163" i="21"/>
  <c r="H163" i="21"/>
  <c r="I163" i="21"/>
  <c r="J163" i="21"/>
  <c r="K163" i="21"/>
  <c r="L163" i="21"/>
  <c r="M163" i="21"/>
  <c r="N164" i="21"/>
  <c r="N166" i="21"/>
  <c r="N173" i="21"/>
  <c r="N174" i="21"/>
  <c r="N175" i="21"/>
  <c r="N176" i="21"/>
  <c r="N177" i="21"/>
  <c r="N178" i="21"/>
  <c r="N179" i="21"/>
  <c r="N180" i="21"/>
  <c r="N181" i="21"/>
  <c r="N182" i="21"/>
  <c r="N183" i="21"/>
  <c r="B184" i="21"/>
  <c r="B187" i="21"/>
  <c r="C184" i="21"/>
  <c r="C196" i="21"/>
  <c r="D184" i="21"/>
  <c r="D197" i="21"/>
  <c r="E184" i="21"/>
  <c r="E190" i="21"/>
  <c r="F184" i="21"/>
  <c r="F190" i="21"/>
  <c r="G184" i="21"/>
  <c r="G196" i="21"/>
  <c r="H184" i="21"/>
  <c r="H187" i="21"/>
  <c r="I184" i="21"/>
  <c r="I187" i="21"/>
  <c r="J184" i="21"/>
  <c r="J189" i="21"/>
  <c r="J191" i="21"/>
  <c r="K184" i="21"/>
  <c r="K195" i="21"/>
  <c r="L184" i="21"/>
  <c r="L187" i="21"/>
  <c r="M184" i="21"/>
  <c r="M195" i="21"/>
  <c r="H189" i="21"/>
  <c r="H191" i="21"/>
  <c r="N193" i="21"/>
  <c r="B204" i="21"/>
  <c r="C201" i="21"/>
  <c r="C204" i="21"/>
  <c r="N202" i="21"/>
  <c r="N203" i="21"/>
  <c r="N204" i="21"/>
  <c r="M215" i="21"/>
  <c r="M216" i="21"/>
  <c r="D219" i="21"/>
  <c r="D220" i="21"/>
  <c r="N230" i="21"/>
  <c r="N231" i="21"/>
  <c r="N232" i="21"/>
  <c r="B233" i="21"/>
  <c r="C233" i="21"/>
  <c r="D233" i="21"/>
  <c r="E233" i="21"/>
  <c r="F233" i="21"/>
  <c r="G233" i="21"/>
  <c r="H233" i="21"/>
  <c r="I233" i="21"/>
  <c r="J233" i="21"/>
  <c r="K233" i="21"/>
  <c r="L233" i="21"/>
  <c r="M233" i="21"/>
  <c r="N234" i="21"/>
  <c r="N236" i="21"/>
  <c r="N237" i="21"/>
  <c r="N244" i="21"/>
  <c r="N245" i="21"/>
  <c r="N246" i="21"/>
  <c r="N247" i="21"/>
  <c r="N248" i="21"/>
  <c r="N249" i="21"/>
  <c r="N250" i="21"/>
  <c r="N251" i="21"/>
  <c r="N252" i="21"/>
  <c r="N253" i="21"/>
  <c r="N254" i="21"/>
  <c r="B255" i="21"/>
  <c r="B260" i="21"/>
  <c r="B262" i="21"/>
  <c r="C255" i="21"/>
  <c r="C269" i="21"/>
  <c r="D255" i="21"/>
  <c r="D268" i="21"/>
  <c r="E255" i="21"/>
  <c r="E267" i="21"/>
  <c r="F255" i="21"/>
  <c r="F260" i="21"/>
  <c r="F262" i="21"/>
  <c r="G255" i="21"/>
  <c r="G267" i="21"/>
  <c r="H255" i="21"/>
  <c r="H258" i="21"/>
  <c r="I255" i="21"/>
  <c r="I268" i="21"/>
  <c r="J255" i="21"/>
  <c r="J267" i="21"/>
  <c r="K255" i="21"/>
  <c r="K266" i="21"/>
  <c r="L255" i="21"/>
  <c r="L267" i="21"/>
  <c r="M255" i="21"/>
  <c r="M268" i="21"/>
  <c r="N264" i="21"/>
  <c r="I275" i="21"/>
  <c r="J272" i="21"/>
  <c r="J275" i="21"/>
  <c r="N273" i="21"/>
  <c r="N274" i="21"/>
  <c r="B275" i="21"/>
  <c r="B276" i="21"/>
  <c r="C275" i="21"/>
  <c r="C276" i="21"/>
  <c r="D275" i="21"/>
  <c r="D276" i="21"/>
  <c r="D277" i="21"/>
  <c r="E275" i="21"/>
  <c r="E276" i="21"/>
  <c r="F275" i="21"/>
  <c r="F276" i="21"/>
  <c r="G275" i="21"/>
  <c r="G276" i="21"/>
  <c r="H275" i="21"/>
  <c r="H276" i="21"/>
  <c r="N275" i="21"/>
  <c r="D285" i="21"/>
  <c r="D286" i="21"/>
  <c r="B290" i="21"/>
  <c r="B292" i="21"/>
  <c r="N291" i="21"/>
  <c r="N293" i="21"/>
  <c r="N294" i="21"/>
  <c r="N295" i="21"/>
  <c r="N296" i="21"/>
  <c r="B297" i="21"/>
  <c r="C297" i="21"/>
  <c r="D297" i="21"/>
  <c r="E297" i="21"/>
  <c r="F297" i="21"/>
  <c r="G297" i="21"/>
  <c r="H297" i="21"/>
  <c r="I297" i="21"/>
  <c r="J297" i="21"/>
  <c r="K297" i="21"/>
  <c r="L297" i="21"/>
  <c r="M297" i="21"/>
  <c r="N298" i="21"/>
  <c r="N300" i="21"/>
  <c r="N301" i="21"/>
  <c r="L270" i="23"/>
  <c r="B260" i="23"/>
  <c r="M198" i="23"/>
  <c r="I198" i="23"/>
  <c r="E198" i="23"/>
  <c r="M192" i="23"/>
  <c r="M199" i="23"/>
  <c r="K192" i="23"/>
  <c r="K199" i="23"/>
  <c r="I192" i="23"/>
  <c r="G189" i="23"/>
  <c r="G197" i="23"/>
  <c r="E189" i="23"/>
  <c r="E197" i="23"/>
  <c r="C192" i="23"/>
  <c r="C199" i="23"/>
  <c r="J143" i="23"/>
  <c r="F143" i="23"/>
  <c r="B143" i="23"/>
  <c r="J141" i="23"/>
  <c r="F141" i="23"/>
  <c r="B141" i="23"/>
  <c r="J136" i="23"/>
  <c r="F136" i="23"/>
  <c r="B136" i="23"/>
  <c r="L27" i="23"/>
  <c r="J135" i="23"/>
  <c r="J137" i="23"/>
  <c r="B37" i="23"/>
  <c r="C271" i="23"/>
  <c r="E270" i="23"/>
  <c r="K269" i="23"/>
  <c r="E269" i="23"/>
  <c r="G268" i="23"/>
  <c r="M263" i="23"/>
  <c r="K262" i="23"/>
  <c r="K264" i="23"/>
  <c r="F142" i="23"/>
  <c r="H135" i="23"/>
  <c r="H137" i="23"/>
  <c r="G30" i="23"/>
  <c r="G29" i="23"/>
  <c r="M27" i="23"/>
  <c r="E260" i="23"/>
  <c r="C270" i="23"/>
  <c r="I268" i="23"/>
  <c r="C263" i="23"/>
  <c r="B144" i="23"/>
  <c r="K30" i="23"/>
  <c r="E30" i="23"/>
  <c r="E29" i="23"/>
  <c r="I28" i="23"/>
  <c r="K27" i="23"/>
  <c r="C22" i="23"/>
  <c r="M29" i="23"/>
  <c r="I22" i="23"/>
  <c r="K21" i="23"/>
  <c r="K23" i="23"/>
  <c r="K270" i="23"/>
  <c r="E268" i="23"/>
  <c r="L144" i="23"/>
  <c r="L142" i="23"/>
  <c r="I135" i="23"/>
  <c r="I137" i="23"/>
  <c r="E27" i="21"/>
  <c r="M271" i="23"/>
  <c r="G263" i="23"/>
  <c r="L200" i="23"/>
  <c r="C200" i="23"/>
  <c r="F198" i="23"/>
  <c r="H144" i="23"/>
  <c r="M143" i="23"/>
  <c r="K19" i="23"/>
  <c r="I271" i="23"/>
  <c r="E28" i="23"/>
  <c r="E27" i="23"/>
  <c r="L196" i="21"/>
  <c r="G200" i="23"/>
  <c r="B135" i="23"/>
  <c r="B137" i="23"/>
  <c r="K200" i="23"/>
  <c r="D135" i="23"/>
  <c r="C193" i="23"/>
  <c r="B99" i="23"/>
  <c r="B100" i="23"/>
  <c r="B111" i="23"/>
  <c r="B114" i="23"/>
  <c r="E99" i="23"/>
  <c r="E100" i="23"/>
  <c r="I99" i="23"/>
  <c r="I100" i="23"/>
  <c r="B189" i="21"/>
  <c r="B191" i="21"/>
  <c r="C139" i="21"/>
  <c r="J189" i="23"/>
  <c r="I191" i="23"/>
  <c r="I193" i="23"/>
  <c r="M131" i="21"/>
  <c r="M28" i="21"/>
  <c r="I262" i="23"/>
  <c r="D290" i="21"/>
  <c r="D292" i="21"/>
  <c r="D299" i="21"/>
  <c r="D302" i="21"/>
  <c r="F99" i="23"/>
  <c r="F100" i="23"/>
  <c r="F111" i="23"/>
  <c r="F114" i="23"/>
  <c r="J99" i="23"/>
  <c r="J100" i="23"/>
  <c r="J111" i="23"/>
  <c r="J114" i="23"/>
  <c r="C99" i="23"/>
  <c r="C100" i="23"/>
  <c r="E30" i="21"/>
  <c r="I131" i="21"/>
  <c r="I22" i="21"/>
  <c r="F197" i="21"/>
  <c r="F269" i="23"/>
  <c r="K28" i="21"/>
  <c r="B197" i="23"/>
  <c r="G141" i="23"/>
  <c r="D192" i="23"/>
  <c r="D28" i="23"/>
  <c r="J200" i="23"/>
  <c r="J192" i="23"/>
  <c r="H22" i="23"/>
  <c r="F260" i="23"/>
  <c r="E197" i="21"/>
  <c r="B19" i="21"/>
  <c r="H267" i="21"/>
  <c r="L142" i="21"/>
  <c r="J269" i="21"/>
  <c r="C198" i="21"/>
  <c r="N235" i="23"/>
  <c r="I28" i="21"/>
  <c r="C27" i="21"/>
  <c r="I141" i="21"/>
  <c r="M134" i="21"/>
  <c r="M29" i="21"/>
  <c r="E142" i="21"/>
  <c r="I111" i="23"/>
  <c r="I114" i="23"/>
  <c r="K21" i="21"/>
  <c r="K23" i="21"/>
  <c r="E134" i="21"/>
  <c r="H260" i="23"/>
  <c r="M141" i="23"/>
  <c r="K144" i="23"/>
  <c r="E141" i="23"/>
  <c r="F199" i="23"/>
  <c r="D21" i="23"/>
  <c r="D23" i="23"/>
  <c r="C141" i="23"/>
  <c r="J191" i="23"/>
  <c r="J193" i="23"/>
  <c r="H269" i="23"/>
  <c r="L28" i="23"/>
  <c r="G136" i="23"/>
  <c r="G143" i="23"/>
  <c r="H199" i="23"/>
  <c r="N16" i="23"/>
  <c r="D27" i="23"/>
  <c r="H29" i="23"/>
  <c r="D260" i="23"/>
  <c r="J270" i="23"/>
  <c r="H290" i="21"/>
  <c r="H292" i="21"/>
  <c r="H299" i="21"/>
  <c r="H302" i="21"/>
  <c r="F141" i="21"/>
  <c r="J22" i="21"/>
  <c r="L269" i="21"/>
  <c r="C187" i="21"/>
  <c r="K197" i="21"/>
  <c r="F290" i="21"/>
  <c r="F292" i="21"/>
  <c r="F299" i="21"/>
  <c r="F302" i="21"/>
  <c r="G198" i="21"/>
  <c r="H266" i="21"/>
  <c r="L21" i="21"/>
  <c r="L23" i="21"/>
  <c r="N165" i="23"/>
  <c r="C111" i="23"/>
  <c r="C114" i="23"/>
  <c r="G290" i="21"/>
  <c r="G292" i="21"/>
  <c r="H30" i="23"/>
  <c r="I269" i="23"/>
  <c r="D133" i="21"/>
  <c r="D135" i="21"/>
  <c r="L134" i="21"/>
  <c r="F28" i="21"/>
  <c r="D27" i="21"/>
  <c r="F269" i="21"/>
  <c r="J258" i="21"/>
  <c r="M198" i="21"/>
  <c r="E111" i="23"/>
  <c r="E114" i="23"/>
  <c r="G271" i="23"/>
  <c r="C144" i="23"/>
  <c r="G260" i="23"/>
  <c r="L30" i="23"/>
  <c r="B189" i="23"/>
  <c r="B199" i="23"/>
  <c r="G270" i="23"/>
  <c r="L19" i="21"/>
  <c r="E133" i="23"/>
  <c r="M142" i="23"/>
  <c r="M133" i="23"/>
  <c r="I136" i="23"/>
  <c r="G142" i="23"/>
  <c r="F197" i="23"/>
  <c r="K263" i="23"/>
  <c r="C269" i="23"/>
  <c r="K271" i="23"/>
  <c r="M268" i="23"/>
  <c r="L21" i="23"/>
  <c r="L23" i="23"/>
  <c r="J21" i="23"/>
  <c r="J23" i="23"/>
  <c r="C135" i="23"/>
  <c r="C137" i="23"/>
  <c r="E142" i="23"/>
  <c r="H189" i="23"/>
  <c r="J199" i="23"/>
  <c r="M262" i="23"/>
  <c r="M264" i="23"/>
  <c r="I263" i="23"/>
  <c r="I270" i="23"/>
  <c r="L192" i="23"/>
  <c r="I144" i="23"/>
  <c r="H198" i="23"/>
  <c r="C262" i="23"/>
  <c r="C264" i="23"/>
  <c r="D265" i="23"/>
  <c r="E263" i="23"/>
  <c r="C268" i="23"/>
  <c r="K268" i="23"/>
  <c r="G269" i="23"/>
  <c r="M269" i="23"/>
  <c r="M270" i="23"/>
  <c r="E271" i="23"/>
  <c r="D22" i="23"/>
  <c r="L22" i="23"/>
  <c r="H27" i="23"/>
  <c r="D29" i="23"/>
  <c r="L29" i="23"/>
  <c r="N186" i="23"/>
  <c r="C203" i="23"/>
  <c r="C206" i="23"/>
  <c r="C207" i="23"/>
  <c r="I197" i="21"/>
  <c r="H261" i="21"/>
  <c r="D200" i="23"/>
  <c r="M111" i="23"/>
  <c r="M114" i="23"/>
  <c r="J269" i="23"/>
  <c r="L99" i="23"/>
  <c r="L100" i="23"/>
  <c r="L111" i="23"/>
  <c r="L114" i="23"/>
  <c r="H99" i="23"/>
  <c r="H100" i="23"/>
  <c r="H111" i="23"/>
  <c r="H114" i="23"/>
  <c r="D99" i="23"/>
  <c r="D100" i="23"/>
  <c r="D111" i="23"/>
  <c r="D114" i="23"/>
  <c r="E22" i="23"/>
  <c r="E22" i="21"/>
  <c r="K260" i="21"/>
  <c r="K262" i="21"/>
  <c r="C28" i="21"/>
  <c r="G140" i="21"/>
  <c r="I133" i="21"/>
  <c r="I135" i="21"/>
  <c r="K133" i="21"/>
  <c r="K135" i="21"/>
  <c r="M142" i="21"/>
  <c r="D195" i="21"/>
  <c r="E19" i="23"/>
  <c r="I21" i="21"/>
  <c r="I23" i="21"/>
  <c r="I30" i="21"/>
  <c r="G22" i="21"/>
  <c r="G30" i="21"/>
  <c r="C141" i="21"/>
  <c r="C133" i="21"/>
  <c r="K99" i="23"/>
  <c r="K100" i="23"/>
  <c r="G99" i="23"/>
  <c r="G100" i="23"/>
  <c r="D196" i="21"/>
  <c r="B142" i="23"/>
  <c r="D142" i="23"/>
  <c r="F144" i="23"/>
  <c r="K141" i="21"/>
  <c r="E140" i="21"/>
  <c r="B190" i="21"/>
  <c r="L189" i="21"/>
  <c r="L191" i="21"/>
  <c r="I27" i="23"/>
  <c r="I29" i="23"/>
  <c r="I200" i="23"/>
  <c r="I21" i="23"/>
  <c r="I23" i="23"/>
  <c r="L135" i="23"/>
  <c r="L137" i="23"/>
  <c r="L271" i="23"/>
  <c r="J142" i="23"/>
  <c r="J144" i="23"/>
  <c r="G29" i="21"/>
  <c r="M28" i="23"/>
  <c r="C19" i="23"/>
  <c r="C27" i="23"/>
  <c r="K28" i="23"/>
  <c r="K29" i="23"/>
  <c r="I30" i="23"/>
  <c r="D144" i="23"/>
  <c r="J271" i="23"/>
  <c r="M22" i="23"/>
  <c r="C28" i="23"/>
  <c r="C29" i="23"/>
  <c r="C30" i="23"/>
  <c r="M30" i="23"/>
  <c r="H142" i="23"/>
  <c r="E200" i="23"/>
  <c r="M21" i="23"/>
  <c r="M23" i="23"/>
  <c r="F135" i="23"/>
  <c r="F137" i="23"/>
  <c r="D136" i="23"/>
  <c r="H136" i="23"/>
  <c r="L136" i="23"/>
  <c r="D141" i="23"/>
  <c r="H141" i="23"/>
  <c r="L141" i="23"/>
  <c r="D143" i="23"/>
  <c r="H143" i="23"/>
  <c r="L143" i="23"/>
  <c r="C197" i="23"/>
  <c r="C189" i="23"/>
  <c r="E199" i="23"/>
  <c r="E192" i="23"/>
  <c r="G199" i="23"/>
  <c r="G192" i="23"/>
  <c r="I199" i="23"/>
  <c r="I189" i="23"/>
  <c r="K197" i="23"/>
  <c r="K189" i="23"/>
  <c r="M197" i="23"/>
  <c r="M189" i="23"/>
  <c r="C198" i="23"/>
  <c r="G198" i="23"/>
  <c r="K198" i="23"/>
  <c r="B37" i="21"/>
  <c r="B268" i="23"/>
  <c r="D268" i="23"/>
  <c r="F268" i="23"/>
  <c r="H268" i="23"/>
  <c r="J263" i="23"/>
  <c r="L263" i="23"/>
  <c r="F22" i="21"/>
  <c r="L290" i="21"/>
  <c r="L292" i="21"/>
  <c r="L299" i="21"/>
  <c r="L302" i="21"/>
  <c r="I290" i="21"/>
  <c r="I292" i="21"/>
  <c r="I299" i="21"/>
  <c r="I302" i="21"/>
  <c r="B131" i="21"/>
  <c r="D141" i="21"/>
  <c r="H131" i="21"/>
  <c r="L141" i="21"/>
  <c r="G195" i="21"/>
  <c r="J19" i="21"/>
  <c r="L258" i="21"/>
  <c r="F19" i="21"/>
  <c r="J133" i="21"/>
  <c r="J135" i="21"/>
  <c r="C197" i="21"/>
  <c r="K187" i="21"/>
  <c r="M187" i="21"/>
  <c r="F267" i="21"/>
  <c r="H269" i="21"/>
  <c r="J266" i="21"/>
  <c r="G197" i="21"/>
  <c r="B22" i="21"/>
  <c r="B261" i="21"/>
  <c r="F266" i="21"/>
  <c r="H268" i="21"/>
  <c r="B149" i="21"/>
  <c r="E187" i="21"/>
  <c r="M196" i="21"/>
  <c r="M190" i="21"/>
  <c r="F261" i="21"/>
  <c r="M167" i="23"/>
  <c r="M169" i="23"/>
  <c r="K167" i="23"/>
  <c r="K169" i="23"/>
  <c r="B299" i="21"/>
  <c r="B302" i="21"/>
  <c r="N159" i="23"/>
  <c r="N167" i="23"/>
  <c r="N169" i="23"/>
  <c r="D30" i="23"/>
  <c r="B269" i="23"/>
  <c r="I196" i="21"/>
  <c r="J290" i="21"/>
  <c r="J292" i="21"/>
  <c r="J299" i="21"/>
  <c r="J302" i="21"/>
  <c r="K290" i="21"/>
  <c r="K292" i="21"/>
  <c r="E290" i="21"/>
  <c r="E292" i="21"/>
  <c r="E299" i="21"/>
  <c r="E302" i="21"/>
  <c r="M290" i="21"/>
  <c r="M292" i="21"/>
  <c r="M299" i="21"/>
  <c r="M302" i="21"/>
  <c r="C290" i="21"/>
  <c r="C292" i="21"/>
  <c r="C299" i="21"/>
  <c r="C302" i="21"/>
  <c r="B271" i="23"/>
  <c r="E19" i="21"/>
  <c r="E21" i="21"/>
  <c r="E23" i="21"/>
  <c r="I19" i="21"/>
  <c r="I27" i="21"/>
  <c r="E198" i="21"/>
  <c r="E189" i="21"/>
  <c r="E191" i="21"/>
  <c r="G189" i="21"/>
  <c r="G191" i="21"/>
  <c r="C29" i="21"/>
  <c r="C21" i="21"/>
  <c r="C23" i="21"/>
  <c r="M27" i="21"/>
  <c r="G139" i="21"/>
  <c r="I140" i="21"/>
  <c r="I142" i="21"/>
  <c r="K139" i="21"/>
  <c r="K134" i="21"/>
  <c r="M133" i="21"/>
  <c r="M135" i="21"/>
  <c r="M139" i="21"/>
  <c r="L268" i="21"/>
  <c r="M21" i="21"/>
  <c r="M23" i="21"/>
  <c r="G21" i="21"/>
  <c r="G23" i="21"/>
  <c r="M19" i="21"/>
  <c r="M22" i="21"/>
  <c r="C131" i="21"/>
  <c r="C134" i="21"/>
  <c r="E133" i="21"/>
  <c r="E135" i="21"/>
  <c r="E139" i="21"/>
  <c r="C195" i="21"/>
  <c r="C190" i="21"/>
  <c r="C189" i="21"/>
  <c r="C191" i="21"/>
  <c r="K190" i="21"/>
  <c r="K189" i="21"/>
  <c r="K191" i="21"/>
  <c r="M197" i="21"/>
  <c r="M189" i="21"/>
  <c r="M191" i="21"/>
  <c r="F268" i="21"/>
  <c r="F258" i="21"/>
  <c r="H260" i="21"/>
  <c r="H262" i="21"/>
  <c r="J261" i="21"/>
  <c r="J268" i="21"/>
  <c r="G190" i="21"/>
  <c r="G187" i="21"/>
  <c r="C143" i="23"/>
  <c r="I198" i="21"/>
  <c r="L266" i="21"/>
  <c r="K111" i="23"/>
  <c r="K114" i="23"/>
  <c r="G111" i="23"/>
  <c r="G114" i="23"/>
  <c r="J28" i="23"/>
  <c r="C136" i="23"/>
  <c r="E144" i="23"/>
  <c r="K140" i="21"/>
  <c r="K142" i="21"/>
  <c r="B267" i="21"/>
  <c r="C140" i="21"/>
  <c r="E141" i="21"/>
  <c r="D266" i="21"/>
  <c r="H28" i="23"/>
  <c r="J30" i="23"/>
  <c r="K142" i="23"/>
  <c r="D269" i="23"/>
  <c r="K136" i="23"/>
  <c r="M144" i="23"/>
  <c r="F192" i="23"/>
  <c r="B198" i="23"/>
  <c r="B200" i="23"/>
  <c r="D271" i="23"/>
  <c r="J260" i="21"/>
  <c r="J262" i="21"/>
  <c r="C22" i="21"/>
  <c r="I134" i="21"/>
  <c r="E195" i="21"/>
  <c r="D261" i="21"/>
  <c r="I142" i="23"/>
  <c r="I143" i="23"/>
  <c r="L262" i="23"/>
  <c r="L264" i="23"/>
  <c r="G135" i="23"/>
  <c r="G137" i="23"/>
  <c r="G138" i="23"/>
  <c r="K135" i="23"/>
  <c r="K137" i="23"/>
  <c r="M136" i="23"/>
  <c r="K141" i="23"/>
  <c r="K143" i="23"/>
  <c r="H192" i="23"/>
  <c r="D198" i="23"/>
  <c r="F200" i="23"/>
  <c r="N257" i="23"/>
  <c r="E196" i="21"/>
  <c r="F189" i="23"/>
  <c r="B21" i="23"/>
  <c r="B23" i="23"/>
  <c r="H21" i="23"/>
  <c r="H23" i="23"/>
  <c r="J24" i="23"/>
  <c r="E136" i="23"/>
  <c r="C142" i="23"/>
  <c r="E143" i="23"/>
  <c r="H191" i="23"/>
  <c r="H193" i="23"/>
  <c r="J194" i="23"/>
  <c r="J198" i="23"/>
  <c r="H200" i="23"/>
  <c r="H262" i="23"/>
  <c r="H264" i="23"/>
  <c r="F271" i="23"/>
  <c r="L189" i="23"/>
  <c r="F28" i="23"/>
  <c r="B30" i="23"/>
  <c r="I141" i="23"/>
  <c r="G144" i="23"/>
  <c r="B192" i="23"/>
  <c r="L197" i="23"/>
  <c r="L198" i="23"/>
  <c r="L199" i="23"/>
  <c r="N130" i="23"/>
  <c r="B22" i="23"/>
  <c r="F22" i="23"/>
  <c r="J22" i="23"/>
  <c r="B27" i="23"/>
  <c r="F27" i="23"/>
  <c r="J27" i="23"/>
  <c r="B29" i="23"/>
  <c r="F29" i="23"/>
  <c r="J29" i="23"/>
  <c r="I278" i="23"/>
  <c r="I190" i="21"/>
  <c r="I195" i="21"/>
  <c r="B270" i="23"/>
  <c r="B263" i="23"/>
  <c r="D270" i="23"/>
  <c r="D263" i="23"/>
  <c r="F270" i="23"/>
  <c r="F263" i="23"/>
  <c r="H270" i="23"/>
  <c r="H263" i="23"/>
  <c r="J268" i="23"/>
  <c r="J260" i="23"/>
  <c r="L268" i="23"/>
  <c r="L260" i="23"/>
  <c r="L260" i="21"/>
  <c r="L262" i="21"/>
  <c r="L261" i="21"/>
  <c r="M165" i="21"/>
  <c r="M167" i="21"/>
  <c r="K165" i="21"/>
  <c r="K167" i="21"/>
  <c r="I165" i="21"/>
  <c r="I167" i="21"/>
  <c r="G165" i="21"/>
  <c r="G167" i="21"/>
  <c r="E165" i="21"/>
  <c r="E167" i="21"/>
  <c r="C165" i="21"/>
  <c r="C167" i="21"/>
  <c r="D199" i="23"/>
  <c r="L167" i="23"/>
  <c r="L169" i="23"/>
  <c r="G19" i="23"/>
  <c r="M260" i="21"/>
  <c r="M262" i="21"/>
  <c r="B133" i="21"/>
  <c r="B135" i="21"/>
  <c r="E268" i="21"/>
  <c r="J190" i="21"/>
  <c r="H141" i="21"/>
  <c r="H22" i="21"/>
  <c r="H196" i="21"/>
  <c r="F29" i="21"/>
  <c r="I260" i="21"/>
  <c r="I262" i="21"/>
  <c r="D19" i="21"/>
  <c r="B29" i="21"/>
  <c r="H133" i="21"/>
  <c r="H135" i="21"/>
  <c r="J136" i="21"/>
  <c r="C261" i="21"/>
  <c r="I167" i="23"/>
  <c r="I169" i="23"/>
  <c r="G167" i="23"/>
  <c r="G169" i="23"/>
  <c r="E167" i="23"/>
  <c r="E169" i="23"/>
  <c r="C167" i="23"/>
  <c r="C169" i="23"/>
  <c r="C151" i="23"/>
  <c r="D147" i="23"/>
  <c r="D150" i="23"/>
  <c r="D151" i="23"/>
  <c r="D152" i="23"/>
  <c r="N297" i="21"/>
  <c r="N233" i="21"/>
  <c r="N163" i="21"/>
  <c r="N107" i="21"/>
  <c r="H167" i="23"/>
  <c r="H169" i="23"/>
  <c r="D167" i="23"/>
  <c r="D169" i="23"/>
  <c r="G24" i="23"/>
  <c r="C23" i="23"/>
  <c r="N299" i="23"/>
  <c r="K299" i="21"/>
  <c r="K302" i="21"/>
  <c r="B134" i="21"/>
  <c r="D142" i="21"/>
  <c r="D140" i="21"/>
  <c r="F140" i="21"/>
  <c r="F142" i="21"/>
  <c r="H140" i="21"/>
  <c r="L139" i="21"/>
  <c r="L131" i="21"/>
  <c r="I267" i="21"/>
  <c r="K269" i="21"/>
  <c r="J21" i="21"/>
  <c r="J23" i="21"/>
  <c r="J27" i="21"/>
  <c r="D30" i="21"/>
  <c r="B28" i="21"/>
  <c r="B198" i="21"/>
  <c r="J140" i="21"/>
  <c r="B142" i="21"/>
  <c r="B196" i="21"/>
  <c r="G258" i="21"/>
  <c r="B30" i="21"/>
  <c r="J196" i="21"/>
  <c r="L133" i="21"/>
  <c r="L135" i="21"/>
  <c r="E261" i="21"/>
  <c r="C260" i="21"/>
  <c r="C262" i="21"/>
  <c r="G261" i="21"/>
  <c r="L197" i="21"/>
  <c r="H27" i="21"/>
  <c r="J29" i="21"/>
  <c r="F195" i="21"/>
  <c r="M261" i="21"/>
  <c r="L190" i="21"/>
  <c r="I276" i="21"/>
  <c r="F189" i="21"/>
  <c r="F191" i="21"/>
  <c r="M269" i="21"/>
  <c r="C258" i="21"/>
  <c r="L30" i="21"/>
  <c r="J141" i="21"/>
  <c r="C37" i="21"/>
  <c r="D33" i="21"/>
  <c r="D36" i="21"/>
  <c r="E33" i="21"/>
  <c r="E36" i="21"/>
  <c r="G299" i="21"/>
  <c r="G302" i="21"/>
  <c r="I261" i="21"/>
  <c r="K258" i="21"/>
  <c r="M266" i="21"/>
  <c r="D198" i="21"/>
  <c r="E260" i="21"/>
  <c r="E262" i="21"/>
  <c r="J134" i="21"/>
  <c r="J139" i="21"/>
  <c r="F187" i="21"/>
  <c r="F198" i="21"/>
  <c r="B139" i="21"/>
  <c r="B141" i="21"/>
  <c r="B195" i="21"/>
  <c r="N184" i="21"/>
  <c r="B197" i="21"/>
  <c r="E266" i="21"/>
  <c r="G268" i="21"/>
  <c r="D187" i="21"/>
  <c r="H195" i="21"/>
  <c r="J197" i="21"/>
  <c r="D137" i="23"/>
  <c r="E258" i="21"/>
  <c r="E269" i="21"/>
  <c r="H139" i="21"/>
  <c r="H197" i="21"/>
  <c r="K19" i="21"/>
  <c r="K29" i="21"/>
  <c r="N16" i="21"/>
  <c r="C30" i="21"/>
  <c r="J131" i="21"/>
  <c r="H198" i="21"/>
  <c r="H190" i="21"/>
  <c r="K30" i="21"/>
  <c r="L195" i="21"/>
  <c r="L198" i="21"/>
  <c r="J187" i="21"/>
  <c r="L29" i="21"/>
  <c r="L22" i="21"/>
  <c r="E28" i="21"/>
  <c r="K22" i="21"/>
  <c r="F196" i="21"/>
  <c r="L27" i="21"/>
  <c r="H134" i="21"/>
  <c r="B205" i="21"/>
  <c r="J195" i="21"/>
  <c r="L165" i="21"/>
  <c r="L167" i="21"/>
  <c r="J165" i="21"/>
  <c r="J167" i="21"/>
  <c r="H165" i="21"/>
  <c r="H167" i="21"/>
  <c r="F165" i="21"/>
  <c r="F167" i="21"/>
  <c r="G277" i="21"/>
  <c r="D292" i="23"/>
  <c r="D294" i="23"/>
  <c r="D301" i="23"/>
  <c r="D304" i="23"/>
  <c r="H292" i="23"/>
  <c r="H294" i="23"/>
  <c r="H301" i="23"/>
  <c r="H304" i="23"/>
  <c r="L292" i="23"/>
  <c r="L294" i="23"/>
  <c r="L301" i="23"/>
  <c r="L304" i="23"/>
  <c r="E292" i="23"/>
  <c r="E294" i="23"/>
  <c r="E301" i="23"/>
  <c r="E304" i="23"/>
  <c r="I292" i="23"/>
  <c r="I294" i="23"/>
  <c r="I301" i="23"/>
  <c r="I304" i="23"/>
  <c r="M292" i="23"/>
  <c r="M294" i="23"/>
  <c r="M301" i="23"/>
  <c r="M304" i="23"/>
  <c r="F292" i="23"/>
  <c r="F294" i="23"/>
  <c r="F301" i="23"/>
  <c r="F304" i="23"/>
  <c r="J292" i="23"/>
  <c r="J294" i="23"/>
  <c r="J301" i="23"/>
  <c r="J304" i="23"/>
  <c r="C292" i="23"/>
  <c r="C294" i="23"/>
  <c r="C301" i="23"/>
  <c r="C304" i="23"/>
  <c r="G292" i="23"/>
  <c r="G294" i="23"/>
  <c r="G301" i="23"/>
  <c r="G304" i="23"/>
  <c r="K292" i="23"/>
  <c r="K294" i="23"/>
  <c r="K301" i="23"/>
  <c r="K304" i="23"/>
  <c r="B292" i="23"/>
  <c r="B294" i="23"/>
  <c r="J138" i="23"/>
  <c r="G265" i="23"/>
  <c r="J198" i="21"/>
  <c r="I189" i="21"/>
  <c r="I191" i="21"/>
  <c r="J192" i="21"/>
  <c r="D165" i="21"/>
  <c r="D167" i="21"/>
  <c r="B165" i="21"/>
  <c r="B167" i="21"/>
  <c r="G194" i="23"/>
  <c r="K272" i="21"/>
  <c r="K275" i="21"/>
  <c r="J276" i="21"/>
  <c r="D227" i="21"/>
  <c r="H227" i="21"/>
  <c r="C227" i="21"/>
  <c r="K227" i="21"/>
  <c r="I227" i="21"/>
  <c r="G227" i="21"/>
  <c r="F227" i="21"/>
  <c r="L227" i="21"/>
  <c r="K274" i="23"/>
  <c r="K277" i="23"/>
  <c r="L274" i="23"/>
  <c r="L277" i="23"/>
  <c r="J278" i="23"/>
  <c r="G229" i="23"/>
  <c r="F229" i="23"/>
  <c r="C229" i="23"/>
  <c r="D229" i="23"/>
  <c r="H229" i="23"/>
  <c r="J229" i="23"/>
  <c r="E229" i="23"/>
  <c r="M229" i="23"/>
  <c r="L229" i="23"/>
  <c r="K229" i="23"/>
  <c r="I229" i="23"/>
  <c r="B229" i="23"/>
  <c r="D33" i="23"/>
  <c r="D36" i="23"/>
  <c r="D37" i="23"/>
  <c r="D38" i="23"/>
  <c r="C37" i="23"/>
  <c r="G279" i="23"/>
  <c r="F228" i="21"/>
  <c r="E228" i="21"/>
  <c r="M228" i="21"/>
  <c r="J228" i="21"/>
  <c r="L228" i="21"/>
  <c r="H228" i="21"/>
  <c r="C228" i="21"/>
  <c r="I228" i="21"/>
  <c r="B228" i="21"/>
  <c r="K228" i="21"/>
  <c r="G228" i="21"/>
  <c r="D228" i="21"/>
  <c r="D201" i="21"/>
  <c r="D204" i="21"/>
  <c r="E201" i="21"/>
  <c r="E204" i="21"/>
  <c r="C205" i="21"/>
  <c r="H99" i="21"/>
  <c r="H100" i="21"/>
  <c r="H109" i="21"/>
  <c r="H112" i="21"/>
  <c r="J99" i="21"/>
  <c r="J100" i="21"/>
  <c r="J109" i="21"/>
  <c r="J112" i="21"/>
  <c r="E99" i="21"/>
  <c r="E100" i="21"/>
  <c r="E109" i="21"/>
  <c r="E112" i="21"/>
  <c r="G99" i="21"/>
  <c r="G100" i="21"/>
  <c r="G109" i="21"/>
  <c r="G112" i="21"/>
  <c r="M99" i="21"/>
  <c r="M100" i="21"/>
  <c r="M109" i="21"/>
  <c r="M112" i="21"/>
  <c r="B99" i="21"/>
  <c r="D99" i="21"/>
  <c r="D100" i="21"/>
  <c r="D109" i="21"/>
  <c r="D112" i="21"/>
  <c r="F99" i="21"/>
  <c r="F100" i="21"/>
  <c r="F109" i="21"/>
  <c r="F112" i="21"/>
  <c r="L99" i="21"/>
  <c r="L100" i="21"/>
  <c r="L109" i="21"/>
  <c r="L112" i="21"/>
  <c r="C99" i="21"/>
  <c r="C100" i="21"/>
  <c r="C109" i="21"/>
  <c r="C112" i="21"/>
  <c r="I99" i="21"/>
  <c r="I100" i="21"/>
  <c r="I109" i="21"/>
  <c r="I112" i="21"/>
  <c r="K99" i="21"/>
  <c r="K100" i="21"/>
  <c r="K109" i="21"/>
  <c r="K112" i="21"/>
  <c r="C230" i="23"/>
  <c r="M230" i="23"/>
  <c r="K230" i="23"/>
  <c r="B230" i="23"/>
  <c r="F230" i="23"/>
  <c r="F231" i="23"/>
  <c r="F237" i="23"/>
  <c r="F240" i="23"/>
  <c r="D230" i="23"/>
  <c r="H230" i="23"/>
  <c r="J230" i="23"/>
  <c r="L230" i="23"/>
  <c r="G230" i="23"/>
  <c r="I230" i="23"/>
  <c r="E230" i="23"/>
  <c r="B193" i="23"/>
  <c r="D194" i="23"/>
  <c r="N270" i="23"/>
  <c r="N157" i="21"/>
  <c r="M200" i="23"/>
  <c r="J167" i="23"/>
  <c r="J169" i="23"/>
  <c r="F167" i="23"/>
  <c r="F169" i="23"/>
  <c r="B167" i="23"/>
  <c r="B169" i="23"/>
  <c r="N269" i="23"/>
  <c r="M192" i="21"/>
  <c r="M194" i="23"/>
  <c r="N109" i="23"/>
  <c r="F33" i="21"/>
  <c r="F36" i="21"/>
  <c r="E37" i="21"/>
  <c r="I264" i="23"/>
  <c r="J265" i="23"/>
  <c r="D149" i="21"/>
  <c r="D150" i="21"/>
  <c r="E145" i="21"/>
  <c r="E148" i="21"/>
  <c r="C135" i="21"/>
  <c r="D37" i="21"/>
  <c r="D38" i="21"/>
  <c r="C267" i="21"/>
  <c r="C268" i="21"/>
  <c r="C266" i="21"/>
  <c r="D189" i="21"/>
  <c r="D190" i="21"/>
  <c r="G134" i="21"/>
  <c r="G142" i="21"/>
  <c r="G133" i="21"/>
  <c r="G135" i="21"/>
  <c r="G136" i="21"/>
  <c r="G141" i="21"/>
  <c r="G19" i="21"/>
  <c r="G27" i="21"/>
  <c r="D21" i="21"/>
  <c r="D28" i="21"/>
  <c r="D22" i="21"/>
  <c r="C149" i="21"/>
  <c r="K267" i="21"/>
  <c r="G266" i="21"/>
  <c r="F131" i="21"/>
  <c r="B27" i="21"/>
  <c r="J30" i="21"/>
  <c r="M258" i="21"/>
  <c r="M267" i="21"/>
  <c r="K261" i="21"/>
  <c r="K268" i="21"/>
  <c r="I258" i="21"/>
  <c r="I269" i="21"/>
  <c r="I266" i="21"/>
  <c r="G260" i="21"/>
  <c r="G262" i="21"/>
  <c r="G269" i="21"/>
  <c r="D258" i="21"/>
  <c r="D269" i="21"/>
  <c r="D260" i="21"/>
  <c r="D267" i="21"/>
  <c r="B266" i="21"/>
  <c r="B258" i="21"/>
  <c r="B269" i="21"/>
  <c r="B268" i="21"/>
  <c r="N255" i="21"/>
  <c r="M227" i="21"/>
  <c r="E227" i="21"/>
  <c r="B227" i="21"/>
  <c r="J227" i="21"/>
  <c r="K196" i="21"/>
  <c r="K198" i="21"/>
  <c r="F139" i="21"/>
  <c r="F134" i="21"/>
  <c r="D131" i="21"/>
  <c r="D134" i="21"/>
  <c r="H28" i="21"/>
  <c r="H30" i="21"/>
  <c r="H21" i="21"/>
  <c r="H23" i="21"/>
  <c r="H29" i="21"/>
  <c r="F27" i="21"/>
  <c r="F30" i="21"/>
  <c r="N128" i="21"/>
  <c r="N29" i="23"/>
  <c r="N144" i="23"/>
  <c r="N199" i="23"/>
  <c r="N197" i="23"/>
  <c r="N28" i="23"/>
  <c r="M138" i="23"/>
  <c r="M265" i="23"/>
  <c r="M24" i="23"/>
  <c r="N133" i="23"/>
  <c r="M24" i="21"/>
  <c r="J263" i="21"/>
  <c r="J24" i="21"/>
  <c r="N139" i="21"/>
  <c r="N261" i="21"/>
  <c r="N19" i="21"/>
  <c r="E147" i="23"/>
  <c r="E150" i="23"/>
  <c r="N99" i="23"/>
  <c r="N100" i="23"/>
  <c r="D138" i="23"/>
  <c r="D203" i="23"/>
  <c r="D206" i="23"/>
  <c r="E203" i="23"/>
  <c r="E206" i="23"/>
  <c r="N141" i="21"/>
  <c r="N262" i="23"/>
  <c r="N292" i="21"/>
  <c r="N191" i="23"/>
  <c r="N19" i="23"/>
  <c r="N197" i="21"/>
  <c r="N196" i="21"/>
  <c r="M136" i="21"/>
  <c r="N30" i="23"/>
  <c r="K229" i="21"/>
  <c r="K235" i="21"/>
  <c r="K238" i="21"/>
  <c r="E33" i="23"/>
  <c r="E36" i="23"/>
  <c r="F33" i="23"/>
  <c r="F36" i="23"/>
  <c r="K278" i="23"/>
  <c r="F229" i="21"/>
  <c r="F235" i="21"/>
  <c r="F238" i="21"/>
  <c r="N140" i="21"/>
  <c r="N136" i="23"/>
  <c r="M229" i="21"/>
  <c r="M235" i="21"/>
  <c r="M238" i="21"/>
  <c r="N142" i="21"/>
  <c r="N190" i="21"/>
  <c r="D136" i="21"/>
  <c r="N111" i="23"/>
  <c r="N114" i="23"/>
  <c r="N299" i="21"/>
  <c r="N302" i="21"/>
  <c r="N165" i="21"/>
  <c r="N167" i="21"/>
  <c r="J277" i="21"/>
  <c r="M263" i="21"/>
  <c r="N22" i="23"/>
  <c r="N141" i="23"/>
  <c r="N260" i="23"/>
  <c r="N263" i="23"/>
  <c r="N264" i="23"/>
  <c r="N27" i="23"/>
  <c r="N198" i="23"/>
  <c r="G24" i="21"/>
  <c r="N29" i="21"/>
  <c r="N134" i="21"/>
  <c r="N198" i="21"/>
  <c r="G263" i="21"/>
  <c r="N22" i="21"/>
  <c r="N290" i="21"/>
  <c r="N200" i="23"/>
  <c r="J279" i="23"/>
  <c r="G192" i="21"/>
  <c r="N189" i="23"/>
  <c r="N143" i="23"/>
  <c r="N194" i="23"/>
  <c r="N271" i="23"/>
  <c r="D205" i="21"/>
  <c r="D206" i="21"/>
  <c r="N138" i="23"/>
  <c r="D24" i="23"/>
  <c r="N24" i="23"/>
  <c r="J229" i="21"/>
  <c r="J235" i="21"/>
  <c r="J238" i="21"/>
  <c r="E229" i="21"/>
  <c r="E235" i="21"/>
  <c r="E238" i="21"/>
  <c r="N21" i="23"/>
  <c r="N192" i="23"/>
  <c r="N142" i="23"/>
  <c r="N268" i="23"/>
  <c r="N187" i="21"/>
  <c r="N135" i="23"/>
  <c r="N228" i="21"/>
  <c r="N30" i="21"/>
  <c r="N265" i="23"/>
  <c r="N231" i="23"/>
  <c r="N131" i="21"/>
  <c r="J231" i="23"/>
  <c r="J237" i="23"/>
  <c r="J240" i="23"/>
  <c r="N292" i="23"/>
  <c r="N195" i="21"/>
  <c r="D207" i="23"/>
  <c r="D208" i="23"/>
  <c r="B100" i="21"/>
  <c r="B109" i="21"/>
  <c r="B112" i="21"/>
  <c r="N99" i="21"/>
  <c r="N100" i="21"/>
  <c r="N109" i="21"/>
  <c r="N112" i="21"/>
  <c r="L272" i="21"/>
  <c r="L275" i="21"/>
  <c r="K276" i="21"/>
  <c r="N28" i="21"/>
  <c r="N230" i="23"/>
  <c r="I231" i="23"/>
  <c r="I237" i="23"/>
  <c r="I240" i="23"/>
  <c r="L231" i="23"/>
  <c r="L237" i="23"/>
  <c r="L240" i="23"/>
  <c r="E231" i="23"/>
  <c r="E237" i="23"/>
  <c r="E240" i="23"/>
  <c r="H231" i="23"/>
  <c r="H237" i="23"/>
  <c r="H240" i="23"/>
  <c r="C231" i="23"/>
  <c r="C237" i="23"/>
  <c r="C240" i="23"/>
  <c r="G231" i="23"/>
  <c r="G237" i="23"/>
  <c r="G240" i="23"/>
  <c r="I229" i="21"/>
  <c r="I235" i="21"/>
  <c r="I238" i="21"/>
  <c r="C229" i="21"/>
  <c r="C235" i="21"/>
  <c r="C238" i="21"/>
  <c r="D229" i="21"/>
  <c r="D235" i="21"/>
  <c r="D238" i="21"/>
  <c r="N229" i="23"/>
  <c r="B231" i="23"/>
  <c r="B237" i="23"/>
  <c r="N269" i="21"/>
  <c r="N266" i="21"/>
  <c r="K231" i="23"/>
  <c r="K237" i="23"/>
  <c r="K240" i="23"/>
  <c r="M231" i="23"/>
  <c r="M237" i="23"/>
  <c r="M240" i="23"/>
  <c r="D231" i="23"/>
  <c r="D237" i="23"/>
  <c r="D240" i="23"/>
  <c r="L229" i="21"/>
  <c r="L235" i="21"/>
  <c r="L238" i="21"/>
  <c r="G229" i="21"/>
  <c r="G235" i="21"/>
  <c r="G238" i="21"/>
  <c r="H229" i="21"/>
  <c r="H235" i="21"/>
  <c r="H238" i="21"/>
  <c r="D262" i="21"/>
  <c r="D263" i="21"/>
  <c r="N260" i="21"/>
  <c r="N262" i="21"/>
  <c r="D23" i="21"/>
  <c r="D24" i="21"/>
  <c r="N21" i="21"/>
  <c r="D191" i="21"/>
  <c r="D192" i="21"/>
  <c r="N189" i="21"/>
  <c r="F201" i="21"/>
  <c r="F204" i="21"/>
  <c r="E205" i="21"/>
  <c r="G33" i="21"/>
  <c r="G36" i="21"/>
  <c r="F37" i="21"/>
  <c r="N27" i="21"/>
  <c r="N133" i="21"/>
  <c r="B229" i="21"/>
  <c r="B235" i="21"/>
  <c r="N227" i="21"/>
  <c r="N229" i="21"/>
  <c r="B301" i="23"/>
  <c r="B304" i="23"/>
  <c r="N294" i="23"/>
  <c r="N301" i="23"/>
  <c r="N304" i="23"/>
  <c r="E37" i="23"/>
  <c r="M274" i="23"/>
  <c r="M277" i="23"/>
  <c r="L278" i="23"/>
  <c r="F147" i="23"/>
  <c r="F150" i="23"/>
  <c r="E151" i="23"/>
  <c r="F145" i="21"/>
  <c r="F148" i="21"/>
  <c r="E149" i="21"/>
  <c r="N268" i="21"/>
  <c r="N258" i="21"/>
  <c r="N267" i="21"/>
  <c r="N192" i="21"/>
  <c r="N193" i="23"/>
  <c r="N136" i="21"/>
  <c r="N137" i="23"/>
  <c r="N191" i="21"/>
  <c r="N23" i="21"/>
  <c r="N24" i="21"/>
  <c r="N23" i="23"/>
  <c r="N135" i="21"/>
  <c r="N263" i="21"/>
  <c r="F203" i="23"/>
  <c r="F206" i="23"/>
  <c r="E207" i="23"/>
  <c r="B240" i="23"/>
  <c r="N237" i="23"/>
  <c r="N240" i="23"/>
  <c r="M272" i="21"/>
  <c r="M275" i="21"/>
  <c r="L276" i="21"/>
  <c r="G145" i="21"/>
  <c r="G148" i="21"/>
  <c r="F149" i="21"/>
  <c r="G147" i="23"/>
  <c r="G150" i="23"/>
  <c r="F151" i="23"/>
  <c r="N274" i="23"/>
  <c r="M278" i="23"/>
  <c r="M279" i="23"/>
  <c r="G33" i="23"/>
  <c r="G36" i="23"/>
  <c r="F37" i="23"/>
  <c r="B238" i="21"/>
  <c r="N235" i="21"/>
  <c r="N238" i="21"/>
  <c r="H33" i="21"/>
  <c r="H36" i="21"/>
  <c r="G37" i="21"/>
  <c r="G38" i="21"/>
  <c r="G201" i="21"/>
  <c r="G204" i="21"/>
  <c r="F205" i="21"/>
  <c r="F207" i="23"/>
  <c r="G203" i="23"/>
  <c r="G206" i="23"/>
  <c r="M276" i="21"/>
  <c r="M277" i="21"/>
  <c r="N272" i="21"/>
  <c r="H201" i="21"/>
  <c r="H204" i="21"/>
  <c r="G205" i="21"/>
  <c r="G206" i="21"/>
  <c r="I33" i="21"/>
  <c r="I36" i="21"/>
  <c r="H37" i="21"/>
  <c r="H33" i="23"/>
  <c r="H36" i="23"/>
  <c r="G37" i="23"/>
  <c r="G38" i="23"/>
  <c r="G151" i="23"/>
  <c r="G152" i="23"/>
  <c r="H147" i="23"/>
  <c r="H150" i="23"/>
  <c r="G149" i="21"/>
  <c r="G150" i="21"/>
  <c r="H145" i="21"/>
  <c r="H148" i="21"/>
  <c r="H203" i="23"/>
  <c r="H206" i="23"/>
  <c r="G207" i="23"/>
  <c r="G208" i="23"/>
  <c r="I145" i="21"/>
  <c r="I148" i="21"/>
  <c r="H149" i="21"/>
  <c r="I147" i="23"/>
  <c r="I150" i="23"/>
  <c r="H151" i="23"/>
  <c r="I33" i="23"/>
  <c r="I36" i="23"/>
  <c r="H37" i="23"/>
  <c r="I37" i="21"/>
  <c r="J33" i="21"/>
  <c r="J36" i="21"/>
  <c r="I201" i="21"/>
  <c r="I204" i="21"/>
  <c r="H205" i="21"/>
  <c r="I203" i="23"/>
  <c r="I206" i="23"/>
  <c r="H207" i="23"/>
  <c r="J33" i="23"/>
  <c r="J36" i="23"/>
  <c r="I37" i="23"/>
  <c r="J147" i="23"/>
  <c r="J150" i="23"/>
  <c r="I151" i="23"/>
  <c r="J145" i="21"/>
  <c r="J148" i="21"/>
  <c r="I149" i="21"/>
  <c r="J201" i="21"/>
  <c r="J204" i="21"/>
  <c r="I205" i="21"/>
  <c r="K33" i="21"/>
  <c r="K36" i="21"/>
  <c r="J37" i="21"/>
  <c r="J38" i="21"/>
  <c r="I207" i="23"/>
  <c r="J203" i="23"/>
  <c r="J206" i="23"/>
  <c r="K145" i="21"/>
  <c r="K148" i="21"/>
  <c r="J149" i="21"/>
  <c r="J150" i="21"/>
  <c r="J151" i="23"/>
  <c r="J152" i="23"/>
  <c r="K147" i="23"/>
  <c r="K150" i="23"/>
  <c r="L33" i="21"/>
  <c r="L36" i="21"/>
  <c r="K37" i="21"/>
  <c r="J205" i="21"/>
  <c r="J206" i="21"/>
  <c r="K201" i="21"/>
  <c r="K204" i="21"/>
  <c r="J37" i="23"/>
  <c r="J38" i="23"/>
  <c r="K33" i="23"/>
  <c r="K36" i="23"/>
  <c r="J207" i="23"/>
  <c r="J208" i="23"/>
  <c r="K203" i="23"/>
  <c r="K206" i="23"/>
  <c r="L37" i="21"/>
  <c r="M33" i="21"/>
  <c r="M36" i="21"/>
  <c r="L145" i="21"/>
  <c r="L148" i="21"/>
  <c r="K149" i="21"/>
  <c r="L33" i="23"/>
  <c r="L36" i="23"/>
  <c r="K37" i="23"/>
  <c r="L201" i="21"/>
  <c r="L204" i="21"/>
  <c r="K205" i="21"/>
  <c r="L147" i="23"/>
  <c r="L150" i="23"/>
  <c r="K151" i="23"/>
  <c r="L203" i="23"/>
  <c r="L206" i="23"/>
  <c r="K207" i="23"/>
  <c r="M33" i="23"/>
  <c r="M36" i="23"/>
  <c r="L37" i="23"/>
  <c r="M145" i="21"/>
  <c r="M148" i="21"/>
  <c r="L149" i="21"/>
  <c r="L151" i="23"/>
  <c r="M147" i="23"/>
  <c r="M150" i="23"/>
  <c r="M201" i="21"/>
  <c r="M204" i="21"/>
  <c r="L205" i="21"/>
  <c r="M37" i="21"/>
  <c r="M38" i="21"/>
  <c r="N33" i="21"/>
  <c r="N36" i="21"/>
  <c r="M203" i="23"/>
  <c r="M206" i="23"/>
  <c r="L207" i="23"/>
  <c r="M205" i="21"/>
  <c r="M206" i="21"/>
  <c r="N201" i="21"/>
  <c r="M149" i="21"/>
  <c r="M150" i="21"/>
  <c r="N145" i="21"/>
  <c r="M37" i="23"/>
  <c r="M38" i="23"/>
  <c r="N33" i="23"/>
  <c r="N36" i="23"/>
  <c r="N147" i="23"/>
  <c r="M151" i="23"/>
  <c r="M152" i="23"/>
  <c r="N203" i="23"/>
  <c r="M207" i="23"/>
  <c r="M208" i="23"/>
  <c r="L112" i="76"/>
  <c r="L113" i="76"/>
  <c r="L125" i="76"/>
  <c r="K112" i="76"/>
  <c r="K113" i="76"/>
  <c r="K125" i="76"/>
  <c r="H112" i="76"/>
  <c r="H113" i="76"/>
  <c r="H125" i="76"/>
  <c r="C112" i="76"/>
  <c r="M112" i="76"/>
  <c r="M113" i="76"/>
  <c r="M125" i="76"/>
  <c r="J112" i="76"/>
  <c r="J113" i="76"/>
  <c r="J125" i="76"/>
  <c r="G112" i="76"/>
  <c r="G113" i="76"/>
  <c r="G125" i="76"/>
  <c r="I112" i="76"/>
  <c r="I113" i="76"/>
  <c r="I125" i="76"/>
  <c r="D112" i="76"/>
  <c r="D113" i="76"/>
  <c r="D125" i="76"/>
  <c r="E112" i="76"/>
  <c r="E113" i="76"/>
  <c r="E125" i="76"/>
  <c r="F112" i="76"/>
  <c r="F113" i="76"/>
  <c r="F125" i="76"/>
  <c r="N112" i="76"/>
  <c r="N113" i="76"/>
  <c r="N125" i="76"/>
  <c r="E142" i="76"/>
  <c r="D358" i="76"/>
  <c r="D362" i="76"/>
  <c r="J142" i="76"/>
  <c r="I358" i="76"/>
  <c r="I362" i="76"/>
  <c r="K142" i="76"/>
  <c r="J358" i="76"/>
  <c r="J362" i="76"/>
  <c r="F142" i="76"/>
  <c r="E358" i="76"/>
  <c r="E362" i="76"/>
  <c r="G142" i="76"/>
  <c r="F358" i="76"/>
  <c r="F362" i="76"/>
  <c r="H142" i="76"/>
  <c r="G358" i="76"/>
  <c r="G362" i="76"/>
  <c r="N142" i="76"/>
  <c r="M358" i="76"/>
  <c r="M362" i="76"/>
  <c r="I142" i="76"/>
  <c r="H358" i="76"/>
  <c r="H362" i="76"/>
  <c r="D142" i="76"/>
  <c r="C358" i="76"/>
  <c r="C362" i="76"/>
  <c r="M142" i="76"/>
  <c r="L358" i="76"/>
  <c r="L362" i="76"/>
  <c r="L142" i="76"/>
  <c r="K358" i="76"/>
  <c r="K362" i="76"/>
  <c r="C113" i="76"/>
  <c r="O112" i="76"/>
  <c r="C125" i="76"/>
  <c r="C142" i="76"/>
  <c r="O142" i="76"/>
  <c r="O113" i="76"/>
  <c r="O125" i="76"/>
  <c r="N358" i="76"/>
  <c r="N362" i="76"/>
  <c r="B358" i="76"/>
  <c r="B362" i="76"/>
  <c r="F101" i="78"/>
  <c r="N75" i="78"/>
  <c r="N102" i="78"/>
  <c r="N106" i="78"/>
  <c r="N104" i="78"/>
  <c r="O106" i="78"/>
  <c r="N108" i="78"/>
  <c r="O108" i="78"/>
  <c r="L113" i="78"/>
  <c r="L114" i="78"/>
  <c r="L126" i="78"/>
  <c r="L143" i="78"/>
  <c r="K360" i="78"/>
  <c r="K364" i="78"/>
  <c r="G113" i="78"/>
  <c r="G114" i="78"/>
  <c r="G126" i="78"/>
  <c r="G143" i="78"/>
  <c r="F360" i="78"/>
  <c r="F364" i="78"/>
  <c r="E113" i="78"/>
  <c r="E114" i="78"/>
  <c r="E126" i="78"/>
  <c r="E143" i="78"/>
  <c r="D360" i="78"/>
  <c r="D364" i="78"/>
  <c r="J113" i="78"/>
  <c r="J114" i="78"/>
  <c r="J126" i="78"/>
  <c r="J143" i="78"/>
  <c r="I360" i="78"/>
  <c r="I364" i="78"/>
  <c r="M113" i="78"/>
  <c r="M114" i="78"/>
  <c r="M126" i="78"/>
  <c r="M143" i="78"/>
  <c r="L360" i="78"/>
  <c r="L364" i="78"/>
  <c r="H113" i="78"/>
  <c r="H114" i="78"/>
  <c r="H126" i="78"/>
  <c r="H143" i="78"/>
  <c r="G360" i="78"/>
  <c r="G364" i="78"/>
  <c r="F113" i="78"/>
  <c r="F114" i="78"/>
  <c r="F126" i="78"/>
  <c r="F143" i="78"/>
  <c r="E360" i="78"/>
  <c r="E364" i="78"/>
  <c r="D113" i="78"/>
  <c r="D114" i="78"/>
  <c r="D126" i="78"/>
  <c r="D143" i="78"/>
  <c r="C360" i="78"/>
  <c r="C364" i="78"/>
  <c r="C113" i="78"/>
  <c r="K113" i="78"/>
  <c r="K114" i="78"/>
  <c r="K126" i="78"/>
  <c r="K143" i="78"/>
  <c r="J360" i="78"/>
  <c r="J364" i="78"/>
  <c r="I113" i="78"/>
  <c r="I114" i="78"/>
  <c r="I126" i="78"/>
  <c r="I143" i="78"/>
  <c r="H360" i="78"/>
  <c r="H364" i="78"/>
  <c r="N113" i="78"/>
  <c r="N114" i="78"/>
  <c r="N126" i="78"/>
  <c r="N143" i="78"/>
  <c r="M360" i="78"/>
  <c r="M364" i="78"/>
  <c r="C114" i="78"/>
  <c r="O113" i="78"/>
  <c r="C126" i="78"/>
  <c r="O114" i="78"/>
  <c r="O126" i="78"/>
  <c r="C143" i="78"/>
  <c r="O143" i="78"/>
  <c r="N360" i="78"/>
  <c r="N364" i="78"/>
  <c r="B360" i="78"/>
  <c r="B364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 Larsen</author>
    <author>flniel</author>
  </authors>
  <commentList>
    <comment ref="B116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Skolesupport, BR-møder, udlejning, Ad hoc rundering, Arrangementer
B&amp;U, rundvisninger
Kun interne kunder</t>
        </r>
      </text>
    </comment>
    <comment ref="B117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Rådhusnøgler + ID kort og brik</t>
        </r>
      </text>
    </comment>
    <comment ref="B119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 Tårntur, omvisninger
Billtto</t>
        </r>
      </text>
    </comment>
    <comment ref="B12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Særomvisninger og 
Alle eksterne kunder</t>
        </r>
      </text>
    </comment>
    <comment ref="B129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Lygter, Batterier, radioer, vagtting
</t>
        </r>
      </text>
    </comment>
    <comment ref="B130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Møbler, stole osv
</t>
        </r>
      </text>
    </comment>
    <comment ref="B132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Sendetilladelser
Og andre småting</t>
        </r>
      </text>
    </comment>
    <comment ref="B133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Duge, vin
(indtægt fra bl.a. omvisniger)
Abb. radioer</t>
        </r>
      </text>
    </comment>
    <comment ref="B13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Pandekager, flytning andre eksterne leverandører</t>
        </r>
      </text>
    </comment>
    <comment ref="A196" authorId="1" shapeId="0" xr:uid="{00000000-0006-0000-0600-00000A000000}">
      <text>
        <r>
          <rPr>
            <b/>
            <sz val="8"/>
            <color indexed="81"/>
            <rFont val="Tahoma"/>
            <family val="2"/>
          </rPr>
          <t>Indeholdt hjemmeværnspenge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6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Pakkepost
får udgift på anden konto
Ad hoc postkørsel
Br møder - arrangementer</t>
        </r>
      </text>
    </comment>
    <comment ref="B257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Eksterne kunder, 
</t>
        </r>
      </text>
    </comment>
    <comment ref="B264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4 biler
Er posteret under 98400 </t>
        </r>
      </text>
    </comment>
    <comment ref="B265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Sako, grønne afgifter
P-abonnement
</t>
        </r>
      </text>
    </comment>
    <comment ref="B266" authorId="0" shapeId="0" xr:uid="{00000000-0006-0000-0600-00000F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Ny bil
</t>
        </r>
      </text>
    </comment>
    <comment ref="B269" authorId="0" shapeId="0" xr:uid="{00000000-0006-0000-0600-000010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Rengøring og kaffeautomat
</t>
        </r>
      </text>
    </comment>
    <comment ref="B270" authorId="0" shapeId="0" xr:uid="{00000000-0006-0000-0600-000011000000}">
      <text>
        <r>
          <rPr>
            <b/>
            <sz val="9"/>
            <color indexed="81"/>
            <rFont val="Tahoma"/>
            <family val="2"/>
          </rPr>
          <t>Kurser
Leje af bil
Leverandør regninger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71" authorId="0" shapeId="0" xr:uid="{00000000-0006-0000-0600-000012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Postafhentning
Kaffeautomat
</t>
        </r>
      </text>
    </comment>
    <comment ref="B272" authorId="0" shapeId="0" xr:uid="{00000000-0006-0000-0600-000013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Diverse til afdelingen
Bilpleje</t>
        </r>
      </text>
    </comment>
    <comment ref="B274" authorId="0" shapeId="0" xr:uid="{00000000-0006-0000-0600-000014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Pakkepost
får indtægt på anden konto
</t>
        </r>
      </text>
    </comment>
    <comment ref="B276" authorId="0" shapeId="0" xr:uid="{00000000-0006-0000-0600-000015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frankeringsmaskine
Leje af biler</t>
        </r>
      </text>
    </comment>
    <comment ref="B340" authorId="0" shapeId="0" xr:uid="{00000000-0006-0000-0600-000016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Ekstra skanningsopgaver</t>
        </r>
      </text>
    </comment>
    <comment ref="B347" authorId="0" shapeId="0" xr:uid="{00000000-0006-0000-0600-000017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49" authorId="0" shapeId="0" xr:uid="{00000000-0006-0000-0600-000018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0" authorId="0" shapeId="0" xr:uid="{00000000-0006-0000-0600-000019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Skannere, kopimaskine
</t>
        </r>
      </text>
    </comment>
    <comment ref="B351" authorId="0" shapeId="0" xr:uid="{00000000-0006-0000-0600-00001A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Toner, blandet varekøb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 Larsen</author>
    <author>flniel</author>
  </authors>
  <commentList>
    <comment ref="B119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 Tårntur, omvisninger
Billtto</t>
        </r>
      </text>
    </comment>
    <comment ref="B12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Særomvisninger og 
Alle eksterne kunder</t>
        </r>
      </text>
    </comment>
    <comment ref="B129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Lygter, Batterier, radioer, vagtting
</t>
        </r>
      </text>
    </comment>
    <comment ref="B130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Møbler, stole osv
</t>
        </r>
      </text>
    </comment>
    <comment ref="B132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Sendetilladelser
Og andre småting</t>
        </r>
      </text>
    </comment>
    <comment ref="B133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Duge, vin
(indtægt fra bl.a. omvisniger)
Abb. radioer</t>
        </r>
      </text>
    </comment>
    <comment ref="B13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Pandekager, flytning andre eksterne leverandører</t>
        </r>
      </text>
    </comment>
    <comment ref="H138" authorId="1" shapeId="0" xr:uid="{00000000-0006-0000-0700-00000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Akut og langtidssygdom</t>
        </r>
      </text>
    </comment>
    <comment ref="I138" authorId="1" shapeId="0" xr:uid="{00000000-0006-0000-0700-00000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akut sygdom og matthæusgade</t>
        </r>
      </text>
    </comment>
    <comment ref="J138" authorId="1" shapeId="0" xr:uid="{00000000-0006-0000-0700-00000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ferie</t>
        </r>
      </text>
    </comment>
    <comment ref="A196" authorId="1" shapeId="0" xr:uid="{00000000-0006-0000-0700-00000B000000}">
      <text>
        <r>
          <rPr>
            <b/>
            <sz val="8"/>
            <color indexed="81"/>
            <rFont val="Tahoma"/>
            <family val="2"/>
          </rPr>
          <t>Indeholdt hjemmeværnspenge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Pakkepost
får udgift på anden konto
Ad hoc postkørsel
Br møder - arrangementer</t>
        </r>
      </text>
    </comment>
    <comment ref="B25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Eksterne kunder, 
</t>
        </r>
      </text>
    </comment>
    <comment ref="B264" authorId="0" shapeId="0" xr:uid="{00000000-0006-0000-0700-00000E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4 biler
Er posteret under 98400 </t>
        </r>
      </text>
    </comment>
    <comment ref="B265" authorId="0" shapeId="0" xr:uid="{00000000-0006-0000-0700-00000F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Sako, grønne afgifter
P-abonnement
</t>
        </r>
      </text>
    </comment>
    <comment ref="B266" authorId="0" shapeId="0" xr:uid="{00000000-0006-0000-0700-000010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Ny bil
</t>
        </r>
      </text>
    </comment>
    <comment ref="B269" authorId="0" shapeId="0" xr:uid="{00000000-0006-0000-0700-000011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Rengøring og kaffeautomat
</t>
        </r>
      </text>
    </comment>
    <comment ref="B270" authorId="0" shapeId="0" xr:uid="{00000000-0006-0000-0700-000012000000}">
      <text>
        <r>
          <rPr>
            <b/>
            <sz val="9"/>
            <color indexed="81"/>
            <rFont val="Tahoma"/>
            <family val="2"/>
          </rPr>
          <t>Kurser
Leje af bil
Leverandør regninger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71" authorId="0" shapeId="0" xr:uid="{00000000-0006-0000-0700-000013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Postafhentning
Kaffeautomat
</t>
        </r>
      </text>
    </comment>
    <comment ref="B272" authorId="0" shapeId="0" xr:uid="{00000000-0006-0000-0700-000014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Diverse til afdelingen
Bilpleje</t>
        </r>
      </text>
    </comment>
    <comment ref="B274" authorId="0" shapeId="0" xr:uid="{00000000-0006-0000-0700-000015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Pakkepost
får indtægt på anden konto
</t>
        </r>
      </text>
    </comment>
    <comment ref="B276" authorId="0" shapeId="0" xr:uid="{00000000-0006-0000-0700-000016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frankeringsmaskine
Leje af biler</t>
        </r>
      </text>
    </comment>
    <comment ref="B340" authorId="0" shapeId="0" xr:uid="{00000000-0006-0000-0700-000017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Ekstra skanningsopgaver</t>
        </r>
      </text>
    </comment>
    <comment ref="B347" authorId="0" shapeId="0" xr:uid="{00000000-0006-0000-0700-000018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49" authorId="0" shapeId="0" xr:uid="{00000000-0006-0000-0700-000019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0" authorId="0" shapeId="0" xr:uid="{00000000-0006-0000-0700-00001A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Skannere, kopimaskine
</t>
        </r>
      </text>
    </comment>
    <comment ref="B351" authorId="0" shapeId="0" xr:uid="{00000000-0006-0000-0700-00001B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Toner, blandet varekøb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 Larsen</author>
    <author>flniel</author>
  </authors>
  <commentList>
    <comment ref="B116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Skolesupport, BR-møder, udlejning, Ad hoc rundering, Arrangementer
B&amp;U, rundvisninger
Kun interne kunder</t>
        </r>
      </text>
    </comment>
    <comment ref="B117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Rådhusnøgler + ID kort og brik</t>
        </r>
      </text>
    </comment>
    <comment ref="B119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 Tårntur, omvisninger
Billtto</t>
        </r>
      </text>
    </comment>
    <comment ref="B120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Særomvisninger og 
Alle eksterne kunder</t>
        </r>
      </text>
    </comment>
    <comment ref="B12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Lygter, Batterier, radioer, vagtting
</t>
        </r>
      </text>
    </comment>
    <comment ref="B13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Møbler, stole osv
</t>
        </r>
      </text>
    </comment>
    <comment ref="B132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Sendetilladelser
Og andre småting</t>
        </r>
      </text>
    </comment>
    <comment ref="B133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Duge, vin
(indtægt fra bl.a. omvisniger)
Abb. radioer</t>
        </r>
      </text>
    </comment>
    <comment ref="B135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Pandekager, flytning andre eksterne leverandører</t>
        </r>
      </text>
    </comment>
    <comment ref="H138" authorId="1" shapeId="0" xr:uid="{00000000-0006-0000-0800-00000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Akut og langtidssygdom</t>
        </r>
      </text>
    </comment>
    <comment ref="I138" authorId="1" shapeId="0" xr:uid="{00000000-0006-0000-0800-00000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akut sygdom og matthæusgade</t>
        </r>
      </text>
    </comment>
    <comment ref="J138" authorId="1" shapeId="0" xr:uid="{00000000-0006-0000-0800-00000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ferie</t>
        </r>
      </text>
    </comment>
    <comment ref="A196" authorId="1" shapeId="0" xr:uid="{00000000-0006-0000-0800-00000D000000}">
      <text>
        <r>
          <rPr>
            <b/>
            <sz val="8"/>
            <color indexed="81"/>
            <rFont val="Tahoma"/>
            <family val="2"/>
          </rPr>
          <t>Indeholdt hjemmeværnspenge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6" authorId="0" shapeId="0" xr:uid="{00000000-0006-0000-0800-00000E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Pakkepost
får udgift på anden konto
Ad hoc postkørsel
Br møder - arrangementer</t>
        </r>
      </text>
    </comment>
    <comment ref="B257" authorId="0" shapeId="0" xr:uid="{00000000-0006-0000-0800-00000F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Eksterne kunder, 
</t>
        </r>
      </text>
    </comment>
    <comment ref="B264" authorId="0" shapeId="0" xr:uid="{00000000-0006-0000-0800-000010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4 biler
Er posteret under 98400 </t>
        </r>
      </text>
    </comment>
    <comment ref="B265" authorId="0" shapeId="0" xr:uid="{00000000-0006-0000-0800-000011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Sako, grønne afgifter
P-abonnement
</t>
        </r>
      </text>
    </comment>
    <comment ref="B266" authorId="0" shapeId="0" xr:uid="{00000000-0006-0000-0800-000012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Ny bil
</t>
        </r>
      </text>
    </comment>
    <comment ref="B269" authorId="0" shapeId="0" xr:uid="{00000000-0006-0000-0800-000013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Rengøring og kaffeautomat
</t>
        </r>
      </text>
    </comment>
    <comment ref="B270" authorId="0" shapeId="0" xr:uid="{00000000-0006-0000-0800-000014000000}">
      <text>
        <r>
          <rPr>
            <b/>
            <sz val="9"/>
            <color indexed="81"/>
            <rFont val="Tahoma"/>
            <family val="2"/>
          </rPr>
          <t>Kurser
Leje af bil
Leverandør regninger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71" authorId="0" shapeId="0" xr:uid="{00000000-0006-0000-0800-000015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Postafhentning
Kaffeautomat
</t>
        </r>
      </text>
    </comment>
    <comment ref="B272" authorId="0" shapeId="0" xr:uid="{00000000-0006-0000-0800-000016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Diverse til afdelingen
Bilpleje</t>
        </r>
      </text>
    </comment>
    <comment ref="B274" authorId="0" shapeId="0" xr:uid="{00000000-0006-0000-0800-000017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Pakkepost
får indtægt på anden konto
</t>
        </r>
      </text>
    </comment>
    <comment ref="B276" authorId="0" shapeId="0" xr:uid="{00000000-0006-0000-0800-000018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frankeringsmaskine
Leje af biler</t>
        </r>
      </text>
    </comment>
    <comment ref="B340" authorId="0" shapeId="0" xr:uid="{00000000-0006-0000-0800-000019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Ekstra skanningsopgaver</t>
        </r>
      </text>
    </comment>
    <comment ref="B347" authorId="0" shapeId="0" xr:uid="{00000000-0006-0000-0800-00001A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49" authorId="0" shapeId="0" xr:uid="{00000000-0006-0000-0800-00001B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0" authorId="0" shapeId="0" xr:uid="{00000000-0006-0000-0800-00001C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Skannere, kopimaskine
</t>
        </r>
      </text>
    </comment>
    <comment ref="B351" authorId="0" shapeId="0" xr:uid="{00000000-0006-0000-0800-00001D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Toner, blandet varekøb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 Larsen</author>
    <author>flniel</author>
    <author>jilars</author>
  </authors>
  <commentList>
    <comment ref="B115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Skolesupport, BR-møder, udlejning, Ad hoc rundering, Arrangementer
B&amp;U
Kun interne kunder</t>
        </r>
      </text>
    </comment>
    <comment ref="B116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Rådhusnøgler + ID kort og brik</t>
        </r>
      </text>
    </comment>
    <comment ref="B118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 Tårntur, omvisninger</t>
        </r>
      </text>
    </comment>
    <comment ref="B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Særomvisninger og Billtto
Alle eksterne kunder</t>
        </r>
      </text>
    </comment>
    <comment ref="B128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Lygter, Batterier, radioer, vagtting
</t>
        </r>
      </text>
    </comment>
    <comment ref="B129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Møbler, stole osv
</t>
        </r>
      </text>
    </comment>
    <comment ref="B13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Sendetilladelser
Og andre småting</t>
        </r>
      </text>
    </comment>
    <comment ref="B132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Duge, vin
(indtægt fra bl.a. omvisniger)</t>
        </r>
      </text>
    </comment>
    <comment ref="B134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Pandekager, flytning andre eksterne leverandører</t>
        </r>
      </text>
    </comment>
    <comment ref="A195" authorId="1" shapeId="0" xr:uid="{00000000-0006-0000-0900-00000A000000}">
      <text>
        <r>
          <rPr>
            <b/>
            <sz val="8"/>
            <color indexed="81"/>
            <rFont val="Tahoma"/>
            <family val="2"/>
          </rPr>
          <t>Indeholdt hjemmeværnspenge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4" authorId="2" shapeId="0" xr:uid="{00000000-0006-0000-0900-00000B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Samme konto som kontrakerne</t>
        </r>
      </text>
    </comment>
    <comment ref="B255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Pakkepost
får udgift på anden konto
Ad hoc postkørsel
Br møder - arrangementer</t>
        </r>
      </text>
    </comment>
    <comment ref="B256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Eksterne kunder, 
</t>
        </r>
      </text>
    </comment>
    <comment ref="B263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4 biler
Er posteret under 98400 </t>
        </r>
      </text>
    </comment>
    <comment ref="B264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Sako, grønne afgifter
P-abonnement
</t>
        </r>
      </text>
    </comment>
    <comment ref="B265" authorId="0" shapeId="0" xr:uid="{00000000-0006-0000-0900-000010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Ny bil
</t>
        </r>
      </text>
    </comment>
    <comment ref="B268" authorId="0" shapeId="0" xr:uid="{00000000-0006-0000-0900-000011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Rengøring og kaffeautomat
</t>
        </r>
      </text>
    </comment>
    <comment ref="B269" authorId="0" shapeId="0" xr:uid="{00000000-0006-0000-0900-000012000000}">
      <text>
        <r>
          <rPr>
            <b/>
            <sz val="9"/>
            <color indexed="81"/>
            <rFont val="Tahoma"/>
            <family val="2"/>
          </rPr>
          <t>Kurser
Leje af bil</t>
        </r>
        <r>
          <rPr>
            <sz val="9"/>
            <color indexed="81"/>
            <rFont val="Tahoma"/>
            <family val="2"/>
          </rPr>
          <t xml:space="preserve">
Leverandør regninger</t>
        </r>
      </text>
    </comment>
    <comment ref="B270" authorId="0" shapeId="0" xr:uid="{00000000-0006-0000-0900-000013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Postafhentning
Kaffeautomat
</t>
        </r>
      </text>
    </comment>
    <comment ref="B271" authorId="0" shapeId="0" xr:uid="{00000000-0006-0000-0900-000014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Diverse til afdelingen
Bilpleje</t>
        </r>
      </text>
    </comment>
    <comment ref="B273" authorId="0" shapeId="0" xr:uid="{00000000-0006-0000-0900-000015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Pakkepost
får indtægt på anden konto
</t>
        </r>
      </text>
    </comment>
    <comment ref="B274" authorId="0" shapeId="0" xr:uid="{00000000-0006-0000-0900-000016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frankeringsmaskine
Leje af biler</t>
        </r>
      </text>
    </comment>
    <comment ref="B338" authorId="0" shapeId="0" xr:uid="{00000000-0006-0000-0900-000017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Ekstra skanningsopgaver</t>
        </r>
      </text>
    </comment>
    <comment ref="B345" authorId="0" shapeId="0" xr:uid="{00000000-0006-0000-0900-000018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47" authorId="0" shapeId="0" xr:uid="{00000000-0006-0000-0900-000019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48" authorId="0" shapeId="0" xr:uid="{00000000-0006-0000-0900-00001A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Skannere, kopimaskine
</t>
        </r>
      </text>
    </comment>
    <comment ref="B349" authorId="0" shapeId="0" xr:uid="{00000000-0006-0000-0900-00001B000000}">
      <text>
        <r>
          <rPr>
            <b/>
            <sz val="9"/>
            <color indexed="81"/>
            <rFont val="Tahoma"/>
            <family val="2"/>
          </rPr>
          <t>Per Larsen:</t>
        </r>
        <r>
          <rPr>
            <sz val="9"/>
            <color indexed="81"/>
            <rFont val="Tahoma"/>
            <family val="2"/>
          </rPr>
          <t xml:space="preserve">
Toner, blandet varekøb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</authors>
  <commentList>
    <comment ref="A182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Indeholdt hjemmeværnspenge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</authors>
  <commentList>
    <comment ref="A182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Indeholdt hjemmeværnspenge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<sst xmlns="http://schemas.openxmlformats.org/spreadsheetml/2006/main" count="4221" uniqueCount="434">
  <si>
    <t>Timepriser i Rådhusservice 2014</t>
  </si>
  <si>
    <t xml:space="preserve"> </t>
  </si>
  <si>
    <t>Timepris</t>
  </si>
  <si>
    <t>Teknisk
 service</t>
  </si>
  <si>
    <t>Servering</t>
  </si>
  <si>
    <r>
      <t>Normal timepris</t>
    </r>
    <r>
      <rPr>
        <sz val="14"/>
        <rFont val="Arial"/>
        <family val="2"/>
      </rPr>
      <t xml:space="preserve"> ved arrangementer mv.   Kl. 0600 - 1700 på hverdage</t>
    </r>
  </si>
  <si>
    <r>
      <t>Overarbejde 50 % timer</t>
    </r>
    <r>
      <rPr>
        <sz val="14"/>
        <rFont val="Arial"/>
        <family val="2"/>
      </rPr>
      <t xml:space="preserve"> ved arrangementer mv.</t>
    </r>
  </si>
  <si>
    <r>
      <t>Overarbejde 100 % timer</t>
    </r>
    <r>
      <rPr>
        <sz val="14"/>
        <rFont val="Arial"/>
        <family val="2"/>
      </rPr>
      <t xml:space="preserve"> ved arrangementer mv.</t>
    </r>
  </si>
  <si>
    <t>Socialcentre, Borgerservice UDLEJNING af Betjente.</t>
  </si>
  <si>
    <t>Borgmestre chauførrer, omvisninger og ved ad hoc opgaver.</t>
  </si>
  <si>
    <r>
      <t xml:space="preserve">Rundering: </t>
    </r>
    <r>
      <rPr>
        <sz val="14"/>
        <rFont val="Arial"/>
        <family val="2"/>
      </rPr>
      <t xml:space="preserve">Lukkertrækningens tidsforbrug på rundering incl. kørselstid. </t>
    </r>
  </si>
  <si>
    <t>Skolesupport</t>
  </si>
  <si>
    <t>Afdækning pr. m2 (løbende meter) med armeret plast inkl. tape o.s.v.</t>
  </si>
  <si>
    <t>Afdækning pr. m2 (løbende meter) kanalplade inkl. tape o.s.v.</t>
  </si>
  <si>
    <t>Udlejning af personale til kantinen</t>
  </si>
  <si>
    <t>Postgang pr. time</t>
  </si>
  <si>
    <t>Post Ad hoc opgaver</t>
  </si>
  <si>
    <t>Frankering pr. brev</t>
  </si>
  <si>
    <t>Leje af et helt Dueslag pr. dag.</t>
  </si>
  <si>
    <t>Skanning pr. time</t>
  </si>
  <si>
    <t xml:space="preserve">Rådhusnøgler pr. stk. </t>
  </si>
  <si>
    <t>ID kort + adgangsbrikker</t>
  </si>
  <si>
    <t xml:space="preserve">KM tal på bilerne </t>
  </si>
  <si>
    <r>
      <t xml:space="preserve">Bil 1  </t>
    </r>
    <r>
      <rPr>
        <sz val="10"/>
        <rFont val="Arial"/>
        <family val="2"/>
      </rPr>
      <t xml:space="preserve">      Mercedes Diesel   RX 90 790</t>
    </r>
  </si>
  <si>
    <r>
      <t xml:space="preserve">Bil 6 </t>
    </r>
    <r>
      <rPr>
        <sz val="10"/>
        <rFont val="Arial"/>
        <family val="2"/>
      </rPr>
      <t xml:space="preserve">  VW Caddy Diesel   VY 90 494</t>
    </r>
  </si>
  <si>
    <r>
      <t xml:space="preserve">Bil 7 </t>
    </r>
    <r>
      <rPr>
        <sz val="10"/>
        <rFont val="Arial"/>
        <family val="2"/>
      </rPr>
      <t xml:space="preserve"> Opel Zafira    Diesel   VZ 88 679</t>
    </r>
  </si>
  <si>
    <t xml:space="preserve">Leaset ved KTK. </t>
  </si>
  <si>
    <t>Start 7. april 2008</t>
  </si>
  <si>
    <t>Frikøbt</t>
  </si>
  <si>
    <t>Slut 7-04-13</t>
  </si>
  <si>
    <t>Samlet</t>
  </si>
  <si>
    <t>Diesel</t>
  </si>
  <si>
    <t>Kørt km pr. måned</t>
  </si>
  <si>
    <t>Kr pr. KM</t>
  </si>
  <si>
    <t xml:space="preserve">Mdl. 4520,- </t>
  </si>
  <si>
    <t>Vask mm.</t>
  </si>
  <si>
    <t>Kr.</t>
  </si>
  <si>
    <t>Max 35.000 km pr. år</t>
  </si>
  <si>
    <t>Juli</t>
  </si>
  <si>
    <t>August</t>
  </si>
  <si>
    <t>September</t>
  </si>
  <si>
    <t>Oktober</t>
  </si>
  <si>
    <t>November</t>
  </si>
  <si>
    <t>December</t>
  </si>
  <si>
    <t>Januar</t>
  </si>
  <si>
    <t>Februar</t>
  </si>
  <si>
    <t>Marts</t>
  </si>
  <si>
    <t>April</t>
  </si>
  <si>
    <t>Maj</t>
  </si>
  <si>
    <t>Juni</t>
  </si>
  <si>
    <t>Total</t>
  </si>
  <si>
    <t>Grand total</t>
  </si>
  <si>
    <r>
      <t xml:space="preserve">Bil 1  </t>
    </r>
    <r>
      <rPr>
        <sz val="10"/>
        <rFont val="Arial"/>
        <family val="2"/>
      </rPr>
      <t xml:space="preserve">     Transporter AW 93 794</t>
    </r>
  </si>
  <si>
    <t>Lånebil Brændstof</t>
  </si>
  <si>
    <t>Brændstof i alt</t>
  </si>
  <si>
    <t>Brænsdtof kortnr.</t>
  </si>
  <si>
    <t>3612025 001</t>
  </si>
  <si>
    <t>6102289  742</t>
  </si>
  <si>
    <t>6102289  743</t>
  </si>
  <si>
    <r>
      <t xml:space="preserve">Bil 1  </t>
    </r>
    <r>
      <rPr>
        <sz val="10"/>
        <rFont val="Arial"/>
        <family val="2"/>
      </rPr>
      <t xml:space="preserve">     Transporter Diesel AW 93 794</t>
    </r>
  </si>
  <si>
    <r>
      <t xml:space="preserve">Bil 2 </t>
    </r>
    <r>
      <rPr>
        <sz val="10"/>
        <rFont val="Arial"/>
        <family val="2"/>
      </rPr>
      <t xml:space="preserve">  VW Caddy Diesel   VY 90 494</t>
    </r>
  </si>
  <si>
    <r>
      <t xml:space="preserve">Bil 3 </t>
    </r>
    <r>
      <rPr>
        <sz val="10"/>
        <rFont val="Arial"/>
        <family val="2"/>
      </rPr>
      <t xml:space="preserve"> Opel Zafira    Diesel   VZ 88 679</t>
    </r>
  </si>
  <si>
    <r>
      <rPr>
        <b/>
        <sz val="10"/>
        <rFont val="Arial"/>
        <family val="2"/>
      </rPr>
      <t>Bil 4</t>
    </r>
    <r>
      <rPr>
        <sz val="10"/>
        <rFont val="Arial"/>
        <family val="2"/>
      </rPr>
      <t xml:space="preserve"> Fiat Scodu Benzin TJ 95002</t>
    </r>
  </si>
  <si>
    <t>Statistik for Rådhusvagten år 2017</t>
  </si>
  <si>
    <t>I alt</t>
  </si>
  <si>
    <t>Normtid</t>
  </si>
  <si>
    <t>+ overtid (Ekstra vagt)</t>
  </si>
  <si>
    <t>+ Udlejningstimer</t>
  </si>
  <si>
    <t>+ B &amp; U</t>
  </si>
  <si>
    <t>- ferietimer</t>
  </si>
  <si>
    <t>- ferie fridags timer</t>
  </si>
  <si>
    <t>- sygetimer</t>
  </si>
  <si>
    <t>- Barns 1. Sygedag</t>
  </si>
  <si>
    <t>- afspadseringstimer</t>
  </si>
  <si>
    <t>- orlov</t>
  </si>
  <si>
    <t>- kursustimer</t>
  </si>
  <si>
    <t>- omsorgsdage (timer)</t>
  </si>
  <si>
    <t>Faktiske timer</t>
  </si>
  <si>
    <t>Års gennemsnit</t>
  </si>
  <si>
    <t>Overtid i % af faktiske timer</t>
  </si>
  <si>
    <t>Sygefravær i % af faktiske timer</t>
  </si>
  <si>
    <t>Barns 1. sygedag i % af fak. Timer</t>
  </si>
  <si>
    <t>Sygefravær i alt</t>
  </si>
  <si>
    <t>Sygefravær pr. kvartal</t>
  </si>
  <si>
    <t>Personaleafd. Tal</t>
  </si>
  <si>
    <t>Kursustimer i % af faktiske timer</t>
  </si>
  <si>
    <t>Afspadsering i % af fktiske timer</t>
  </si>
  <si>
    <t>Ferietimer i % af faktiske timer</t>
  </si>
  <si>
    <t xml:space="preserve">Fravær i alt i % </t>
  </si>
  <si>
    <t>Personaleomsætning</t>
  </si>
  <si>
    <t>Personale total</t>
  </si>
  <si>
    <t>Tilgang</t>
  </si>
  <si>
    <t>Afgang</t>
  </si>
  <si>
    <t>I procent</t>
  </si>
  <si>
    <t>I kavrtallet</t>
  </si>
  <si>
    <t>Runderings hændelser</t>
  </si>
  <si>
    <t>Hændelses fordeling</t>
  </si>
  <si>
    <t>Kaffemaskiner &amp; Kogeplader slukket</t>
  </si>
  <si>
    <t>Lys (Lamper) slukket</t>
  </si>
  <si>
    <t>Vinduer lukket</t>
  </si>
  <si>
    <t>Låst dør</t>
  </si>
  <si>
    <t>Andet, levende lys</t>
  </si>
  <si>
    <t>Videre rapporteringer</t>
  </si>
  <si>
    <t>CTS alarmer</t>
  </si>
  <si>
    <t>Maskinmester</t>
  </si>
  <si>
    <t>Miljøkontrollen &amp; skadedyr</t>
  </si>
  <si>
    <t>Chaufførvagten</t>
  </si>
  <si>
    <t>Andet</t>
  </si>
  <si>
    <t>Kødbyen</t>
  </si>
  <si>
    <t>År 2017 priser for Rådhusvagten</t>
  </si>
  <si>
    <t>Kff Stormgade 20</t>
  </si>
  <si>
    <t>BUF- Prinsessegade 74</t>
  </si>
  <si>
    <t>Indtægter</t>
  </si>
  <si>
    <t>Ydelser</t>
  </si>
  <si>
    <t>Forventet indtægter</t>
  </si>
  <si>
    <t>Faste kunder note 1</t>
  </si>
  <si>
    <t>Faste kunder note 2</t>
  </si>
  <si>
    <t>Faste kontrakter i alt</t>
  </si>
  <si>
    <t>Interne indtægter</t>
  </si>
  <si>
    <t>Intern kontoratikler</t>
  </si>
  <si>
    <t>Omvisning</t>
  </si>
  <si>
    <t>Øvrige indtægter</t>
  </si>
  <si>
    <t>Ikke indtægtsdækket</t>
  </si>
  <si>
    <t>løn udgifter for 8</t>
  </si>
  <si>
    <t>Pengene kommer fra Kejd</t>
  </si>
  <si>
    <t>Valg</t>
  </si>
  <si>
    <t>Ad hoc i alt</t>
  </si>
  <si>
    <t>1201030 Refusion</t>
  </si>
  <si>
    <t>Forventet udgifter</t>
  </si>
  <si>
    <t>Indtægter i alt</t>
  </si>
  <si>
    <t>Udgifter</t>
  </si>
  <si>
    <t>Lønudgifter</t>
  </si>
  <si>
    <t>ekstra løn ifbm kødbyen</t>
  </si>
  <si>
    <t>Øvrige varekøb</t>
  </si>
  <si>
    <t>Inventar</t>
  </si>
  <si>
    <t>Arbejdstøj/uniform</t>
  </si>
  <si>
    <t>Øvr. Tjn u/moms</t>
  </si>
  <si>
    <t>Interne udgifter</t>
  </si>
  <si>
    <t>Kontingenter</t>
  </si>
  <si>
    <t>Øvr. Tjn m/moms</t>
  </si>
  <si>
    <t>Lægeerklæringer</t>
  </si>
  <si>
    <t>Rengøring</t>
  </si>
  <si>
    <t>Overarbejde ikke</t>
  </si>
  <si>
    <t>indtægtsdækket</t>
  </si>
  <si>
    <t>Overarbejde</t>
  </si>
  <si>
    <t>Udgifter i alt</t>
  </si>
  <si>
    <t>Resultat</t>
  </si>
  <si>
    <t>Statistik for Administration og arrangementsafdelingene år 2017</t>
  </si>
  <si>
    <t xml:space="preserve">+ Udlejningstimer </t>
  </si>
  <si>
    <t>=hvis(b159&lt;&gt;0;</t>
  </si>
  <si>
    <t>Budget</t>
  </si>
  <si>
    <t>Faste ydelser i alt</t>
  </si>
  <si>
    <t>Ad hoc opgaver (grønne sedler)</t>
  </si>
  <si>
    <t>Vinafregning</t>
  </si>
  <si>
    <t>Kantinehjælp</t>
  </si>
  <si>
    <t>Arrangementer/serverings personale + BR møder</t>
  </si>
  <si>
    <t>Indtægt linnedstuen</t>
  </si>
  <si>
    <t>Overførelse til Kejd</t>
  </si>
  <si>
    <t xml:space="preserve">Diverse udgifter </t>
  </si>
  <si>
    <t>Statistik for Postservice år 2017 17210-0022</t>
  </si>
  <si>
    <t>Note 2  Faste Postaftaler JF Postaftaleliste</t>
  </si>
  <si>
    <t>Adresse</t>
  </si>
  <si>
    <t>Bemærkning</t>
  </si>
  <si>
    <t xml:space="preserve">Årlig pris  </t>
  </si>
  <si>
    <t>Det med rødt er det der er budgetteret med</t>
  </si>
  <si>
    <t xml:space="preserve">Øvrige </t>
  </si>
  <si>
    <t>Se Postkontrakter 2017 (Per)</t>
  </si>
  <si>
    <t>Årligt</t>
  </si>
  <si>
    <t>Månedligt</t>
  </si>
  <si>
    <t>Faste kontrakter</t>
  </si>
  <si>
    <t>Frankering (stort beløb)</t>
  </si>
  <si>
    <t>Fragt og Transport</t>
  </si>
  <si>
    <t>Lønudgift</t>
  </si>
  <si>
    <t>Barsels vikar</t>
  </si>
  <si>
    <t>Forsikring</t>
  </si>
  <si>
    <t>Øvr. Anskaffelser</t>
  </si>
  <si>
    <t>ny bil</t>
  </si>
  <si>
    <t>Brændstof</t>
  </si>
  <si>
    <t>Rengøringsudgifter</t>
  </si>
  <si>
    <t>Værksteds regninger</t>
  </si>
  <si>
    <t>Servicekontrakter</t>
  </si>
  <si>
    <t>Øvr. Varekøb</t>
  </si>
  <si>
    <t>Udgifter frankering (lille beløb)</t>
  </si>
  <si>
    <t>Leje/leasing</t>
  </si>
  <si>
    <t>Statistik for Skanning år 2017 17210-0023</t>
  </si>
  <si>
    <t>Note 1: Kontrakt og intern betalingsordning</t>
  </si>
  <si>
    <t>Årlig pris</t>
  </si>
  <si>
    <t>Claus Lahn Kejd HNG+20% ½mand</t>
  </si>
  <si>
    <t>TMF Ann Nielsen + 20%</t>
  </si>
  <si>
    <t>Berit Bavnbævn KFF + 20%</t>
  </si>
  <si>
    <t>Kejd HNG ½Elisabeth Auner +20%</t>
  </si>
  <si>
    <t>ØKF Karsten Pøhl + 20 %</t>
  </si>
  <si>
    <t>KFF- KBS - Henrik Dencher (licencer)+20%</t>
  </si>
  <si>
    <t>BUF (Karina Petersen)</t>
  </si>
  <si>
    <t>SUF - 3 timer pr. dag a 350,- x arbejdsdage</t>
  </si>
  <si>
    <t>BUF områder</t>
  </si>
  <si>
    <t>Koncern Service</t>
  </si>
  <si>
    <t>Indtægt drift</t>
  </si>
  <si>
    <t>Drift Skanningen</t>
  </si>
  <si>
    <t>Interne tjn.ydelser</t>
  </si>
  <si>
    <t>Rådhusservice samlet</t>
  </si>
  <si>
    <t>Vagt og Information</t>
  </si>
  <si>
    <t>Arrangement</t>
  </si>
  <si>
    <t>Post</t>
  </si>
  <si>
    <t>Skanning</t>
  </si>
  <si>
    <t>Radhusservice samlet</t>
  </si>
  <si>
    <t>Statistik for Teknikafdelingen år 2017</t>
  </si>
  <si>
    <t>År 2017 priser for Teknikafdelingen</t>
  </si>
  <si>
    <t>Budget indtægt</t>
  </si>
  <si>
    <t>Ad Hoc opgaver</t>
  </si>
  <si>
    <t>Lokale udlejning</t>
  </si>
  <si>
    <t>Arrangementer + BR møder</t>
  </si>
  <si>
    <t>Overførlse til Kejd</t>
  </si>
  <si>
    <t>Gæster</t>
  </si>
  <si>
    <t>Statistik for Rådhusvagten år 2016</t>
  </si>
  <si>
    <t>År 2016 priser for Rådhusvagten</t>
  </si>
  <si>
    <t>KUNDER\RÅDHUSSERVICE\Betjent\_Rådhusvagten\Kunder\Samlet vagtkontrakter\[År 2016 priser for Rådhusvagten.xlsx]Vagt'!A17;"")</t>
  </si>
  <si>
    <t>Note 1</t>
  </si>
  <si>
    <t>Note 2</t>
  </si>
  <si>
    <t>Overarbejde/Arm</t>
  </si>
  <si>
    <t>Alm.timer</t>
  </si>
  <si>
    <t>Statistik for Administration og arrangementsafdelingene år 2016</t>
  </si>
  <si>
    <t>Overarbejde/Arrangement</t>
  </si>
  <si>
    <t>Alm. Timer</t>
  </si>
  <si>
    <t>Statistik for Postservice år 2016 17210-0022</t>
  </si>
  <si>
    <t>Se Postkontrakter 2016 (Per)</t>
  </si>
  <si>
    <t>Statistik for Skanning år 2016 17210-0023</t>
  </si>
  <si>
    <t>Statistik for Teknikafdelingen år 2016</t>
  </si>
  <si>
    <t>År 2014 priser for Teknikafdelingen</t>
  </si>
  <si>
    <t>Statistik for Rådhusvagten år 2015</t>
  </si>
  <si>
    <t>År 2015 priser for Rådhusvagten</t>
  </si>
  <si>
    <t>Org. Nr. 62200</t>
  </si>
  <si>
    <t>Indtægt sat til 1.5 million 2015</t>
  </si>
  <si>
    <t xml:space="preserve">under tvang på budgetmøde </t>
  </si>
  <si>
    <t>den 23. oktober 2014</t>
  </si>
  <si>
    <t>500.000 mere for forhøjet beredskab</t>
  </si>
  <si>
    <t>Husk Thomas 1. hjælp kontigent 1100 i 2016</t>
  </si>
  <si>
    <t>Statistik for Administration og arrangementsafdelingene år 2015</t>
  </si>
  <si>
    <t>Administrationen (lønudgifter)</t>
  </si>
  <si>
    <t>Fast til Linnedstuen (Lønudgifter)</t>
  </si>
  <si>
    <t>Statistik for Postservice år 2015 17210-0022</t>
  </si>
  <si>
    <t>Se Postkontrakter 2015 (Per)</t>
  </si>
  <si>
    <t>moms 20%</t>
  </si>
  <si>
    <t>Er dette korrekt (selvrisiko)??</t>
  </si>
  <si>
    <t>(bliver 25816 højere grundet 5 regninget i stedet for 4)</t>
  </si>
  <si>
    <t>Statistik for Skanning år 2015 17210-0023</t>
  </si>
  <si>
    <t>Berit Bavnbævn KFF + 20% ½ mand</t>
  </si>
  <si>
    <t>?</t>
  </si>
  <si>
    <t>20000 til oplader til radioer</t>
  </si>
  <si>
    <t>Rådhusvagten</t>
  </si>
  <si>
    <t>Statistik for Teknikafdelingen år 2015</t>
  </si>
  <si>
    <t>fln</t>
  </si>
  <si>
    <t>Statistik for Rådhusvagten år 2014</t>
  </si>
  <si>
    <t>Runderings hændelser 2009</t>
  </si>
  <si>
    <t>År 2014 priser for Rådhusvagten</t>
  </si>
  <si>
    <t xml:space="preserve">B &amp; U </t>
  </si>
  <si>
    <t>Udlejning</t>
  </si>
  <si>
    <t>Kørsel til andre opgaver</t>
  </si>
  <si>
    <t>Rådhusnøgler + ID kort og brik</t>
  </si>
  <si>
    <t>indtægt for 2013</t>
  </si>
  <si>
    <t>Omvisninger Oplysningen</t>
  </si>
  <si>
    <t>Skolekørsel</t>
  </si>
  <si>
    <t>Alarm kørsel Kødbyen</t>
  </si>
  <si>
    <t>Udgifter til Rengøring</t>
  </si>
  <si>
    <t>Udgifter til afdelingen(se liste Per)</t>
  </si>
  <si>
    <t>Statistik for Administration og arrangementsafdelingene år 2014</t>
  </si>
  <si>
    <t>Statistik for Skanning og Postservice år 2014</t>
  </si>
  <si>
    <t>År 2009 priser for Skanning og Postservice</t>
  </si>
  <si>
    <t>Claus Lahn KFF+20% ½mand</t>
  </si>
  <si>
    <t>TMF Marco Minerbo + 20%</t>
  </si>
  <si>
    <t>ØKF (Karsten Pøhl Nielsen aftale) inkl. skanning</t>
  </si>
  <si>
    <t>Se post</t>
  </si>
  <si>
    <t>Se Postkontrakter 2014 (Per)</t>
  </si>
  <si>
    <t>KFF- KBS - Henrik Dencher (licencer)</t>
  </si>
  <si>
    <t>Indtægt pakkepost</t>
  </si>
  <si>
    <t>Kørsel / Ad hoc opgaver</t>
  </si>
  <si>
    <t>Indscanning</t>
  </si>
  <si>
    <t>as&lt;</t>
  </si>
  <si>
    <t>Tilbage betaling skanning</t>
  </si>
  <si>
    <t>Diesel og diverse</t>
  </si>
  <si>
    <t>Leasing af biler hos TMF (2 stk)</t>
  </si>
  <si>
    <t>Post Danmark (afhentning)</t>
  </si>
  <si>
    <t>Udgifter til afdelingen(Se liste Per)</t>
  </si>
  <si>
    <t>Leasing frankeringsmaskiner</t>
  </si>
  <si>
    <t>Post og Skanning</t>
  </si>
  <si>
    <t>Statistik for Teknikafdelingen år 2014</t>
  </si>
  <si>
    <t>Statistik for Rådhusvagten år 2013</t>
  </si>
  <si>
    <t>Videre rapporteringer 2009</t>
  </si>
  <si>
    <t>År 2013 priser for Rådhusvagten</t>
  </si>
  <si>
    <t>indtægt 2012</t>
  </si>
  <si>
    <t>Statistik for Administration og arrangementsafdelingene år 2013</t>
  </si>
  <si>
    <t>Statistik for Skanning og Postservice år 2013</t>
  </si>
  <si>
    <t>TMF Preben Jans + 20%</t>
  </si>
  <si>
    <t>Se Postkontrakter 2013 (Per)</t>
  </si>
  <si>
    <t>SUF</t>
  </si>
  <si>
    <t>Statistik for Teknikafdelingen år 2013</t>
  </si>
  <si>
    <t>År 2009 priser for Teknikafdelingen</t>
  </si>
  <si>
    <t>Statistik for Rådhusvagten år 2012</t>
  </si>
  <si>
    <t>År 2012 priser for Rådhusvagten</t>
  </si>
  <si>
    <t>Note 1: Fordeling  af intern betalingsordning</t>
  </si>
  <si>
    <t xml:space="preserve">Note 2  Kontrakt kunder fast rundering </t>
  </si>
  <si>
    <t>Rådhuset</t>
  </si>
  <si>
    <t>Org. Nr.</t>
  </si>
  <si>
    <t>Bygningsnr.</t>
  </si>
  <si>
    <t>V og I dato</t>
  </si>
  <si>
    <t>Fortsat</t>
  </si>
  <si>
    <t>ØK-KBS- Nørre Søgade 35</t>
  </si>
  <si>
    <t>Brønshøjvej 17 - 19, SOF</t>
  </si>
  <si>
    <t>747a</t>
  </si>
  <si>
    <t>Brønshøjvej 17 - 19, Sundhed</t>
  </si>
  <si>
    <t>KFF</t>
  </si>
  <si>
    <t>747b</t>
  </si>
  <si>
    <t>Brønshøjvej 17 - 19, Tandlæge</t>
  </si>
  <si>
    <t>Fordeling</t>
  </si>
  <si>
    <t>43,37 %</t>
  </si>
  <si>
    <t>Jemtelandgade 3 KKU</t>
  </si>
  <si>
    <t>BUF-Gasværksvej 22 (skole)</t>
  </si>
  <si>
    <t>18,16%</t>
  </si>
  <si>
    <t>Jemtelandgade 3 Kvarterløft</t>
  </si>
  <si>
    <t>64715</t>
  </si>
  <si>
    <t>Røde Mellemvej 52</t>
  </si>
  <si>
    <t>38,47 %</t>
  </si>
  <si>
    <t>Jemtelandgade 3 bibliotek</t>
  </si>
  <si>
    <t>37567</t>
  </si>
  <si>
    <t>Studsgårdsgade 55</t>
  </si>
  <si>
    <t>Spaniensgade 25</t>
  </si>
  <si>
    <t>1-2-12 til 31-7-12BUF skolesupport</t>
  </si>
  <si>
    <t xml:space="preserve">Remisevej 19 </t>
  </si>
  <si>
    <t>Amagerbrogade 150</t>
  </si>
  <si>
    <t>Miljøkontrollen (tlf. eksp.)</t>
  </si>
  <si>
    <t>Hvide Kødby</t>
  </si>
  <si>
    <t>BIF-Baldersgade 24</t>
  </si>
  <si>
    <t>Griffenfeldsgade 44</t>
  </si>
  <si>
    <t>740a</t>
  </si>
  <si>
    <t>BIF-Baldersgade 3B, 1. + 3. sal</t>
  </si>
  <si>
    <t>Kapelvej 47</t>
  </si>
  <si>
    <t>724 a</t>
  </si>
  <si>
    <t>Stormgade 18 (BUF)</t>
  </si>
  <si>
    <t>Bernstorffshus</t>
  </si>
  <si>
    <t>Enghavevej</t>
  </si>
  <si>
    <t>Vester Voldgade 87, 3. sal</t>
  </si>
  <si>
    <t>BUF-Linde Alle 40-44</t>
  </si>
  <si>
    <t>Rådhuspladsen 77, 1. sal</t>
  </si>
  <si>
    <t>BUF-Linde Alle 40-44(Dagpleje)</t>
  </si>
  <si>
    <t>Ottiliavej 1</t>
  </si>
  <si>
    <t>Den hvide kødby (vagtkørsel)</t>
  </si>
  <si>
    <t>18.553 pr. måned (Per sender regning hver måned)</t>
  </si>
  <si>
    <t>Hans Nansens Gård</t>
  </si>
  <si>
    <t>Hornemanns Vænge 9</t>
  </si>
  <si>
    <t>4881 pr. måned(Per sender regning hver måned</t>
  </si>
  <si>
    <t>BIF</t>
  </si>
  <si>
    <t>SOF-Nørre Voldgade 15, 1. sal</t>
  </si>
  <si>
    <t>637 m2 af 28,19</t>
  </si>
  <si>
    <t>BUF</t>
  </si>
  <si>
    <t>SOF-Nørre Voldgade 15, 1.2.4.5.sal</t>
  </si>
  <si>
    <t>1890 m2 af 28,19</t>
  </si>
  <si>
    <t>TMF</t>
  </si>
  <si>
    <t>SOF-Nørre Voldgade 15, 5. sal</t>
  </si>
  <si>
    <t>58 m2 af 28,19</t>
  </si>
  <si>
    <t>SOF</t>
  </si>
  <si>
    <t>SOF-Linne Gade 16, i port 2</t>
  </si>
  <si>
    <t>130 m2 af 28,19</t>
  </si>
  <si>
    <t>ØKF</t>
  </si>
  <si>
    <t>BUF-Nørre Voldgade 15, 3.5. sal</t>
  </si>
  <si>
    <t>60% af 938 m2 af 28,19</t>
  </si>
  <si>
    <t>BR</t>
  </si>
  <si>
    <t>BUF-Frederiksborggade 15, 3.5. sal</t>
  </si>
  <si>
    <t>40% af 938 m2 af 28,19</t>
  </si>
  <si>
    <t>Posteres</t>
  </si>
  <si>
    <t>KFF biblioteker</t>
  </si>
  <si>
    <t>Forsættes i højre side</t>
  </si>
  <si>
    <t>Omvisninger</t>
  </si>
  <si>
    <t>Oplysningen</t>
  </si>
  <si>
    <t>Statistik for Administration og arrangementsafdelingene år 2012</t>
  </si>
  <si>
    <t>For kantinen (Meyer)</t>
  </si>
  <si>
    <t>Statistik for Skanning og Postservice år 2012</t>
  </si>
  <si>
    <t>Se Postkontrakter 2012 (Per)</t>
  </si>
  <si>
    <t>TMF Preben Elfenbein + 20%</t>
  </si>
  <si>
    <t>Leje af biler hos Avis</t>
  </si>
  <si>
    <t>Statistik for Teknikafdelingen år 2012</t>
  </si>
  <si>
    <t>Statistik for Rådhusvagten år 2011</t>
  </si>
  <si>
    <t>År 2011 priser for Rådhusvagten</t>
  </si>
  <si>
    <t>70.717 for helt år</t>
  </si>
  <si>
    <t>57.480 for helt år</t>
  </si>
  <si>
    <t>H.C.A Boulevard 25. 3 sal</t>
  </si>
  <si>
    <t>28.743 for helt år</t>
  </si>
  <si>
    <t>40912 for helt år</t>
  </si>
  <si>
    <t>Stormgade 18 kld, stue, 1.sal (BUF)</t>
  </si>
  <si>
    <t>17.850 pr. måned (Per sender regning hver måned)</t>
  </si>
  <si>
    <t>Ingen stigning i 2011</t>
  </si>
  <si>
    <t>4790 pr. måned(Per sender regning hver måned</t>
  </si>
  <si>
    <t>2% stigning i 2011</t>
  </si>
  <si>
    <r>
      <t> 23.452</t>
    </r>
    <r>
      <rPr>
        <sz val="8"/>
        <color indexed="12"/>
        <rFont val="Arial"/>
        <family val="2"/>
      </rPr>
      <t> </t>
    </r>
    <r>
      <rPr>
        <sz val="8"/>
        <rFont val="Arial"/>
        <family val="2"/>
      </rPr>
      <t xml:space="preserve"> </t>
    </r>
  </si>
  <si>
    <t>Statistik for Administration og arrangementsafdelingene år 2011</t>
  </si>
  <si>
    <t>Vinkælder (½ årsværk)</t>
  </si>
  <si>
    <t>Statistik for Skanning og Postservice år 2011</t>
  </si>
  <si>
    <t>Claus Lahn KFF+20%</t>
  </si>
  <si>
    <t>Se Postkontrakter 2011 (Per)</t>
  </si>
  <si>
    <t>Frankering</t>
  </si>
  <si>
    <t>Udgifter (mest porto)</t>
  </si>
  <si>
    <t>Statistik for Teknikafdelingen år 2011</t>
  </si>
  <si>
    <t>Bryllupper</t>
  </si>
  <si>
    <t>Alm. Bryllupper</t>
  </si>
  <si>
    <t>Andre bryllupper på huset</t>
  </si>
  <si>
    <t xml:space="preserve"> i alt</t>
  </si>
  <si>
    <t>Statistik for Rådhusvagten år 2010</t>
  </si>
  <si>
    <t>År 2010 priser for Rådhusvagten</t>
  </si>
  <si>
    <t>Brønshøjvej 17 - 19, FAF</t>
  </si>
  <si>
    <t>Vester Voldgade 87, 1+2. sal</t>
  </si>
  <si>
    <t>Islands Brygge 37</t>
  </si>
  <si>
    <t>54100(16)</t>
  </si>
  <si>
    <t>Kejd leje af betjent</t>
  </si>
  <si>
    <t>Njalsgade 13 - 15</t>
  </si>
  <si>
    <t>724 b</t>
  </si>
  <si>
    <t>Stormgade 18 kld, 2.sal (ØKF)</t>
  </si>
  <si>
    <t>Slut 30-6-2010</t>
  </si>
  <si>
    <t>H.C.A Boulevard 2. +3 sal</t>
  </si>
  <si>
    <t>Nørrevoldgade 15</t>
  </si>
  <si>
    <t>Baldersgade 24</t>
  </si>
  <si>
    <t>Baldersgade 3B, 1. + 3. sal</t>
  </si>
  <si>
    <t>Ottiliavej</t>
  </si>
  <si>
    <t>Rådhusnøgler + ID kort</t>
  </si>
  <si>
    <t>Statistik for Administration og arrangementsafdelingene år 2010</t>
  </si>
  <si>
    <t>Statistik for Skanning og Postservice år 2010</t>
  </si>
  <si>
    <t>Claus Lahn KFF</t>
  </si>
  <si>
    <t>Overlag på 20 % ??</t>
  </si>
  <si>
    <t>TMF Preben Jans KFF</t>
  </si>
  <si>
    <t>TMF skal betale</t>
  </si>
  <si>
    <t xml:space="preserve">Berit Bavnbævn KFF </t>
  </si>
  <si>
    <t>KS</t>
  </si>
  <si>
    <t>Se Postkontrakter 2009 (Werner)</t>
  </si>
  <si>
    <t>Start 1/4-2007</t>
  </si>
  <si>
    <t>Start</t>
  </si>
  <si>
    <t>Statistik for Teknikafdelingen år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</si>
</sst>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&quot;kr.&quot;#,##0_);[Red]\(&quot;kr.&quot;#,##0\)"/>
    <numFmt numFmtId="165" formatCode="_(&quot;kr&quot;* #,##0.00_);_(&quot;kr&quot;* \(#,##0.00\);_(&quot;kr&quot;* &quot;-&quot;??_);_(@_)"/>
    <numFmt numFmtId="166" formatCode="_(* #,##0.00_);_(* \(#,##0.00\);_(* &quot;-&quot;??_);_(@_)"/>
    <numFmt numFmtId="167" formatCode="_(&quot;kr&quot;\ * #,##0_);_(&quot;kr&quot;\ * \(#,##0\);_(&quot;kr&quot;\ * &quot;-&quot;_);_(@_)"/>
    <numFmt numFmtId="168" formatCode="_(* #,##0_);_(* \(#,##0\);_(* &quot;-&quot;_);_(@_)"/>
    <numFmt numFmtId="169" formatCode="_(&quot;kr&quot;\ * #,##0.00_);_(&quot;kr&quot;\ * \(#,##0.00\);_(&quot;kr&quot;\ * &quot;-&quot;??_);_(@_)"/>
    <numFmt numFmtId="170" formatCode="_(&quot;kr &quot;* #,##0.00_);_(&quot;kr &quot;* \(#,##0.00\);_(&quot;kr &quot;* \-??_);_(@_)"/>
    <numFmt numFmtId="171" formatCode="&quot;kr &quot;#,##0_);[Red]&quot;(kr &quot;#,##0\)"/>
    <numFmt numFmtId="172" formatCode="_(* #,##0.00_);_(* \(#,##0.00\);_(* \-??_);_(@_)"/>
    <numFmt numFmtId="173" formatCode="_(* #,##0_);_(* \(#,##0\);_(* \-_);_(@_)"/>
    <numFmt numFmtId="174" formatCode="&quot;kr&quot;\ #,##0"/>
    <numFmt numFmtId="175" formatCode="_ * #,##0_ ;_ * \-#,##0_ ;_ * &quot;-&quot;??_ ;_ @_ "/>
    <numFmt numFmtId="176" formatCode="_(* #,##0_);_(* \(#,##0\);_(* &quot;-&quot;??_);_(@_)"/>
    <numFmt numFmtId="177" formatCode="_(&quot;kr&quot;* #,##0_);_(&quot;kr&quot;* \(#,##0\);_(&quot;kr&quot;* &quot;-&quot;??_);_(@_)"/>
  </numFmts>
  <fonts count="5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b/>
      <sz val="8"/>
      <name val="Arial"/>
      <family val="2"/>
    </font>
    <font>
      <b/>
      <sz val="10"/>
      <color indexed="25"/>
      <name val="Arial"/>
      <family val="2"/>
    </font>
    <font>
      <sz val="10"/>
      <color indexed="12"/>
      <name val="Arial"/>
      <family val="2"/>
    </font>
    <font>
      <sz val="12"/>
      <color indexed="8"/>
      <name val="Times New Roman"/>
      <family val="1"/>
    </font>
    <font>
      <b/>
      <sz val="10"/>
      <color indexed="48"/>
      <name val="Arial"/>
      <family val="2"/>
    </font>
    <font>
      <b/>
      <sz val="10"/>
      <color indexed="10"/>
      <name val="Arial"/>
      <family val="2"/>
    </font>
    <font>
      <sz val="8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8"/>
      <name val="Arial"/>
      <family val="2"/>
    </font>
    <font>
      <b/>
      <sz val="10"/>
      <color indexed="61"/>
      <name val="Arial"/>
      <family val="2"/>
    </font>
    <font>
      <sz val="8"/>
      <color indexed="12"/>
      <name val="Arial"/>
      <family val="2"/>
    </font>
    <font>
      <sz val="10"/>
      <color rgb="FFFF000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5" tint="-0.249977111117893"/>
      <name val="Arial"/>
      <family val="2"/>
    </font>
    <font>
      <sz val="10"/>
      <color theme="7" tint="-0.49998474074526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B050"/>
      <name val="Arial"/>
      <family val="2"/>
    </font>
    <font>
      <b/>
      <sz val="9"/>
      <name val="Arial"/>
      <family val="2"/>
    </font>
    <font>
      <sz val="9"/>
      <color rgb="FF00B050"/>
      <name val="Arial"/>
      <family val="2"/>
    </font>
    <font>
      <sz val="9"/>
      <color rgb="FFFF000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3"/>
        <bgColor indexed="3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</fills>
  <borders count="12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/>
      <diagonal/>
    </border>
    <border>
      <left/>
      <right/>
      <top style="medium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3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4" fillId="0" borderId="0" applyNumberFormat="0" applyFill="0" applyBorder="0" applyAlignment="0" applyProtection="0"/>
    <xf numFmtId="0" fontId="3" fillId="16" borderId="1" applyNumberFormat="0" applyFont="0" applyAlignment="0" applyProtection="0"/>
    <xf numFmtId="0" fontId="25" fillId="17" borderId="2" applyNumberFormat="0" applyAlignment="0" applyProtection="0"/>
    <xf numFmtId="0" fontId="26" fillId="0" borderId="0" applyNumberFormat="0" applyFill="0" applyBorder="0" applyAlignment="0" applyProtection="0"/>
    <xf numFmtId="0" fontId="27" fillId="4" borderId="0" applyNumberFormat="0" applyBorder="0" applyAlignment="0" applyProtection="0"/>
    <xf numFmtId="0" fontId="28" fillId="7" borderId="2" applyNumberFormat="0" applyAlignment="0" applyProtection="0"/>
    <xf numFmtId="0" fontId="29" fillId="18" borderId="3" applyNumberFormat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2" borderId="0" applyNumberFormat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31" fillId="17" borderId="4" applyNumberFormat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8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8" fillId="3" borderId="0" applyNumberFormat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6" fillId="0" borderId="0" applyBorder="0">
      <alignment horizontal="center" vertical="center"/>
    </xf>
    <xf numFmtId="0" fontId="6" fillId="47" borderId="0" applyBorder="0">
      <alignment horizontal="center" vertical="center"/>
    </xf>
    <xf numFmtId="0" fontId="6" fillId="43" borderId="0" applyBorder="0">
      <alignment horizontal="center" vertical="center"/>
    </xf>
    <xf numFmtId="0" fontId="6" fillId="50" borderId="0" applyBorder="0">
      <alignment horizontal="center" vertical="center"/>
    </xf>
    <xf numFmtId="0" fontId="6" fillId="49" borderId="0" applyBorder="0">
      <alignment horizontal="center" vertical="center"/>
    </xf>
    <xf numFmtId="0" fontId="6" fillId="48" borderId="0" applyBorder="0">
      <alignment horizontal="center" vertical="center"/>
    </xf>
  </cellStyleXfs>
  <cellXfs count="857">
    <xf numFmtId="0" fontId="0" fillId="0" borderId="0" xfId="0"/>
    <xf numFmtId="0" fontId="4" fillId="0" borderId="0" xfId="0" applyFont="1"/>
    <xf numFmtId="0" fontId="0" fillId="0" borderId="11" xfId="0" applyBorder="1"/>
    <xf numFmtId="0" fontId="0" fillId="0" borderId="21" xfId="0" applyBorder="1"/>
    <xf numFmtId="0" fontId="0" fillId="0" borderId="14" xfId="0" applyBorder="1"/>
    <xf numFmtId="0" fontId="0" fillId="0" borderId="24" xfId="0" applyBorder="1"/>
    <xf numFmtId="0" fontId="0" fillId="0" borderId="29" xfId="0" applyBorder="1"/>
    <xf numFmtId="0" fontId="0" fillId="0" borderId="0" xfId="0" applyAlignment="1">
      <alignment horizontal="center"/>
    </xf>
    <xf numFmtId="0" fontId="0" fillId="0" borderId="23" xfId="0" applyBorder="1" applyAlignment="1">
      <alignment horizontal="center"/>
    </xf>
    <xf numFmtId="0" fontId="0" fillId="0" borderId="33" xfId="0" applyBorder="1"/>
    <xf numFmtId="0" fontId="0" fillId="0" borderId="33" xfId="0" applyBorder="1" applyAlignment="1">
      <alignment horizontal="center"/>
    </xf>
    <xf numFmtId="0" fontId="0" fillId="0" borderId="32" xfId="0" applyBorder="1"/>
    <xf numFmtId="0" fontId="0" fillId="0" borderId="34" xfId="0" applyBorder="1"/>
    <xf numFmtId="0" fontId="0" fillId="0" borderId="37" xfId="0" applyBorder="1"/>
    <xf numFmtId="0" fontId="0" fillId="0" borderId="41" xfId="0" applyBorder="1"/>
    <xf numFmtId="0" fontId="0" fillId="0" borderId="25" xfId="0" applyBorder="1"/>
    <xf numFmtId="0" fontId="0" fillId="0" borderId="43" xfId="0" applyBorder="1"/>
    <xf numFmtId="0" fontId="0" fillId="0" borderId="42" xfId="0" applyBorder="1" applyAlignment="1">
      <alignment horizontal="center"/>
    </xf>
    <xf numFmtId="0" fontId="0" fillId="0" borderId="27" xfId="0" applyBorder="1"/>
    <xf numFmtId="0" fontId="0" fillId="0" borderId="36" xfId="0" applyBorder="1"/>
    <xf numFmtId="0" fontId="4" fillId="0" borderId="32" xfId="0" applyFont="1" applyBorder="1"/>
    <xf numFmtId="0" fontId="0" fillId="0" borderId="47" xfId="0" applyBorder="1"/>
    <xf numFmtId="0" fontId="0" fillId="0" borderId="51" xfId="0" applyBorder="1"/>
    <xf numFmtId="49" fontId="0" fillId="0" borderId="0" xfId="0" applyNumberFormat="1"/>
    <xf numFmtId="0" fontId="10" fillId="0" borderId="0" xfId="0" applyFont="1"/>
    <xf numFmtId="0" fontId="0" fillId="0" borderId="17" xfId="0" applyBorder="1"/>
    <xf numFmtId="0" fontId="12" fillId="0" borderId="0" xfId="0" applyFont="1" applyAlignment="1">
      <alignment horizontal="center"/>
    </xf>
    <xf numFmtId="0" fontId="9" fillId="32" borderId="32" xfId="0" applyFont="1" applyFill="1" applyBorder="1" applyAlignment="1">
      <alignment wrapText="1"/>
    </xf>
    <xf numFmtId="0" fontId="9" fillId="0" borderId="14" xfId="0" applyFont="1" applyBorder="1" applyAlignment="1">
      <alignment wrapText="1"/>
    </xf>
    <xf numFmtId="170" fontId="9" fillId="0" borderId="56" xfId="0" applyNumberFormat="1" applyFont="1" applyBorder="1" applyAlignment="1">
      <alignment horizontal="right" wrapText="1"/>
    </xf>
    <xf numFmtId="0" fontId="9" fillId="0" borderId="32" xfId="0" applyFont="1" applyBorder="1" applyAlignment="1">
      <alignment wrapText="1"/>
    </xf>
    <xf numFmtId="170" fontId="9" fillId="0" borderId="57" xfId="0" applyNumberFormat="1" applyFont="1" applyBorder="1" applyAlignment="1">
      <alignment horizontal="right" wrapText="1"/>
    </xf>
    <xf numFmtId="171" fontId="9" fillId="0" borderId="57" xfId="0" applyNumberFormat="1" applyFont="1" applyBorder="1" applyAlignment="1">
      <alignment horizontal="center"/>
    </xf>
    <xf numFmtId="0" fontId="9" fillId="27" borderId="32" xfId="0" applyFont="1" applyFill="1" applyBorder="1" applyAlignment="1">
      <alignment wrapText="1"/>
    </xf>
    <xf numFmtId="170" fontId="9" fillId="27" borderId="57" xfId="0" applyNumberFormat="1" applyFont="1" applyFill="1" applyBorder="1" applyAlignment="1">
      <alignment horizontal="right" wrapText="1"/>
    </xf>
    <xf numFmtId="0" fontId="9" fillId="0" borderId="57" xfId="0" applyFont="1" applyBorder="1" applyAlignment="1">
      <alignment horizontal="center"/>
    </xf>
    <xf numFmtId="0" fontId="13" fillId="27" borderId="32" xfId="0" applyFont="1" applyFill="1" applyBorder="1" applyAlignment="1">
      <alignment wrapText="1"/>
    </xf>
    <xf numFmtId="0" fontId="9" fillId="0" borderId="58" xfId="0" applyFont="1" applyBorder="1" applyAlignment="1">
      <alignment horizontal="center"/>
    </xf>
    <xf numFmtId="0" fontId="13" fillId="30" borderId="32" xfId="0" applyFont="1" applyFill="1" applyBorder="1" applyAlignment="1">
      <alignment wrapText="1"/>
    </xf>
    <xf numFmtId="170" fontId="9" fillId="30" borderId="57" xfId="0" applyNumberFormat="1" applyFont="1" applyFill="1" applyBorder="1" applyAlignment="1">
      <alignment horizontal="right"/>
    </xf>
    <xf numFmtId="0" fontId="13" fillId="28" borderId="32" xfId="0" applyFont="1" applyFill="1" applyBorder="1"/>
    <xf numFmtId="170" fontId="9" fillId="28" borderId="57" xfId="0" applyNumberFormat="1" applyFont="1" applyFill="1" applyBorder="1" applyAlignment="1">
      <alignment horizontal="right" wrapText="1"/>
    </xf>
    <xf numFmtId="0" fontId="13" fillId="26" borderId="32" xfId="0" applyFont="1" applyFill="1" applyBorder="1"/>
    <xf numFmtId="170" fontId="9" fillId="26" borderId="57" xfId="0" applyNumberFormat="1" applyFont="1" applyFill="1" applyBorder="1" applyAlignment="1">
      <alignment horizontal="right" wrapText="1"/>
    </xf>
    <xf numFmtId="170" fontId="9" fillId="26" borderId="58" xfId="0" applyNumberFormat="1" applyFont="1" applyFill="1" applyBorder="1" applyAlignment="1">
      <alignment horizontal="right" wrapText="1"/>
    </xf>
    <xf numFmtId="0" fontId="0" fillId="24" borderId="33" xfId="0" applyFill="1" applyBorder="1" applyAlignment="1">
      <alignment horizontal="center"/>
    </xf>
    <xf numFmtId="0" fontId="0" fillId="0" borderId="38" xfId="0" applyBorder="1"/>
    <xf numFmtId="0" fontId="0" fillId="0" borderId="55" xfId="0" applyBorder="1"/>
    <xf numFmtId="3" fontId="0" fillId="0" borderId="0" xfId="0" applyNumberFormat="1"/>
    <xf numFmtId="0" fontId="7" fillId="0" borderId="0" xfId="0" applyFont="1"/>
    <xf numFmtId="0" fontId="7" fillId="0" borderId="33" xfId="0" applyFont="1" applyBorder="1"/>
    <xf numFmtId="0" fontId="7" fillId="0" borderId="33" xfId="0" applyFont="1" applyBorder="1" applyAlignment="1">
      <alignment horizontal="center"/>
    </xf>
    <xf numFmtId="0" fontId="7" fillId="0" borderId="51" xfId="0" applyFont="1" applyBorder="1" applyAlignment="1">
      <alignment horizontal="center"/>
    </xf>
    <xf numFmtId="49" fontId="7" fillId="0" borderId="33" xfId="0" applyNumberFormat="1" applyFont="1" applyBorder="1"/>
    <xf numFmtId="2" fontId="7" fillId="0" borderId="33" xfId="0" applyNumberFormat="1" applyFont="1" applyBorder="1"/>
    <xf numFmtId="2" fontId="7" fillId="0" borderId="51" xfId="0" applyNumberFormat="1" applyFont="1" applyBorder="1"/>
    <xf numFmtId="2" fontId="7" fillId="0" borderId="33" xfId="0" applyNumberFormat="1" applyFont="1" applyBorder="1" applyAlignment="1">
      <alignment horizontal="right"/>
    </xf>
    <xf numFmtId="49" fontId="7" fillId="0" borderId="23" xfId="0" applyNumberFormat="1" applyFont="1" applyBorder="1"/>
    <xf numFmtId="2" fontId="7" fillId="0" borderId="23" xfId="0" applyNumberFormat="1" applyFont="1" applyBorder="1"/>
    <xf numFmtId="2" fontId="7" fillId="0" borderId="54" xfId="0" applyNumberFormat="1" applyFont="1" applyBorder="1"/>
    <xf numFmtId="2" fontId="7" fillId="0" borderId="35" xfId="0" applyNumberFormat="1" applyFont="1" applyBorder="1"/>
    <xf numFmtId="49" fontId="7" fillId="0" borderId="16" xfId="0" applyNumberFormat="1" applyFont="1" applyBorder="1"/>
    <xf numFmtId="2" fontId="7" fillId="0" borderId="16" xfId="0" applyNumberFormat="1" applyFont="1" applyBorder="1"/>
    <xf numFmtId="2" fontId="7" fillId="0" borderId="18" xfId="0" applyNumberFormat="1" applyFont="1" applyBorder="1"/>
    <xf numFmtId="2" fontId="7" fillId="0" borderId="40" xfId="0" applyNumberFormat="1" applyFont="1" applyBorder="1"/>
    <xf numFmtId="49" fontId="7" fillId="0" borderId="0" xfId="0" applyNumberFormat="1" applyFont="1"/>
    <xf numFmtId="2" fontId="7" fillId="0" borderId="0" xfId="0" applyNumberFormat="1" applyFont="1"/>
    <xf numFmtId="0" fontId="7" fillId="25" borderId="0" xfId="0" applyFont="1" applyFill="1"/>
    <xf numFmtId="2" fontId="7" fillId="25" borderId="33" xfId="0" applyNumberFormat="1" applyFont="1" applyFill="1" applyBorder="1"/>
    <xf numFmtId="49" fontId="7" fillId="0" borderId="35" xfId="0" applyNumberFormat="1" applyFont="1" applyBorder="1"/>
    <xf numFmtId="2" fontId="7" fillId="25" borderId="35" xfId="0" applyNumberFormat="1" applyFont="1" applyFill="1" applyBorder="1"/>
    <xf numFmtId="49" fontId="7" fillId="0" borderId="39" xfId="0" applyNumberFormat="1" applyFont="1" applyBorder="1"/>
    <xf numFmtId="2" fontId="7" fillId="0" borderId="28" xfId="0" applyNumberFormat="1" applyFont="1" applyBorder="1"/>
    <xf numFmtId="2" fontId="7" fillId="0" borderId="30" xfId="0" applyNumberFormat="1" applyFont="1" applyBorder="1"/>
    <xf numFmtId="2" fontId="7" fillId="31" borderId="13" xfId="0" applyNumberFormat="1" applyFont="1" applyFill="1" applyBorder="1"/>
    <xf numFmtId="2" fontId="7" fillId="25" borderId="13" xfId="0" applyNumberFormat="1" applyFont="1" applyFill="1" applyBorder="1"/>
    <xf numFmtId="2" fontId="7" fillId="28" borderId="33" xfId="0" applyNumberFormat="1" applyFont="1" applyFill="1" applyBorder="1"/>
    <xf numFmtId="49" fontId="15" fillId="30" borderId="33" xfId="0" applyNumberFormat="1" applyFont="1" applyFill="1" applyBorder="1"/>
    <xf numFmtId="2" fontId="15" fillId="30" borderId="33" xfId="0" applyNumberFormat="1" applyFont="1" applyFill="1" applyBorder="1"/>
    <xf numFmtId="2" fontId="15" fillId="25" borderId="40" xfId="0" applyNumberFormat="1" applyFont="1" applyFill="1" applyBorder="1"/>
    <xf numFmtId="49" fontId="15" fillId="0" borderId="0" xfId="0" applyNumberFormat="1" applyFont="1"/>
    <xf numFmtId="1" fontId="7" fillId="0" borderId="33" xfId="0" applyNumberFormat="1" applyFont="1" applyBorder="1" applyAlignment="1">
      <alignment horizontal="center"/>
    </xf>
    <xf numFmtId="172" fontId="7" fillId="0" borderId="33" xfId="0" applyNumberFormat="1" applyFont="1" applyBorder="1" applyAlignment="1">
      <alignment horizontal="center"/>
    </xf>
    <xf numFmtId="1" fontId="7" fillId="0" borderId="0" xfId="0" applyNumberFormat="1" applyFont="1"/>
    <xf numFmtId="1" fontId="7" fillId="28" borderId="33" xfId="0" applyNumberFormat="1" applyFont="1" applyFill="1" applyBorder="1"/>
    <xf numFmtId="0" fontId="10" fillId="29" borderId="0" xfId="0" applyFont="1" applyFill="1"/>
    <xf numFmtId="0" fontId="0" fillId="29" borderId="0" xfId="0" applyFill="1"/>
    <xf numFmtId="0" fontId="4" fillId="29" borderId="0" xfId="0" applyFont="1" applyFill="1"/>
    <xf numFmtId="0" fontId="4" fillId="0" borderId="22" xfId="0" applyFont="1" applyBorder="1"/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0" fillId="0" borderId="26" xfId="0" applyBorder="1" applyAlignment="1">
      <alignment horizontal="center"/>
    </xf>
    <xf numFmtId="1" fontId="7" fillId="0" borderId="13" xfId="0" applyNumberFormat="1" applyFont="1" applyBorder="1" applyAlignment="1">
      <alignment horizontal="center"/>
    </xf>
    <xf numFmtId="1" fontId="7" fillId="0" borderId="15" xfId="0" applyNumberFormat="1" applyFon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7" fillId="0" borderId="19" xfId="0" applyNumberFormat="1" applyFont="1" applyBorder="1" applyAlignment="1">
      <alignment horizontal="center"/>
    </xf>
    <xf numFmtId="4" fontId="4" fillId="0" borderId="51" xfId="0" applyNumberFormat="1" applyFont="1" applyBorder="1"/>
    <xf numFmtId="0" fontId="4" fillId="0" borderId="34" xfId="0" applyFont="1" applyBorder="1"/>
    <xf numFmtId="0" fontId="4" fillId="0" borderId="51" xfId="0" applyFont="1" applyBorder="1"/>
    <xf numFmtId="3" fontId="0" fillId="0" borderId="51" xfId="0" applyNumberFormat="1" applyBorder="1"/>
    <xf numFmtId="0" fontId="0" fillId="0" borderId="32" xfId="0" applyBorder="1" applyAlignment="1">
      <alignment horizontal="center"/>
    </xf>
    <xf numFmtId="0" fontId="0" fillId="0" borderId="51" xfId="0" applyBorder="1" applyAlignment="1">
      <alignment horizontal="center"/>
    </xf>
    <xf numFmtId="3" fontId="16" fillId="0" borderId="13" xfId="0" applyNumberFormat="1" applyFont="1" applyBorder="1" applyAlignment="1">
      <alignment horizontal="center"/>
    </xf>
    <xf numFmtId="0" fontId="0" fillId="0" borderId="48" xfId="0" applyBorder="1"/>
    <xf numFmtId="3" fontId="4" fillId="0" borderId="39" xfId="0" applyNumberFormat="1" applyFont="1" applyBorder="1"/>
    <xf numFmtId="3" fontId="4" fillId="0" borderId="0" xfId="0" applyNumberFormat="1" applyFont="1"/>
    <xf numFmtId="14" fontId="0" fillId="0" borderId="32" xfId="0" applyNumberFormat="1" applyBorder="1"/>
    <xf numFmtId="3" fontId="0" fillId="0" borderId="13" xfId="0" applyNumberFormat="1" applyBorder="1"/>
    <xf numFmtId="3" fontId="15" fillId="0" borderId="0" xfId="0" applyNumberFormat="1" applyFont="1"/>
    <xf numFmtId="1" fontId="0" fillId="0" borderId="0" xfId="0" applyNumberFormat="1"/>
    <xf numFmtId="3" fontId="0" fillId="0" borderId="33" xfId="0" applyNumberFormat="1" applyBorder="1"/>
    <xf numFmtId="3" fontId="7" fillId="0" borderId="0" xfId="0" applyNumberFormat="1" applyFont="1"/>
    <xf numFmtId="0" fontId="0" fillId="0" borderId="32" xfId="0" applyBorder="1" applyAlignment="1">
      <alignment horizontal="right"/>
    </xf>
    <xf numFmtId="0" fontId="11" fillId="0" borderId="33" xfId="0" applyFont="1" applyBorder="1" applyAlignment="1">
      <alignment horizontal="center"/>
    </xf>
    <xf numFmtId="0" fontId="11" fillId="0" borderId="32" xfId="0" applyFont="1" applyBorder="1"/>
    <xf numFmtId="14" fontId="11" fillId="0" borderId="32" xfId="0" applyNumberFormat="1" applyFont="1" applyBorder="1"/>
    <xf numFmtId="0" fontId="11" fillId="0" borderId="51" xfId="0" applyFont="1" applyBorder="1"/>
    <xf numFmtId="3" fontId="11" fillId="0" borderId="51" xfId="0" applyNumberFormat="1" applyFont="1" applyBorder="1"/>
    <xf numFmtId="49" fontId="0" fillId="0" borderId="33" xfId="0" applyNumberFormat="1" applyBorder="1"/>
    <xf numFmtId="0" fontId="0" fillId="24" borderId="32" xfId="0" applyFill="1" applyBorder="1"/>
    <xf numFmtId="14" fontId="0" fillId="24" borderId="32" xfId="0" applyNumberFormat="1" applyFill="1" applyBorder="1"/>
    <xf numFmtId="0" fontId="0" fillId="24" borderId="51" xfId="0" applyFill="1" applyBorder="1"/>
    <xf numFmtId="3" fontId="0" fillId="24" borderId="35" xfId="0" applyNumberFormat="1" applyFill="1" applyBorder="1"/>
    <xf numFmtId="3" fontId="11" fillId="0" borderId="0" xfId="0" applyNumberFormat="1" applyFont="1"/>
    <xf numFmtId="0" fontId="8" fillId="0" borderId="33" xfId="0" applyFont="1" applyBorder="1" applyAlignment="1">
      <alignment horizontal="center"/>
    </xf>
    <xf numFmtId="0" fontId="0" fillId="0" borderId="50" xfId="0" applyBorder="1"/>
    <xf numFmtId="14" fontId="0" fillId="0" borderId="50" xfId="0" applyNumberFormat="1" applyBorder="1"/>
    <xf numFmtId="3" fontId="0" fillId="0" borderId="53" xfId="0" applyNumberFormat="1" applyBorder="1"/>
    <xf numFmtId="3" fontId="0" fillId="0" borderId="35" xfId="0" applyNumberFormat="1" applyBorder="1"/>
    <xf numFmtId="0" fontId="0" fillId="0" borderId="50" xfId="0" applyBorder="1" applyAlignment="1">
      <alignment horizontal="right"/>
    </xf>
    <xf numFmtId="0" fontId="17" fillId="0" borderId="53" xfId="0" applyFont="1" applyBorder="1"/>
    <xf numFmtId="14" fontId="11" fillId="0" borderId="50" xfId="0" applyNumberFormat="1" applyFont="1" applyBorder="1"/>
    <xf numFmtId="0" fontId="11" fillId="0" borderId="53" xfId="0" applyFont="1" applyBorder="1"/>
    <xf numFmtId="3" fontId="11" fillId="0" borderId="35" xfId="0" applyNumberFormat="1" applyFont="1" applyBorder="1"/>
    <xf numFmtId="0" fontId="17" fillId="0" borderId="50" xfId="0" applyFont="1" applyBorder="1"/>
    <xf numFmtId="3" fontId="17" fillId="0" borderId="53" xfId="0" applyNumberFormat="1" applyFont="1" applyBorder="1"/>
    <xf numFmtId="3" fontId="6" fillId="0" borderId="0" xfId="0" applyNumberFormat="1" applyFont="1"/>
    <xf numFmtId="0" fontId="17" fillId="0" borderId="33" xfId="0" applyFont="1" applyBorder="1" applyAlignment="1">
      <alignment horizontal="center"/>
    </xf>
    <xf numFmtId="0" fontId="17" fillId="0" borderId="50" xfId="0" applyFont="1" applyBorder="1" applyAlignment="1">
      <alignment horizontal="right"/>
    </xf>
    <xf numFmtId="0" fontId="11" fillId="0" borderId="51" xfId="0" applyFont="1" applyBorder="1" applyAlignment="1">
      <alignment horizontal="left"/>
    </xf>
    <xf numFmtId="3" fontId="17" fillId="0" borderId="51" xfId="0" applyNumberFormat="1" applyFont="1" applyBorder="1"/>
    <xf numFmtId="0" fontId="17" fillId="0" borderId="51" xfId="0" applyFont="1" applyBorder="1"/>
    <xf numFmtId="0" fontId="0" fillId="0" borderId="53" xfId="0" applyBorder="1"/>
    <xf numFmtId="0" fontId="18" fillId="0" borderId="0" xfId="0" applyFont="1" applyAlignment="1">
      <alignment horizontal="left" indent="1"/>
    </xf>
    <xf numFmtId="37" fontId="6" fillId="0" borderId="33" xfId="0" applyNumberFormat="1" applyFont="1" applyBorder="1" applyAlignment="1">
      <alignment horizontal="right"/>
    </xf>
    <xf numFmtId="3" fontId="16" fillId="0" borderId="39" xfId="0" applyNumberFormat="1" applyFont="1" applyBorder="1"/>
    <xf numFmtId="4" fontId="0" fillId="0" borderId="52" xfId="0" applyNumberFormat="1" applyBorder="1"/>
    <xf numFmtId="3" fontId="4" fillId="0" borderId="13" xfId="0" applyNumberFormat="1" applyFont="1" applyBorder="1"/>
    <xf numFmtId="2" fontId="15" fillId="0" borderId="0" xfId="0" applyNumberFormat="1" applyFont="1"/>
    <xf numFmtId="37" fontId="0" fillId="0" borderId="0" xfId="0" applyNumberFormat="1"/>
    <xf numFmtId="49" fontId="15" fillId="0" borderId="33" xfId="0" applyNumberFormat="1" applyFont="1" applyBorder="1"/>
    <xf numFmtId="3" fontId="7" fillId="0" borderId="33" xfId="0" applyNumberFormat="1" applyFont="1" applyBorder="1"/>
    <xf numFmtId="173" fontId="7" fillId="0" borderId="33" xfId="0" applyNumberFormat="1" applyFont="1" applyBorder="1"/>
    <xf numFmtId="3" fontId="7" fillId="0" borderId="35" xfId="0" applyNumberFormat="1" applyFont="1" applyBorder="1"/>
    <xf numFmtId="173" fontId="7" fillId="0" borderId="35" xfId="0" applyNumberFormat="1" applyFont="1" applyBorder="1"/>
    <xf numFmtId="49" fontId="15" fillId="27" borderId="39" xfId="0" applyNumberFormat="1" applyFont="1" applyFill="1" applyBorder="1"/>
    <xf numFmtId="3" fontId="15" fillId="27" borderId="28" xfId="0" applyNumberFormat="1" applyFont="1" applyFill="1" applyBorder="1"/>
    <xf numFmtId="3" fontId="15" fillId="27" borderId="30" xfId="0" applyNumberFormat="1" applyFont="1" applyFill="1" applyBorder="1"/>
    <xf numFmtId="0" fontId="7" fillId="0" borderId="13" xfId="0" applyFont="1" applyBorder="1"/>
    <xf numFmtId="173" fontId="7" fillId="0" borderId="13" xfId="0" applyNumberFormat="1" applyFont="1" applyBorder="1"/>
    <xf numFmtId="173" fontId="7" fillId="0" borderId="52" xfId="0" applyNumberFormat="1" applyFont="1" applyBorder="1"/>
    <xf numFmtId="173" fontId="7" fillId="0" borderId="51" xfId="0" applyNumberFormat="1" applyFont="1" applyBorder="1"/>
    <xf numFmtId="0" fontId="7" fillId="0" borderId="46" xfId="0" applyFont="1" applyBorder="1"/>
    <xf numFmtId="173" fontId="7" fillId="0" borderId="31" xfId="0" applyNumberFormat="1" applyFont="1" applyBorder="1"/>
    <xf numFmtId="3" fontId="7" fillId="0" borderId="31" xfId="0" applyNumberFormat="1" applyFont="1" applyBorder="1"/>
    <xf numFmtId="0" fontId="15" fillId="27" borderId="55" xfId="0" applyFont="1" applyFill="1" applyBorder="1"/>
    <xf numFmtId="173" fontId="15" fillId="27" borderId="16" xfId="0" applyNumberFormat="1" applyFont="1" applyFill="1" applyBorder="1"/>
    <xf numFmtId="0" fontId="15" fillId="27" borderId="35" xfId="0" applyFont="1" applyFill="1" applyBorder="1"/>
    <xf numFmtId="3" fontId="15" fillId="27" borderId="35" xfId="0" applyNumberFormat="1" applyFont="1" applyFill="1" applyBorder="1"/>
    <xf numFmtId="0" fontId="15" fillId="0" borderId="35" xfId="0" applyFont="1" applyBorder="1"/>
    <xf numFmtId="3" fontId="15" fillId="0" borderId="35" xfId="0" applyNumberFormat="1" applyFont="1" applyBorder="1"/>
    <xf numFmtId="0" fontId="7" fillId="0" borderId="35" xfId="0" applyFont="1" applyBorder="1"/>
    <xf numFmtId="0" fontId="15" fillId="24" borderId="39" xfId="0" applyFont="1" applyFill="1" applyBorder="1"/>
    <xf numFmtId="3" fontId="15" fillId="24" borderId="28" xfId="0" applyNumberFormat="1" applyFont="1" applyFill="1" applyBorder="1"/>
    <xf numFmtId="0" fontId="15" fillId="0" borderId="48" xfId="0" applyFont="1" applyBorder="1"/>
    <xf numFmtId="173" fontId="15" fillId="0" borderId="48" xfId="0" applyNumberFormat="1" applyFont="1" applyBorder="1"/>
    <xf numFmtId="2" fontId="7" fillId="0" borderId="45" xfId="0" applyNumberFormat="1" applyFont="1" applyBorder="1"/>
    <xf numFmtId="2" fontId="10" fillId="0" borderId="0" xfId="0" applyNumberFormat="1" applyFont="1"/>
    <xf numFmtId="49" fontId="7" fillId="0" borderId="46" xfId="0" applyNumberFormat="1" applyFont="1" applyBorder="1"/>
    <xf numFmtId="3" fontId="7" fillId="0" borderId="51" xfId="0" applyNumberFormat="1" applyFont="1" applyBorder="1"/>
    <xf numFmtId="0" fontId="15" fillId="27" borderId="39" xfId="0" applyFont="1" applyFill="1" applyBorder="1"/>
    <xf numFmtId="173" fontId="15" fillId="27" borderId="28" xfId="0" applyNumberFormat="1" applyFont="1" applyFill="1" applyBorder="1"/>
    <xf numFmtId="173" fontId="15" fillId="27" borderId="33" xfId="0" applyNumberFormat="1" applyFont="1" applyFill="1" applyBorder="1"/>
    <xf numFmtId="0" fontId="15" fillId="27" borderId="33" xfId="0" applyFont="1" applyFill="1" applyBorder="1"/>
    <xf numFmtId="3" fontId="15" fillId="27" borderId="33" xfId="0" applyNumberFormat="1" applyFont="1" applyFill="1" applyBorder="1"/>
    <xf numFmtId="3" fontId="7" fillId="0" borderId="13" xfId="0" applyNumberFormat="1" applyFont="1" applyBorder="1"/>
    <xf numFmtId="3" fontId="15" fillId="0" borderId="13" xfId="0" applyNumberFormat="1" applyFont="1" applyBorder="1"/>
    <xf numFmtId="0" fontId="15" fillId="24" borderId="33" xfId="0" applyFont="1" applyFill="1" applyBorder="1"/>
    <xf numFmtId="3" fontId="15" fillId="24" borderId="33" xfId="0" applyNumberFormat="1" applyFont="1" applyFill="1" applyBorder="1"/>
    <xf numFmtId="2" fontId="15" fillId="30" borderId="32" xfId="0" applyNumberFormat="1" applyFont="1" applyFill="1" applyBorder="1"/>
    <xf numFmtId="2" fontId="7" fillId="30" borderId="40" xfId="0" applyNumberFormat="1" applyFont="1" applyFill="1" applyBorder="1"/>
    <xf numFmtId="49" fontId="7" fillId="0" borderId="17" xfId="0" applyNumberFormat="1" applyFont="1" applyBorder="1"/>
    <xf numFmtId="2" fontId="7" fillId="0" borderId="17" xfId="0" applyNumberFormat="1" applyFont="1" applyBorder="1"/>
    <xf numFmtId="0" fontId="7" fillId="0" borderId="17" xfId="0" applyFont="1" applyBorder="1"/>
    <xf numFmtId="0" fontId="10" fillId="28" borderId="47" xfId="0" applyFont="1" applyFill="1" applyBorder="1" applyAlignment="1">
      <alignment horizontal="center"/>
    </xf>
    <xf numFmtId="0" fontId="4" fillId="0" borderId="50" xfId="0" applyFont="1" applyBorder="1"/>
    <xf numFmtId="4" fontId="4" fillId="0" borderId="53" xfId="0" applyNumberFormat="1" applyFont="1" applyBorder="1"/>
    <xf numFmtId="0" fontId="19" fillId="0" borderId="32" xfId="0" applyFont="1" applyBorder="1"/>
    <xf numFmtId="0" fontId="20" fillId="0" borderId="34" xfId="0" applyFont="1" applyBorder="1"/>
    <xf numFmtId="0" fontId="20" fillId="0" borderId="51" xfId="0" applyFont="1" applyBorder="1"/>
    <xf numFmtId="0" fontId="0" fillId="0" borderId="34" xfId="0" applyBorder="1" applyAlignment="1">
      <alignment horizontal="center"/>
    </xf>
    <xf numFmtId="3" fontId="4" fillId="0" borderId="32" xfId="0" applyNumberFormat="1" applyFont="1" applyBorder="1"/>
    <xf numFmtId="0" fontId="0" fillId="0" borderId="20" xfId="0" applyBorder="1"/>
    <xf numFmtId="4" fontId="0" fillId="0" borderId="51" xfId="0" applyNumberFormat="1" applyBorder="1"/>
    <xf numFmtId="3" fontId="0" fillId="0" borderId="52" xfId="0" applyNumberFormat="1" applyBorder="1"/>
    <xf numFmtId="0" fontId="0" fillId="0" borderId="46" xfId="0" applyBorder="1"/>
    <xf numFmtId="0" fontId="0" fillId="0" borderId="49" xfId="0" applyBorder="1"/>
    <xf numFmtId="0" fontId="0" fillId="0" borderId="52" xfId="0" applyBorder="1"/>
    <xf numFmtId="4" fontId="0" fillId="0" borderId="0" xfId="0" applyNumberFormat="1"/>
    <xf numFmtId="3" fontId="7" fillId="27" borderId="28" xfId="0" applyNumberFormat="1" applyFont="1" applyFill="1" applyBorder="1"/>
    <xf numFmtId="173" fontId="7" fillId="27" borderId="30" xfId="0" applyNumberFormat="1" applyFont="1" applyFill="1" applyBorder="1"/>
    <xf numFmtId="173" fontId="15" fillId="27" borderId="30" xfId="0" applyNumberFormat="1" applyFont="1" applyFill="1" applyBorder="1"/>
    <xf numFmtId="173" fontId="7" fillId="0" borderId="53" xfId="0" applyNumberFormat="1" applyFont="1" applyBorder="1"/>
    <xf numFmtId="3" fontId="7" fillId="27" borderId="35" xfId="0" applyNumberFormat="1" applyFont="1" applyFill="1" applyBorder="1"/>
    <xf numFmtId="0" fontId="15" fillId="0" borderId="33" xfId="0" applyFont="1" applyBorder="1"/>
    <xf numFmtId="0" fontId="15" fillId="0" borderId="25" xfId="0" applyFont="1" applyBorder="1"/>
    <xf numFmtId="173" fontId="15" fillId="0" borderId="25" xfId="0" applyNumberFormat="1" applyFont="1" applyBorder="1"/>
    <xf numFmtId="0" fontId="10" fillId="27" borderId="0" xfId="0" applyFont="1" applyFill="1" applyAlignment="1">
      <alignment horizontal="center"/>
    </xf>
    <xf numFmtId="14" fontId="0" fillId="0" borderId="0" xfId="0" applyNumberFormat="1"/>
    <xf numFmtId="173" fontId="7" fillId="27" borderId="35" xfId="0" applyNumberFormat="1" applyFont="1" applyFill="1" applyBorder="1"/>
    <xf numFmtId="0" fontId="15" fillId="0" borderId="0" xfId="0" applyFont="1"/>
    <xf numFmtId="173" fontId="15" fillId="0" borderId="0" xfId="0" applyNumberFormat="1" applyFont="1"/>
    <xf numFmtId="0" fontId="4" fillId="27" borderId="33" xfId="0" applyFont="1" applyFill="1" applyBorder="1"/>
    <xf numFmtId="0" fontId="0" fillId="27" borderId="33" xfId="0" applyFill="1" applyBorder="1"/>
    <xf numFmtId="0" fontId="3" fillId="0" borderId="0" xfId="33"/>
    <xf numFmtId="0" fontId="7" fillId="0" borderId="0" xfId="33" applyFont="1"/>
    <xf numFmtId="0" fontId="7" fillId="0" borderId="62" xfId="33" applyFont="1" applyBorder="1"/>
    <xf numFmtId="0" fontId="7" fillId="0" borderId="62" xfId="33" applyFont="1" applyBorder="1" applyAlignment="1">
      <alignment horizontal="center"/>
    </xf>
    <xf numFmtId="0" fontId="7" fillId="0" borderId="61" xfId="33" applyFont="1" applyBorder="1" applyAlignment="1">
      <alignment horizontal="center"/>
    </xf>
    <xf numFmtId="49" fontId="7" fillId="0" borderId="62" xfId="33" applyNumberFormat="1" applyFont="1" applyBorder="1"/>
    <xf numFmtId="2" fontId="7" fillId="0" borderId="62" xfId="33" applyNumberFormat="1" applyFont="1" applyBorder="1"/>
    <xf numFmtId="2" fontId="7" fillId="0" borderId="61" xfId="33" applyNumberFormat="1" applyFont="1" applyBorder="1"/>
    <xf numFmtId="2" fontId="7" fillId="0" borderId="62" xfId="33" applyNumberFormat="1" applyFont="1" applyBorder="1" applyAlignment="1">
      <alignment horizontal="right"/>
    </xf>
    <xf numFmtId="49" fontId="7" fillId="0" borderId="63" xfId="33" applyNumberFormat="1" applyFont="1" applyBorder="1"/>
    <xf numFmtId="2" fontId="7" fillId="0" borderId="63" xfId="33" applyNumberFormat="1" applyFont="1" applyBorder="1"/>
    <xf numFmtId="2" fontId="7" fillId="0" borderId="64" xfId="33" applyNumberFormat="1" applyFont="1" applyBorder="1"/>
    <xf numFmtId="2" fontId="7" fillId="0" borderId="65" xfId="33" applyNumberFormat="1" applyFont="1" applyBorder="1"/>
    <xf numFmtId="49" fontId="7" fillId="0" borderId="66" xfId="33" applyNumberFormat="1" applyFont="1" applyBorder="1"/>
    <xf numFmtId="2" fontId="7" fillId="0" borderId="66" xfId="33" applyNumberFormat="1" applyFont="1" applyBorder="1"/>
    <xf numFmtId="2" fontId="7" fillId="0" borderId="67" xfId="33" applyNumberFormat="1" applyFont="1" applyBorder="1"/>
    <xf numFmtId="2" fontId="7" fillId="0" borderId="68" xfId="33" applyNumberFormat="1" applyFont="1" applyBorder="1"/>
    <xf numFmtId="49" fontId="7" fillId="0" borderId="0" xfId="33" applyNumberFormat="1" applyFont="1"/>
    <xf numFmtId="2" fontId="7" fillId="0" borderId="0" xfId="33" applyNumberFormat="1" applyFont="1"/>
    <xf numFmtId="0" fontId="7" fillId="38" borderId="0" xfId="33" applyFont="1" applyFill="1"/>
    <xf numFmtId="2" fontId="7" fillId="38" borderId="62" xfId="33" applyNumberFormat="1" applyFont="1" applyFill="1" applyBorder="1"/>
    <xf numFmtId="49" fontId="7" fillId="0" borderId="65" xfId="33" applyNumberFormat="1" applyFont="1" applyBorder="1"/>
    <xf numFmtId="2" fontId="7" fillId="38" borderId="65" xfId="33" applyNumberFormat="1" applyFont="1" applyFill="1" applyBorder="1"/>
    <xf numFmtId="49" fontId="7" fillId="0" borderId="69" xfId="33" applyNumberFormat="1" applyFont="1" applyBorder="1"/>
    <xf numFmtId="2" fontId="7" fillId="0" borderId="70" xfId="33" applyNumberFormat="1" applyFont="1" applyBorder="1"/>
    <xf numFmtId="2" fontId="7" fillId="0" borderId="71" xfId="33" applyNumberFormat="1" applyFont="1" applyBorder="1"/>
    <xf numFmtId="2" fontId="7" fillId="35" borderId="72" xfId="33" applyNumberFormat="1" applyFont="1" applyFill="1" applyBorder="1"/>
    <xf numFmtId="2" fontId="7" fillId="38" borderId="72" xfId="33" applyNumberFormat="1" applyFont="1" applyFill="1" applyBorder="1"/>
    <xf numFmtId="2" fontId="7" fillId="33" borderId="62" xfId="33" applyNumberFormat="1" applyFont="1" applyFill="1" applyBorder="1"/>
    <xf numFmtId="49" fontId="15" fillId="36" borderId="62" xfId="33" applyNumberFormat="1" applyFont="1" applyFill="1" applyBorder="1"/>
    <xf numFmtId="2" fontId="15" fillId="36" borderId="62" xfId="33" applyNumberFormat="1" applyFont="1" applyFill="1" applyBorder="1"/>
    <xf numFmtId="2" fontId="15" fillId="38" borderId="68" xfId="33" applyNumberFormat="1" applyFont="1" applyFill="1" applyBorder="1"/>
    <xf numFmtId="49" fontId="15" fillId="0" borderId="0" xfId="33" applyNumberFormat="1" applyFont="1"/>
    <xf numFmtId="1" fontId="7" fillId="0" borderId="62" xfId="33" applyNumberFormat="1" applyFont="1" applyBorder="1" applyAlignment="1">
      <alignment horizontal="center"/>
    </xf>
    <xf numFmtId="166" fontId="7" fillId="0" borderId="62" xfId="33" applyNumberFormat="1" applyFont="1" applyBorder="1" applyAlignment="1">
      <alignment horizontal="center"/>
    </xf>
    <xf numFmtId="1" fontId="7" fillId="0" borderId="0" xfId="33" applyNumberFormat="1" applyFont="1"/>
    <xf numFmtId="1" fontId="7" fillId="33" borderId="62" xfId="33" applyNumberFormat="1" applyFont="1" applyFill="1" applyBorder="1"/>
    <xf numFmtId="0" fontId="10" fillId="34" borderId="0" xfId="33" applyFont="1" applyFill="1"/>
    <xf numFmtId="0" fontId="3" fillId="34" borderId="0" xfId="33" applyFill="1"/>
    <xf numFmtId="0" fontId="4" fillId="34" borderId="0" xfId="33" applyFont="1" applyFill="1"/>
    <xf numFmtId="0" fontId="4" fillId="0" borderId="73" xfId="33" applyFont="1" applyBorder="1"/>
    <xf numFmtId="0" fontId="7" fillId="0" borderId="74" xfId="33" applyFont="1" applyBorder="1" applyAlignment="1">
      <alignment horizontal="center"/>
    </xf>
    <xf numFmtId="0" fontId="7" fillId="0" borderId="75" xfId="33" applyFont="1" applyBorder="1" applyAlignment="1">
      <alignment horizontal="center"/>
    </xf>
    <xf numFmtId="0" fontId="3" fillId="0" borderId="76" xfId="33" applyBorder="1"/>
    <xf numFmtId="0" fontId="3" fillId="0" borderId="62" xfId="33" applyBorder="1" applyAlignment="1">
      <alignment horizontal="center"/>
    </xf>
    <xf numFmtId="0" fontId="3" fillId="0" borderId="77" xfId="33" applyBorder="1" applyAlignment="1">
      <alignment horizontal="center"/>
    </xf>
    <xf numFmtId="0" fontId="3" fillId="0" borderId="78" xfId="33" applyBorder="1"/>
    <xf numFmtId="0" fontId="3" fillId="0" borderId="63" xfId="33" applyBorder="1" applyAlignment="1">
      <alignment horizontal="center"/>
    </xf>
    <xf numFmtId="0" fontId="3" fillId="0" borderId="79" xfId="33" applyBorder="1" applyAlignment="1">
      <alignment horizontal="center"/>
    </xf>
    <xf numFmtId="1" fontId="7" fillId="0" borderId="72" xfId="33" applyNumberFormat="1" applyFont="1" applyBorder="1" applyAlignment="1">
      <alignment horizontal="center"/>
    </xf>
    <xf numFmtId="1" fontId="7" fillId="0" borderId="81" xfId="33" applyNumberFormat="1" applyFont="1" applyBorder="1" applyAlignment="1">
      <alignment horizontal="center"/>
    </xf>
    <xf numFmtId="1" fontId="3" fillId="0" borderId="62" xfId="33" applyNumberFormat="1" applyBorder="1" applyAlignment="1">
      <alignment horizontal="center"/>
    </xf>
    <xf numFmtId="1" fontId="3" fillId="0" borderId="65" xfId="33" applyNumberFormat="1" applyBorder="1" applyAlignment="1">
      <alignment horizontal="center"/>
    </xf>
    <xf numFmtId="1" fontId="3" fillId="0" borderId="63" xfId="33" applyNumberFormat="1" applyBorder="1" applyAlignment="1">
      <alignment horizontal="center"/>
    </xf>
    <xf numFmtId="1" fontId="7" fillId="0" borderId="82" xfId="33" applyNumberFormat="1" applyFont="1" applyBorder="1" applyAlignment="1">
      <alignment horizontal="center"/>
    </xf>
    <xf numFmtId="0" fontId="3" fillId="0" borderId="83" xfId="33" applyBorder="1"/>
    <xf numFmtId="0" fontId="10" fillId="0" borderId="0" xfId="33" applyFont="1"/>
    <xf numFmtId="0" fontId="4" fillId="0" borderId="59" xfId="33" applyFont="1" applyBorder="1"/>
    <xf numFmtId="0" fontId="3" fillId="0" borderId="60" xfId="33" applyBorder="1"/>
    <xf numFmtId="4" fontId="4" fillId="0" borderId="61" xfId="33" applyNumberFormat="1" applyFont="1" applyBorder="1"/>
    <xf numFmtId="0" fontId="3" fillId="0" borderId="59" xfId="33" applyBorder="1"/>
    <xf numFmtId="0" fontId="4" fillId="0" borderId="60" xfId="33" applyFont="1" applyBorder="1"/>
    <xf numFmtId="0" fontId="4" fillId="0" borderId="61" xfId="33" applyFont="1" applyBorder="1"/>
    <xf numFmtId="0" fontId="3" fillId="0" borderId="61" xfId="33" applyBorder="1"/>
    <xf numFmtId="3" fontId="3" fillId="0" borderId="61" xfId="33" applyNumberFormat="1" applyBorder="1"/>
    <xf numFmtId="3" fontId="3" fillId="0" borderId="0" xfId="33" applyNumberFormat="1"/>
    <xf numFmtId="0" fontId="3" fillId="0" borderId="62" xfId="33" applyBorder="1"/>
    <xf numFmtId="3" fontId="40" fillId="0" borderId="72" xfId="33" applyNumberFormat="1" applyFont="1" applyBorder="1" applyAlignment="1">
      <alignment horizontal="center"/>
    </xf>
    <xf numFmtId="0" fontId="3" fillId="0" borderId="84" xfId="33" applyBorder="1"/>
    <xf numFmtId="0" fontId="3" fillId="0" borderId="85" xfId="33" applyBorder="1"/>
    <xf numFmtId="0" fontId="3" fillId="0" borderId="86" xfId="33" applyBorder="1"/>
    <xf numFmtId="3" fontId="3" fillId="0" borderId="62" xfId="33" applyNumberFormat="1" applyBorder="1"/>
    <xf numFmtId="3" fontId="21" fillId="0" borderId="0" xfId="33" applyNumberFormat="1" applyFont="1"/>
    <xf numFmtId="0" fontId="4" fillId="0" borderId="0" xfId="33" applyFont="1"/>
    <xf numFmtId="3" fontId="4" fillId="0" borderId="0" xfId="33" applyNumberFormat="1" applyFont="1"/>
    <xf numFmtId="1" fontId="3" fillId="0" borderId="0" xfId="33" applyNumberFormat="1"/>
    <xf numFmtId="0" fontId="3" fillId="0" borderId="59" xfId="33" applyBorder="1" applyAlignment="1">
      <alignment horizontal="right"/>
    </xf>
    <xf numFmtId="14" fontId="3" fillId="0" borderId="59" xfId="33" applyNumberFormat="1" applyBorder="1"/>
    <xf numFmtId="0" fontId="3" fillId="37" borderId="62" xfId="33" applyFill="1" applyBorder="1" applyAlignment="1">
      <alignment horizontal="center"/>
    </xf>
    <xf numFmtId="0" fontId="3" fillId="37" borderId="59" xfId="33" applyFill="1" applyBorder="1"/>
    <xf numFmtId="14" fontId="3" fillId="37" borderId="59" xfId="33" applyNumberFormat="1" applyFill="1" applyBorder="1"/>
    <xf numFmtId="0" fontId="3" fillId="37" borderId="61" xfId="33" applyFill="1" applyBorder="1"/>
    <xf numFmtId="3" fontId="3" fillId="37" borderId="65" xfId="33" applyNumberFormat="1" applyFill="1" applyBorder="1"/>
    <xf numFmtId="0" fontId="3" fillId="0" borderId="87" xfId="33" applyBorder="1"/>
    <xf numFmtId="14" fontId="3" fillId="0" borderId="87" xfId="33" applyNumberFormat="1" applyBorder="1"/>
    <xf numFmtId="3" fontId="3" fillId="0" borderId="88" xfId="33" applyNumberFormat="1" applyBorder="1"/>
    <xf numFmtId="3" fontId="3" fillId="0" borderId="65" xfId="33" applyNumberFormat="1" applyBorder="1"/>
    <xf numFmtId="0" fontId="3" fillId="0" borderId="87" xfId="33" applyBorder="1" applyAlignment="1">
      <alignment horizontal="right"/>
    </xf>
    <xf numFmtId="0" fontId="3" fillId="0" borderId="88" xfId="33" applyBorder="1"/>
    <xf numFmtId="3" fontId="6" fillId="0" borderId="0" xfId="33" applyNumberFormat="1" applyFont="1"/>
    <xf numFmtId="0" fontId="3" fillId="0" borderId="61" xfId="33" applyBorder="1" applyAlignment="1">
      <alignment horizontal="left"/>
    </xf>
    <xf numFmtId="3" fontId="11" fillId="0" borderId="0" xfId="33" applyNumberFormat="1" applyFont="1"/>
    <xf numFmtId="0" fontId="11" fillId="0" borderId="87" xfId="33" applyFont="1" applyBorder="1"/>
    <xf numFmtId="14" fontId="11" fillId="0" borderId="87" xfId="33" applyNumberFormat="1" applyFont="1" applyBorder="1"/>
    <xf numFmtId="3" fontId="7" fillId="0" borderId="0" xfId="33" applyNumberFormat="1" applyFont="1"/>
    <xf numFmtId="0" fontId="3" fillId="0" borderId="89" xfId="33" applyBorder="1" applyAlignment="1">
      <alignment horizontal="center"/>
    </xf>
    <xf numFmtId="0" fontId="21" fillId="0" borderId="0" xfId="33" applyFont="1"/>
    <xf numFmtId="3" fontId="40" fillId="0" borderId="69" xfId="33" applyNumberFormat="1" applyFont="1" applyBorder="1"/>
    <xf numFmtId="0" fontId="3" fillId="0" borderId="90" xfId="33" applyBorder="1"/>
    <xf numFmtId="4" fontId="3" fillId="0" borderId="91" xfId="33" applyNumberFormat="1" applyBorder="1"/>
    <xf numFmtId="2" fontId="15" fillId="0" borderId="0" xfId="33" applyNumberFormat="1" applyFont="1"/>
    <xf numFmtId="37" fontId="3" fillId="0" borderId="0" xfId="33" applyNumberFormat="1"/>
    <xf numFmtId="49" fontId="15" fillId="0" borderId="62" xfId="33" applyNumberFormat="1" applyFont="1" applyBorder="1"/>
    <xf numFmtId="3" fontId="7" fillId="0" borderId="62" xfId="33" applyNumberFormat="1" applyFont="1" applyBorder="1"/>
    <xf numFmtId="168" fontId="7" fillId="0" borderId="62" xfId="33" applyNumberFormat="1" applyFont="1" applyBorder="1"/>
    <xf numFmtId="3" fontId="7" fillId="0" borderId="65" xfId="33" applyNumberFormat="1" applyFont="1" applyBorder="1"/>
    <xf numFmtId="168" fontId="7" fillId="0" borderId="65" xfId="33" applyNumberFormat="1" applyFont="1" applyBorder="1"/>
    <xf numFmtId="49" fontId="15" fillId="39" borderId="69" xfId="33" applyNumberFormat="1" applyFont="1" applyFill="1" applyBorder="1"/>
    <xf numFmtId="3" fontId="15" fillId="39" borderId="70" xfId="33" applyNumberFormat="1" applyFont="1" applyFill="1" applyBorder="1"/>
    <xf numFmtId="3" fontId="15" fillId="39" borderId="71" xfId="33" applyNumberFormat="1" applyFont="1" applyFill="1" applyBorder="1"/>
    <xf numFmtId="0" fontId="7" fillId="0" borderId="72" xfId="33" applyFont="1" applyBorder="1"/>
    <xf numFmtId="168" fontId="7" fillId="0" borderId="72" xfId="33" applyNumberFormat="1" applyFont="1" applyBorder="1"/>
    <xf numFmtId="168" fontId="7" fillId="0" borderId="91" xfId="33" applyNumberFormat="1" applyFont="1" applyBorder="1"/>
    <xf numFmtId="168" fontId="7" fillId="0" borderId="61" xfId="33" applyNumberFormat="1" applyFont="1" applyBorder="1"/>
    <xf numFmtId="3" fontId="7" fillId="0" borderId="62" xfId="33" quotePrefix="1" applyNumberFormat="1" applyFont="1" applyBorder="1"/>
    <xf numFmtId="0" fontId="15" fillId="39" borderId="78" xfId="33" applyFont="1" applyFill="1" applyBorder="1"/>
    <xf numFmtId="168" fontId="15" fillId="39" borderId="66" xfId="33" applyNumberFormat="1" applyFont="1" applyFill="1" applyBorder="1"/>
    <xf numFmtId="0" fontId="7" fillId="0" borderId="0" xfId="33" applyFont="1" applyAlignment="1">
      <alignment horizontal="right"/>
    </xf>
    <xf numFmtId="168" fontId="7" fillId="0" borderId="89" xfId="33" applyNumberFormat="1" applyFont="1" applyBorder="1"/>
    <xf numFmtId="0" fontId="15" fillId="39" borderId="65" xfId="33" applyFont="1" applyFill="1" applyBorder="1"/>
    <xf numFmtId="3" fontId="15" fillId="39" borderId="65" xfId="33" applyNumberFormat="1" applyFont="1" applyFill="1" applyBorder="1"/>
    <xf numFmtId="0" fontId="15" fillId="0" borderId="65" xfId="33" applyFont="1" applyBorder="1"/>
    <xf numFmtId="3" fontId="15" fillId="0" borderId="65" xfId="33" applyNumberFormat="1" applyFont="1" applyBorder="1"/>
    <xf numFmtId="0" fontId="7" fillId="0" borderId="65" xfId="33" applyFont="1" applyBorder="1"/>
    <xf numFmtId="0" fontId="15" fillId="37" borderId="69" xfId="33" applyFont="1" applyFill="1" applyBorder="1"/>
    <xf numFmtId="3" fontId="15" fillId="37" borderId="70" xfId="33" applyNumberFormat="1" applyFont="1" applyFill="1" applyBorder="1"/>
    <xf numFmtId="0" fontId="15" fillId="0" borderId="86" xfId="33" applyFont="1" applyBorder="1"/>
    <xf numFmtId="168" fontId="15" fillId="0" borderId="86" xfId="33" applyNumberFormat="1" applyFont="1" applyBorder="1"/>
    <xf numFmtId="2" fontId="7" fillId="0" borderId="92" xfId="33" applyNumberFormat="1" applyFont="1" applyBorder="1"/>
    <xf numFmtId="2" fontId="10" fillId="0" borderId="0" xfId="33" applyNumberFormat="1" applyFont="1"/>
    <xf numFmtId="49" fontId="7" fillId="0" borderId="93" xfId="33" applyNumberFormat="1" applyFont="1" applyBorder="1"/>
    <xf numFmtId="3" fontId="7" fillId="0" borderId="89" xfId="33" applyNumberFormat="1" applyFont="1" applyBorder="1"/>
    <xf numFmtId="3" fontId="7" fillId="0" borderId="61" xfId="33" applyNumberFormat="1" applyFont="1" applyBorder="1"/>
    <xf numFmtId="0" fontId="7" fillId="0" borderId="93" xfId="33" applyFont="1" applyBorder="1"/>
    <xf numFmtId="0" fontId="15" fillId="39" borderId="69" xfId="33" applyFont="1" applyFill="1" applyBorder="1"/>
    <xf numFmtId="168" fontId="15" fillId="39" borderId="70" xfId="33" applyNumberFormat="1" applyFont="1" applyFill="1" applyBorder="1"/>
    <xf numFmtId="168" fontId="15" fillId="39" borderId="62" xfId="33" applyNumberFormat="1" applyFont="1" applyFill="1" applyBorder="1"/>
    <xf numFmtId="0" fontId="15" fillId="39" borderId="62" xfId="33" applyFont="1" applyFill="1" applyBorder="1"/>
    <xf numFmtId="3" fontId="15" fillId="39" borderId="62" xfId="33" applyNumberFormat="1" applyFont="1" applyFill="1" applyBorder="1"/>
    <xf numFmtId="3" fontId="7" fillId="0" borderId="72" xfId="33" applyNumberFormat="1" applyFont="1" applyBorder="1"/>
    <xf numFmtId="3" fontId="15" fillId="0" borderId="72" xfId="33" applyNumberFormat="1" applyFont="1" applyBorder="1"/>
    <xf numFmtId="0" fontId="15" fillId="37" borderId="62" xfId="33" applyFont="1" applyFill="1" applyBorder="1"/>
    <xf numFmtId="3" fontId="15" fillId="37" borderId="62" xfId="33" applyNumberFormat="1" applyFont="1" applyFill="1" applyBorder="1"/>
    <xf numFmtId="0" fontId="3" fillId="0" borderId="94" xfId="33" applyBorder="1"/>
    <xf numFmtId="2" fontId="15" fillId="36" borderId="59" xfId="33" applyNumberFormat="1" applyFont="1" applyFill="1" applyBorder="1"/>
    <xf numFmtId="2" fontId="7" fillId="36" borderId="68" xfId="33" applyNumberFormat="1" applyFont="1" applyFill="1" applyBorder="1"/>
    <xf numFmtId="49" fontId="7" fillId="0" borderId="83" xfId="33" applyNumberFormat="1" applyFont="1" applyBorder="1"/>
    <xf numFmtId="2" fontId="7" fillId="0" borderId="83" xfId="33" applyNumberFormat="1" applyFont="1" applyBorder="1"/>
    <xf numFmtId="0" fontId="7" fillId="0" borderId="83" xfId="33" applyFont="1" applyBorder="1"/>
    <xf numFmtId="0" fontId="10" fillId="33" borderId="95" xfId="33" applyFont="1" applyFill="1" applyBorder="1" applyAlignment="1">
      <alignment horizontal="center"/>
    </xf>
    <xf numFmtId="0" fontId="4" fillId="0" borderId="87" xfId="33" applyFont="1" applyBorder="1"/>
    <xf numFmtId="0" fontId="3" fillId="0" borderId="96" xfId="33" applyBorder="1"/>
    <xf numFmtId="4" fontId="4" fillId="0" borderId="88" xfId="33" applyNumberFormat="1" applyFont="1" applyBorder="1"/>
    <xf numFmtId="0" fontId="19" fillId="0" borderId="59" xfId="33" applyFont="1" applyBorder="1"/>
    <xf numFmtId="0" fontId="20" fillId="0" borderId="60" xfId="33" applyFont="1" applyBorder="1"/>
    <xf numFmtId="0" fontId="20" fillId="0" borderId="61" xfId="33" applyFont="1" applyBorder="1"/>
    <xf numFmtId="0" fontId="3" fillId="0" borderId="97" xfId="33" applyBorder="1"/>
    <xf numFmtId="0" fontId="3" fillId="0" borderId="95" xfId="33" applyBorder="1"/>
    <xf numFmtId="0" fontId="3" fillId="0" borderId="98" xfId="33" applyBorder="1"/>
    <xf numFmtId="0" fontId="3" fillId="0" borderId="99" xfId="33" applyBorder="1"/>
    <xf numFmtId="4" fontId="3" fillId="0" borderId="61" xfId="33" applyNumberFormat="1" applyBorder="1"/>
    <xf numFmtId="0" fontId="3" fillId="0" borderId="100" xfId="33" applyBorder="1"/>
    <xf numFmtId="0" fontId="3" fillId="0" borderId="93" xfId="33" applyBorder="1"/>
    <xf numFmtId="0" fontId="3" fillId="0" borderId="101" xfId="33" applyBorder="1"/>
    <xf numFmtId="0" fontId="3" fillId="0" borderId="102" xfId="33" applyBorder="1"/>
    <xf numFmtId="0" fontId="3" fillId="0" borderId="103" xfId="33" applyBorder="1"/>
    <xf numFmtId="0" fontId="3" fillId="0" borderId="91" xfId="33" applyBorder="1"/>
    <xf numFmtId="3" fontId="3" fillId="0" borderId="91" xfId="33" applyNumberFormat="1" applyBorder="1"/>
    <xf numFmtId="4" fontId="3" fillId="0" borderId="0" xfId="33" applyNumberFormat="1"/>
    <xf numFmtId="3" fontId="7" fillId="39" borderId="70" xfId="33" applyNumberFormat="1" applyFont="1" applyFill="1" applyBorder="1"/>
    <xf numFmtId="168" fontId="7" fillId="39" borderId="71" xfId="33" applyNumberFormat="1" applyFont="1" applyFill="1" applyBorder="1"/>
    <xf numFmtId="168" fontId="15" fillId="39" borderId="71" xfId="33" applyNumberFormat="1" applyFont="1" applyFill="1" applyBorder="1"/>
    <xf numFmtId="168" fontId="7" fillId="0" borderId="88" xfId="33" applyNumberFormat="1" applyFont="1" applyBorder="1"/>
    <xf numFmtId="3" fontId="7" fillId="39" borderId="65" xfId="33" applyNumberFormat="1" applyFont="1" applyFill="1" applyBorder="1"/>
    <xf numFmtId="0" fontId="15" fillId="0" borderId="62" xfId="33" applyFont="1" applyBorder="1"/>
    <xf numFmtId="0" fontId="15" fillId="0" borderId="94" xfId="33" applyFont="1" applyBorder="1"/>
    <xf numFmtId="168" fontId="15" fillId="0" borderId="94" xfId="33" applyNumberFormat="1" applyFont="1" applyBorder="1"/>
    <xf numFmtId="0" fontId="10" fillId="39" borderId="0" xfId="33" applyFont="1" applyFill="1" applyAlignment="1">
      <alignment horizontal="center"/>
    </xf>
    <xf numFmtId="14" fontId="3" fillId="0" borderId="0" xfId="33" applyNumberFormat="1"/>
    <xf numFmtId="168" fontId="7" fillId="39" borderId="65" xfId="33" applyNumberFormat="1" applyFont="1" applyFill="1" applyBorder="1"/>
    <xf numFmtId="0" fontId="15" fillId="0" borderId="0" xfId="33" applyFont="1"/>
    <xf numFmtId="168" fontId="15" fillId="0" borderId="0" xfId="33" applyNumberFormat="1" applyFont="1"/>
    <xf numFmtId="0" fontId="4" fillId="39" borderId="62" xfId="33" applyFont="1" applyFill="1" applyBorder="1"/>
    <xf numFmtId="0" fontId="3" fillId="39" borderId="62" xfId="33" applyFill="1" applyBorder="1"/>
    <xf numFmtId="0" fontId="4" fillId="0" borderId="107" xfId="33" applyFont="1" applyBorder="1" applyAlignment="1">
      <alignment wrapText="1"/>
    </xf>
    <xf numFmtId="0" fontId="3" fillId="39" borderId="106" xfId="33" applyFill="1" applyBorder="1" applyAlignment="1">
      <alignment wrapText="1"/>
    </xf>
    <xf numFmtId="0" fontId="3" fillId="0" borderId="98" xfId="33" applyBorder="1" applyAlignment="1">
      <alignment wrapText="1"/>
    </xf>
    <xf numFmtId="0" fontId="3" fillId="0" borderId="108" xfId="33" applyBorder="1" applyAlignment="1">
      <alignment wrapText="1"/>
    </xf>
    <xf numFmtId="167" fontId="3" fillId="39" borderId="106" xfId="33" applyNumberFormat="1" applyFill="1" applyBorder="1" applyAlignment="1">
      <alignment wrapText="1"/>
    </xf>
    <xf numFmtId="167" fontId="3" fillId="0" borderId="98" xfId="33" applyNumberFormat="1" applyBorder="1" applyAlignment="1">
      <alignment wrapText="1"/>
    </xf>
    <xf numFmtId="0" fontId="3" fillId="0" borderId="108" xfId="33" applyBorder="1"/>
    <xf numFmtId="0" fontId="3" fillId="0" borderId="109" xfId="33" applyBorder="1"/>
    <xf numFmtId="0" fontId="3" fillId="0" borderId="110" xfId="33" applyBorder="1"/>
    <xf numFmtId="0" fontId="3" fillId="39" borderId="89" xfId="33" applyFill="1" applyBorder="1"/>
    <xf numFmtId="0" fontId="3" fillId="0" borderId="111" xfId="33" applyBorder="1"/>
    <xf numFmtId="0" fontId="3" fillId="0" borderId="110" xfId="33" applyBorder="1" applyAlignment="1">
      <alignment wrapText="1"/>
    </xf>
    <xf numFmtId="167" fontId="3" fillId="39" borderId="89" xfId="33" applyNumberFormat="1" applyFill="1" applyBorder="1"/>
    <xf numFmtId="167" fontId="3" fillId="0" borderId="100" xfId="33" applyNumberFormat="1" applyBorder="1"/>
    <xf numFmtId="0" fontId="3" fillId="0" borderId="100" xfId="33" applyBorder="1" applyAlignment="1">
      <alignment wrapText="1"/>
    </xf>
    <xf numFmtId="0" fontId="3" fillId="39" borderId="89" xfId="33" applyFill="1" applyBorder="1" applyAlignment="1">
      <alignment wrapText="1"/>
    </xf>
    <xf numFmtId="0" fontId="3" fillId="0" borderId="111" xfId="33" applyBorder="1" applyAlignment="1">
      <alignment wrapText="1"/>
    </xf>
    <xf numFmtId="0" fontId="3" fillId="38" borderId="110" xfId="33" applyFill="1" applyBorder="1" applyAlignment="1">
      <alignment wrapText="1"/>
    </xf>
    <xf numFmtId="167" fontId="3" fillId="39" borderId="89" xfId="33" applyNumberFormat="1" applyFill="1" applyBorder="1" applyAlignment="1">
      <alignment wrapText="1"/>
    </xf>
    <xf numFmtId="167" fontId="3" fillId="0" borderId="100" xfId="33" applyNumberFormat="1" applyBorder="1" applyAlignment="1">
      <alignment wrapText="1"/>
    </xf>
    <xf numFmtId="0" fontId="3" fillId="39" borderId="89" xfId="33" applyFill="1" applyBorder="1" applyAlignment="1">
      <alignment horizontal="center" wrapText="1"/>
    </xf>
    <xf numFmtId="0" fontId="3" fillId="0" borderId="100" xfId="33" applyBorder="1" applyAlignment="1">
      <alignment horizontal="center" wrapText="1"/>
    </xf>
    <xf numFmtId="167" fontId="3" fillId="39" borderId="89" xfId="33" applyNumberFormat="1" applyFill="1" applyBorder="1" applyAlignment="1">
      <alignment horizontal="center" wrapText="1"/>
    </xf>
    <xf numFmtId="0" fontId="3" fillId="0" borderId="89" xfId="33" applyBorder="1" applyAlignment="1">
      <alignment horizontal="center" wrapText="1"/>
    </xf>
    <xf numFmtId="0" fontId="3" fillId="39" borderId="100" xfId="33" applyFill="1" applyBorder="1" applyAlignment="1">
      <alignment horizontal="center" wrapText="1"/>
    </xf>
    <xf numFmtId="0" fontId="3" fillId="40" borderId="110" xfId="33" applyFill="1" applyBorder="1" applyAlignment="1">
      <alignment wrapText="1"/>
    </xf>
    <xf numFmtId="167" fontId="3" fillId="39" borderId="100" xfId="33" applyNumberFormat="1" applyFill="1" applyBorder="1" applyAlignment="1">
      <alignment horizontal="center" wrapText="1"/>
    </xf>
    <xf numFmtId="167" fontId="3" fillId="0" borderId="100" xfId="33" applyNumberFormat="1" applyBorder="1" applyAlignment="1">
      <alignment horizontal="center" wrapText="1"/>
    </xf>
    <xf numFmtId="0" fontId="3" fillId="0" borderId="111" xfId="33" applyBorder="1" applyAlignment="1">
      <alignment horizontal="center" wrapText="1"/>
    </xf>
    <xf numFmtId="0" fontId="3" fillId="0" borderId="73" xfId="33" applyBorder="1"/>
    <xf numFmtId="0" fontId="3" fillId="0" borderId="73" xfId="33" applyBorder="1" applyAlignment="1">
      <alignment horizontal="center"/>
    </xf>
    <xf numFmtId="167" fontId="3" fillId="39" borderId="74" xfId="33" applyNumberFormat="1" applyFill="1" applyBorder="1" applyAlignment="1">
      <alignment horizontal="center"/>
    </xf>
    <xf numFmtId="0" fontId="3" fillId="0" borderId="102" xfId="33" applyBorder="1" applyAlignment="1">
      <alignment horizontal="center"/>
    </xf>
    <xf numFmtId="4" fontId="3" fillId="0" borderId="75" xfId="33" applyNumberFormat="1" applyBorder="1" applyAlignment="1">
      <alignment horizontal="center"/>
    </xf>
    <xf numFmtId="0" fontId="3" fillId="37" borderId="73" xfId="33" applyFill="1" applyBorder="1" applyAlignment="1">
      <alignment horizontal="center"/>
    </xf>
    <xf numFmtId="1" fontId="3" fillId="39" borderId="74" xfId="33" applyNumberFormat="1" applyFill="1" applyBorder="1" applyAlignment="1">
      <alignment horizontal="center"/>
    </xf>
    <xf numFmtId="0" fontId="3" fillId="0" borderId="75" xfId="33" applyBorder="1" applyAlignment="1">
      <alignment horizontal="center"/>
    </xf>
    <xf numFmtId="3" fontId="3" fillId="0" borderId="102" xfId="33" applyNumberFormat="1" applyBorder="1" applyAlignment="1">
      <alignment horizontal="center"/>
    </xf>
    <xf numFmtId="0" fontId="3" fillId="0" borderId="74" xfId="33" applyBorder="1"/>
    <xf numFmtId="0" fontId="3" fillId="0" borderId="75" xfId="33" applyBorder="1"/>
    <xf numFmtId="0" fontId="3" fillId="0" borderId="76" xfId="33" applyBorder="1" applyAlignment="1">
      <alignment horizontal="center"/>
    </xf>
    <xf numFmtId="167" fontId="3" fillId="39" borderId="62" xfId="33" applyNumberFormat="1" applyFill="1" applyBorder="1" applyAlignment="1">
      <alignment horizontal="center"/>
    </xf>
    <xf numFmtId="4" fontId="3" fillId="0" borderId="77" xfId="33" applyNumberFormat="1" applyBorder="1" applyAlignment="1">
      <alignment horizontal="center"/>
    </xf>
    <xf numFmtId="0" fontId="3" fillId="37" borderId="76" xfId="33" applyFill="1" applyBorder="1" applyAlignment="1">
      <alignment horizontal="center"/>
    </xf>
    <xf numFmtId="1" fontId="3" fillId="39" borderId="62" xfId="33" applyNumberFormat="1" applyFill="1" applyBorder="1" applyAlignment="1">
      <alignment horizontal="center"/>
    </xf>
    <xf numFmtId="0" fontId="3" fillId="0" borderId="59" xfId="33" applyBorder="1" applyAlignment="1">
      <alignment horizontal="center"/>
    </xf>
    <xf numFmtId="3" fontId="3" fillId="0" borderId="59" xfId="33" applyNumberFormat="1" applyBorder="1" applyAlignment="1">
      <alignment horizontal="center"/>
    </xf>
    <xf numFmtId="0" fontId="3" fillId="0" borderId="77" xfId="33" applyBorder="1"/>
    <xf numFmtId="166" fontId="3" fillId="0" borderId="77" xfId="33" applyNumberFormat="1" applyBorder="1" applyAlignment="1">
      <alignment horizontal="center"/>
    </xf>
    <xf numFmtId="166" fontId="3" fillId="0" borderId="59" xfId="33" applyNumberFormat="1" applyBorder="1" applyAlignment="1">
      <alignment horizontal="center"/>
    </xf>
    <xf numFmtId="169" fontId="3" fillId="0" borderId="77" xfId="33" applyNumberFormat="1" applyBorder="1" applyAlignment="1">
      <alignment horizontal="center"/>
    </xf>
    <xf numFmtId="0" fontId="3" fillId="36" borderId="59" xfId="33" applyFill="1" applyBorder="1" applyAlignment="1">
      <alignment horizontal="center"/>
    </xf>
    <xf numFmtId="4" fontId="3" fillId="36" borderId="77" xfId="33" applyNumberFormat="1" applyFill="1" applyBorder="1" applyAlignment="1">
      <alignment horizontal="center"/>
    </xf>
    <xf numFmtId="0" fontId="3" fillId="0" borderId="105" xfId="33" applyBorder="1"/>
    <xf numFmtId="0" fontId="3" fillId="0" borderId="112" xfId="33" applyBorder="1"/>
    <xf numFmtId="0" fontId="3" fillId="0" borderId="105" xfId="33" applyBorder="1" applyAlignment="1">
      <alignment horizontal="center"/>
    </xf>
    <xf numFmtId="0" fontId="3" fillId="0" borderId="79" xfId="33" applyBorder="1"/>
    <xf numFmtId="0" fontId="3" fillId="0" borderId="113" xfId="33" applyBorder="1"/>
    <xf numFmtId="167" fontId="3" fillId="0" borderId="83" xfId="33" applyNumberFormat="1" applyBorder="1"/>
    <xf numFmtId="167" fontId="3" fillId="39" borderId="83" xfId="33" applyNumberFormat="1" applyFill="1" applyBorder="1"/>
    <xf numFmtId="0" fontId="3" fillId="40" borderId="83" xfId="33" applyFill="1" applyBorder="1"/>
    <xf numFmtId="0" fontId="3" fillId="0" borderId="114" xfId="33" applyBorder="1"/>
    <xf numFmtId="3" fontId="3" fillId="0" borderId="83" xfId="33" applyNumberFormat="1" applyBorder="1"/>
    <xf numFmtId="166" fontId="3" fillId="0" borderId="114" xfId="33" applyNumberFormat="1" applyBorder="1"/>
    <xf numFmtId="166" fontId="3" fillId="0" borderId="0" xfId="33" applyNumberFormat="1"/>
    <xf numFmtId="0" fontId="4" fillId="33" borderId="0" xfId="33" applyFont="1" applyFill="1"/>
    <xf numFmtId="0" fontId="3" fillId="35" borderId="110" xfId="33" applyFill="1" applyBorder="1" applyAlignment="1">
      <alignment wrapText="1"/>
    </xf>
    <xf numFmtId="2" fontId="3" fillId="0" borderId="77" xfId="33" applyNumberFormat="1" applyBorder="1" applyAlignment="1">
      <alignment horizontal="center"/>
    </xf>
    <xf numFmtId="174" fontId="3" fillId="0" borderId="59" xfId="33" applyNumberFormat="1" applyBorder="1" applyAlignment="1">
      <alignment horizontal="center"/>
    </xf>
    <xf numFmtId="167" fontId="3" fillId="0" borderId="62" xfId="33" applyNumberFormat="1" applyBorder="1"/>
    <xf numFmtId="169" fontId="3" fillId="0" borderId="114" xfId="33" applyNumberFormat="1" applyBorder="1"/>
    <xf numFmtId="3" fontId="3" fillId="40" borderId="83" xfId="33" applyNumberFormat="1" applyFill="1" applyBorder="1"/>
    <xf numFmtId="0" fontId="0" fillId="0" borderId="77" xfId="33" applyFont="1" applyBorder="1"/>
    <xf numFmtId="0" fontId="3" fillId="0" borderId="115" xfId="33" applyBorder="1" applyAlignment="1">
      <alignment horizontal="center"/>
    </xf>
    <xf numFmtId="0" fontId="0" fillId="0" borderId="62" xfId="33" applyFont="1" applyBorder="1" applyAlignment="1">
      <alignment horizontal="center" vertical="center"/>
    </xf>
    <xf numFmtId="0" fontId="3" fillId="0" borderId="80" xfId="33" applyBorder="1"/>
    <xf numFmtId="0" fontId="0" fillId="0" borderId="110" xfId="33" applyFont="1" applyBorder="1"/>
    <xf numFmtId="0" fontId="3" fillId="0" borderId="61" xfId="33" applyBorder="1" applyAlignment="1">
      <alignment horizontal="center"/>
    </xf>
    <xf numFmtId="3" fontId="4" fillId="0" borderId="69" xfId="33" applyNumberFormat="1" applyFont="1" applyBorder="1"/>
    <xf numFmtId="0" fontId="11" fillId="0" borderId="61" xfId="33" applyFont="1" applyBorder="1"/>
    <xf numFmtId="0" fontId="11" fillId="0" borderId="62" xfId="33" applyFont="1" applyBorder="1" applyAlignment="1">
      <alignment horizontal="center"/>
    </xf>
    <xf numFmtId="0" fontId="11" fillId="0" borderId="59" xfId="33" applyFont="1" applyBorder="1"/>
    <xf numFmtId="14" fontId="11" fillId="0" borderId="59" xfId="33" applyNumberFormat="1" applyFont="1" applyBorder="1"/>
    <xf numFmtId="3" fontId="11" fillId="0" borderId="61" xfId="33" applyNumberFormat="1" applyFont="1" applyBorder="1"/>
    <xf numFmtId="0" fontId="3" fillId="0" borderId="0" xfId="33" applyAlignment="1">
      <alignment horizontal="center"/>
    </xf>
    <xf numFmtId="49" fontId="3" fillId="0" borderId="62" xfId="33" applyNumberFormat="1" applyBorder="1"/>
    <xf numFmtId="0" fontId="17" fillId="0" borderId="61" xfId="33" applyFont="1" applyBorder="1"/>
    <xf numFmtId="37" fontId="6" fillId="0" borderId="62" xfId="33" applyNumberFormat="1" applyFont="1" applyBorder="1" applyAlignment="1">
      <alignment horizontal="right"/>
    </xf>
    <xf numFmtId="0" fontId="8" fillId="0" borderId="62" xfId="33" applyFont="1" applyBorder="1" applyAlignment="1">
      <alignment horizontal="center"/>
    </xf>
    <xf numFmtId="0" fontId="42" fillId="0" borderId="87" xfId="33" applyFont="1" applyBorder="1"/>
    <xf numFmtId="14" fontId="11" fillId="0" borderId="62" xfId="33" applyNumberFormat="1" applyFont="1" applyBorder="1"/>
    <xf numFmtId="3" fontId="21" fillId="0" borderId="62" xfId="33" applyNumberFormat="1" applyFont="1" applyBorder="1"/>
    <xf numFmtId="0" fontId="0" fillId="0" borderId="59" xfId="33" applyFont="1" applyBorder="1"/>
    <xf numFmtId="3" fontId="17" fillId="0" borderId="61" xfId="33" applyNumberFormat="1" applyFont="1" applyBorder="1"/>
    <xf numFmtId="3" fontId="0" fillId="0" borderId="0" xfId="33" applyNumberFormat="1" applyFont="1"/>
    <xf numFmtId="0" fontId="17" fillId="0" borderId="62" xfId="33" applyFont="1" applyBorder="1" applyAlignment="1">
      <alignment horizontal="center"/>
    </xf>
    <xf numFmtId="49" fontId="3" fillId="0" borderId="0" xfId="33" applyNumberFormat="1"/>
    <xf numFmtId="0" fontId="42" fillId="0" borderId="59" xfId="33" applyFont="1" applyBorder="1" applyAlignment="1">
      <alignment horizontal="right"/>
    </xf>
    <xf numFmtId="3" fontId="4" fillId="0" borderId="72" xfId="33" applyNumberFormat="1" applyFont="1" applyBorder="1"/>
    <xf numFmtId="0" fontId="7" fillId="0" borderId="100" xfId="33" applyFont="1" applyBorder="1"/>
    <xf numFmtId="0" fontId="3" fillId="0" borderId="60" xfId="33" applyBorder="1" applyAlignment="1">
      <alignment horizontal="center"/>
    </xf>
    <xf numFmtId="3" fontId="3" fillId="0" borderId="96" xfId="33" applyNumberFormat="1" applyBorder="1"/>
    <xf numFmtId="3" fontId="3" fillId="0" borderId="60" xfId="33" applyNumberFormat="1" applyBorder="1"/>
    <xf numFmtId="3" fontId="4" fillId="0" borderId="59" xfId="33" applyNumberFormat="1" applyFont="1" applyBorder="1"/>
    <xf numFmtId="3" fontId="4" fillId="0" borderId="100" xfId="33" applyNumberFormat="1" applyFont="1" applyBorder="1"/>
    <xf numFmtId="3" fontId="4" fillId="0" borderId="84" xfId="33" applyNumberFormat="1" applyFont="1" applyBorder="1"/>
    <xf numFmtId="3" fontId="3" fillId="0" borderId="116" xfId="33" applyNumberFormat="1" applyBorder="1"/>
    <xf numFmtId="3" fontId="15" fillId="0" borderId="0" xfId="33" applyNumberFormat="1" applyFont="1"/>
    <xf numFmtId="168" fontId="7" fillId="0" borderId="93" xfId="33" applyNumberFormat="1" applyFont="1" applyBorder="1"/>
    <xf numFmtId="0" fontId="5" fillId="0" borderId="0" xfId="33" applyFont="1"/>
    <xf numFmtId="0" fontId="4" fillId="33" borderId="62" xfId="33" applyFont="1" applyFill="1" applyBorder="1"/>
    <xf numFmtId="167" fontId="3" fillId="39" borderId="89" xfId="33" applyNumberFormat="1" applyFill="1" applyBorder="1" applyAlignment="1">
      <alignment horizontal="center"/>
    </xf>
    <xf numFmtId="167" fontId="3" fillId="0" borderId="63" xfId="33" applyNumberFormat="1" applyBorder="1"/>
    <xf numFmtId="0" fontId="3" fillId="0" borderId="69" xfId="33" applyBorder="1"/>
    <xf numFmtId="166" fontId="3" fillId="0" borderId="76" xfId="33" applyNumberFormat="1" applyBorder="1"/>
    <xf numFmtId="0" fontId="0" fillId="0" borderId="0" xfId="33" applyFont="1"/>
    <xf numFmtId="0" fontId="4" fillId="0" borderId="100" xfId="33" applyFont="1" applyBorder="1"/>
    <xf numFmtId="0" fontId="4" fillId="0" borderId="62" xfId="33" applyFont="1" applyBorder="1"/>
    <xf numFmtId="14" fontId="0" fillId="0" borderId="87" xfId="33" applyNumberFormat="1" applyFont="1" applyBorder="1"/>
    <xf numFmtId="175" fontId="7" fillId="0" borderId="62" xfId="44" applyNumberFormat="1" applyFont="1" applyBorder="1"/>
    <xf numFmtId="168" fontId="15" fillId="39" borderId="82" xfId="33" applyNumberFormat="1" applyFont="1" applyFill="1" applyBorder="1"/>
    <xf numFmtId="167" fontId="2" fillId="0" borderId="65" xfId="46" applyNumberFormat="1" applyBorder="1"/>
    <xf numFmtId="0" fontId="2" fillId="0" borderId="65" xfId="46" applyBorder="1"/>
    <xf numFmtId="0" fontId="3" fillId="0" borderId="104" xfId="33" applyBorder="1" applyAlignment="1">
      <alignment horizontal="center"/>
    </xf>
    <xf numFmtId="0" fontId="3" fillId="0" borderId="104" xfId="33" applyBorder="1"/>
    <xf numFmtId="167" fontId="2" fillId="0" borderId="62" xfId="46" applyNumberFormat="1" applyBorder="1"/>
    <xf numFmtId="0" fontId="2" fillId="0" borderId="62" xfId="46" applyBorder="1"/>
    <xf numFmtId="0" fontId="2" fillId="0" borderId="0" xfId="46"/>
    <xf numFmtId="0" fontId="3" fillId="43" borderId="100" xfId="33" applyFill="1" applyBorder="1" applyAlignment="1">
      <alignment horizontal="center" wrapText="1"/>
    </xf>
    <xf numFmtId="0" fontId="3" fillId="44" borderId="100" xfId="33" applyFill="1" applyBorder="1" applyAlignment="1">
      <alignment horizontal="center" wrapText="1"/>
    </xf>
    <xf numFmtId="167" fontId="3" fillId="43" borderId="100" xfId="33" applyNumberFormat="1" applyFill="1" applyBorder="1" applyAlignment="1">
      <alignment horizontal="center" wrapText="1"/>
    </xf>
    <xf numFmtId="0" fontId="3" fillId="35" borderId="110" xfId="33" applyFill="1" applyBorder="1" applyAlignment="1">
      <alignment horizontal="center" wrapText="1"/>
    </xf>
    <xf numFmtId="167" fontId="3" fillId="43" borderId="89" xfId="33" applyNumberFormat="1" applyFill="1" applyBorder="1" applyAlignment="1">
      <alignment horizontal="center" wrapText="1"/>
    </xf>
    <xf numFmtId="0" fontId="3" fillId="43" borderId="89" xfId="33" applyFill="1" applyBorder="1" applyAlignment="1">
      <alignment horizontal="center" wrapText="1"/>
    </xf>
    <xf numFmtId="0" fontId="3" fillId="43" borderId="100" xfId="33" applyFill="1" applyBorder="1" applyAlignment="1">
      <alignment wrapText="1"/>
    </xf>
    <xf numFmtId="167" fontId="3" fillId="43" borderId="89" xfId="33" applyNumberFormat="1" applyFill="1" applyBorder="1" applyAlignment="1">
      <alignment wrapText="1"/>
    </xf>
    <xf numFmtId="0" fontId="3" fillId="43" borderId="89" xfId="33" applyFill="1" applyBorder="1" applyAlignment="1">
      <alignment wrapText="1"/>
    </xf>
    <xf numFmtId="0" fontId="3" fillId="43" borderId="100" xfId="33" applyFill="1" applyBorder="1"/>
    <xf numFmtId="167" fontId="3" fillId="43" borderId="89" xfId="33" applyNumberFormat="1" applyFill="1" applyBorder="1"/>
    <xf numFmtId="0" fontId="3" fillId="43" borderId="89" xfId="33" applyFill="1" applyBorder="1"/>
    <xf numFmtId="0" fontId="3" fillId="43" borderId="98" xfId="33" applyFill="1" applyBorder="1" applyAlignment="1">
      <alignment wrapText="1"/>
    </xf>
    <xf numFmtId="0" fontId="3" fillId="41" borderId="98" xfId="33" applyFill="1" applyBorder="1" applyAlignment="1">
      <alignment wrapText="1"/>
    </xf>
    <xf numFmtId="167" fontId="3" fillId="43" borderId="106" xfId="33" applyNumberFormat="1" applyFill="1" applyBorder="1" applyAlignment="1">
      <alignment wrapText="1"/>
    </xf>
    <xf numFmtId="0" fontId="3" fillId="43" borderId="106" xfId="33" applyFill="1" applyBorder="1" applyAlignment="1">
      <alignment wrapText="1"/>
    </xf>
    <xf numFmtId="0" fontId="4" fillId="0" borderId="90" xfId="33" applyFont="1" applyBorder="1"/>
    <xf numFmtId="1" fontId="11" fillId="0" borderId="0" xfId="0" applyNumberFormat="1" applyFont="1"/>
    <xf numFmtId="166" fontId="4" fillId="0" borderId="0" xfId="44" applyFont="1"/>
    <xf numFmtId="175" fontId="3" fillId="0" borderId="62" xfId="44" applyNumberFormat="1" applyBorder="1"/>
    <xf numFmtId="175" fontId="4" fillId="0" borderId="62" xfId="44" applyNumberFormat="1" applyFont="1" applyBorder="1"/>
    <xf numFmtId="0" fontId="42" fillId="0" borderId="59" xfId="33" applyFont="1" applyBorder="1" applyAlignment="1">
      <alignment horizontal="center"/>
    </xf>
    <xf numFmtId="0" fontId="4" fillId="0" borderId="116" xfId="33" applyFont="1" applyBorder="1"/>
    <xf numFmtId="0" fontId="4" fillId="0" borderId="93" xfId="33" applyFont="1" applyBorder="1"/>
    <xf numFmtId="0" fontId="3" fillId="45" borderId="59" xfId="33" applyFill="1" applyBorder="1"/>
    <xf numFmtId="0" fontId="3" fillId="45" borderId="62" xfId="33" applyFill="1" applyBorder="1"/>
    <xf numFmtId="0" fontId="42" fillId="0" borderId="100" xfId="33" applyFont="1" applyBorder="1"/>
    <xf numFmtId="0" fontId="42" fillId="0" borderId="60" xfId="33" applyFont="1" applyBorder="1"/>
    <xf numFmtId="0" fontId="42" fillId="45" borderId="60" xfId="33" applyFont="1" applyFill="1" applyBorder="1"/>
    <xf numFmtId="0" fontId="42" fillId="0" borderId="59" xfId="33" applyFont="1" applyBorder="1"/>
    <xf numFmtId="14" fontId="42" fillId="0" borderId="59" xfId="33" applyNumberFormat="1" applyFont="1" applyBorder="1"/>
    <xf numFmtId="0" fontId="4" fillId="0" borderId="84" xfId="33" applyFont="1" applyBorder="1"/>
    <xf numFmtId="0" fontId="4" fillId="0" borderId="85" xfId="33" applyFont="1" applyBorder="1"/>
    <xf numFmtId="0" fontId="4" fillId="0" borderId="112" xfId="33" applyFont="1" applyBorder="1"/>
    <xf numFmtId="0" fontId="3" fillId="0" borderId="67" xfId="33" applyBorder="1"/>
    <xf numFmtId="0" fontId="42" fillId="0" borderId="112" xfId="33" applyFont="1" applyBorder="1" applyAlignment="1">
      <alignment horizontal="center"/>
    </xf>
    <xf numFmtId="14" fontId="3" fillId="0" borderId="112" xfId="33" applyNumberFormat="1" applyBorder="1"/>
    <xf numFmtId="175" fontId="3" fillId="0" borderId="59" xfId="44" applyNumberFormat="1" applyBorder="1"/>
    <xf numFmtId="175" fontId="3" fillId="0" borderId="63" xfId="44" applyNumberFormat="1" applyBorder="1"/>
    <xf numFmtId="175" fontId="3" fillId="45" borderId="62" xfId="44" applyNumberFormat="1" applyFill="1" applyBorder="1"/>
    <xf numFmtId="175" fontId="3" fillId="0" borderId="65" xfId="44" applyNumberFormat="1" applyBorder="1"/>
    <xf numFmtId="175" fontId="4" fillId="0" borderId="71" xfId="44" applyNumberFormat="1" applyFont="1" applyBorder="1"/>
    <xf numFmtId="175" fontId="4" fillId="0" borderId="72" xfId="44" applyNumberFormat="1" applyFont="1" applyBorder="1"/>
    <xf numFmtId="175" fontId="4" fillId="0" borderId="63" xfId="44" applyNumberFormat="1" applyFont="1" applyBorder="1"/>
    <xf numFmtId="175" fontId="45" fillId="0" borderId="66" xfId="44" applyNumberFormat="1" applyFont="1" applyBorder="1"/>
    <xf numFmtId="175" fontId="45" fillId="0" borderId="62" xfId="44" applyNumberFormat="1" applyFont="1" applyBorder="1"/>
    <xf numFmtId="0" fontId="42" fillId="0" borderId="0" xfId="33" applyFont="1"/>
    <xf numFmtId="0" fontId="4" fillId="0" borderId="72" xfId="33" applyFont="1" applyBorder="1"/>
    <xf numFmtId="0" fontId="3" fillId="0" borderId="63" xfId="33" applyBorder="1"/>
    <xf numFmtId="0" fontId="4" fillId="0" borderId="65" xfId="33" applyFont="1" applyBorder="1"/>
    <xf numFmtId="0" fontId="3" fillId="42" borderId="59" xfId="33" applyFill="1" applyBorder="1"/>
    <xf numFmtId="0" fontId="3" fillId="42" borderId="0" xfId="33" applyFill="1"/>
    <xf numFmtId="0" fontId="3" fillId="42" borderId="62" xfId="33" applyFill="1" applyBorder="1"/>
    <xf numFmtId="0" fontId="3" fillId="42" borderId="61" xfId="33" applyFill="1" applyBorder="1"/>
    <xf numFmtId="0" fontId="3" fillId="0" borderId="64" xfId="33" applyBorder="1"/>
    <xf numFmtId="0" fontId="4" fillId="0" borderId="91" xfId="33" applyFont="1" applyBorder="1"/>
    <xf numFmtId="176" fontId="3" fillId="0" borderId="62" xfId="44" applyNumberFormat="1" applyBorder="1"/>
    <xf numFmtId="176" fontId="3" fillId="0" borderId="63" xfId="44" applyNumberFormat="1" applyBorder="1"/>
    <xf numFmtId="176" fontId="4" fillId="0" borderId="72" xfId="44" applyNumberFormat="1" applyFont="1" applyBorder="1"/>
    <xf numFmtId="176" fontId="4" fillId="0" borderId="65" xfId="44" applyNumberFormat="1" applyFont="1" applyBorder="1"/>
    <xf numFmtId="176" fontId="46" fillId="0" borderId="62" xfId="44" applyNumberFormat="1" applyFont="1" applyBorder="1"/>
    <xf numFmtId="176" fontId="4" fillId="0" borderId="62" xfId="44" applyNumberFormat="1" applyFont="1" applyBorder="1"/>
    <xf numFmtId="177" fontId="3" fillId="43" borderId="62" xfId="45" applyNumberFormat="1" applyFill="1" applyBorder="1" applyAlignment="1">
      <alignment horizontal="center"/>
    </xf>
    <xf numFmtId="177" fontId="3" fillId="0" borderId="76" xfId="33" applyNumberFormat="1" applyBorder="1" applyAlignment="1">
      <alignment horizontal="center"/>
    </xf>
    <xf numFmtId="177" fontId="3" fillId="0" borderId="59" xfId="33" applyNumberFormat="1" applyBorder="1" applyAlignment="1">
      <alignment horizontal="center"/>
    </xf>
    <xf numFmtId="177" fontId="3" fillId="43" borderId="59" xfId="45" applyNumberFormat="1" applyFill="1" applyBorder="1" applyAlignment="1">
      <alignment horizontal="center"/>
    </xf>
    <xf numFmtId="177" fontId="3" fillId="0" borderId="62" xfId="45" applyNumberFormat="1" applyBorder="1"/>
    <xf numFmtId="177" fontId="3" fillId="0" borderId="77" xfId="45" applyNumberFormat="1" applyBorder="1"/>
    <xf numFmtId="177" fontId="4" fillId="33" borderId="62" xfId="45" applyNumberFormat="1" applyFont="1" applyFill="1" applyBorder="1"/>
    <xf numFmtId="177" fontId="2" fillId="0" borderId="0" xfId="46" applyNumberFormat="1"/>
    <xf numFmtId="177" fontId="2" fillId="0" borderId="62" xfId="46" applyNumberFormat="1" applyBorder="1"/>
    <xf numFmtId="177" fontId="0" fillId="0" borderId="77" xfId="45" applyNumberFormat="1" applyFont="1" applyBorder="1"/>
    <xf numFmtId="177" fontId="3" fillId="43" borderId="65" xfId="45" applyNumberFormat="1" applyFill="1" applyBorder="1" applyAlignment="1">
      <alignment horizontal="center"/>
    </xf>
    <xf numFmtId="177" fontId="2" fillId="0" borderId="65" xfId="46" applyNumberFormat="1" applyBorder="1"/>
    <xf numFmtId="177" fontId="3" fillId="0" borderId="65" xfId="45" applyNumberFormat="1" applyBorder="1"/>
    <xf numFmtId="177" fontId="3" fillId="0" borderId="115" xfId="45" applyNumberFormat="1" applyBorder="1"/>
    <xf numFmtId="177" fontId="4" fillId="33" borderId="65" xfId="45" applyNumberFormat="1" applyFont="1" applyFill="1" applyBorder="1"/>
    <xf numFmtId="177" fontId="3" fillId="43" borderId="70" xfId="45" applyNumberFormat="1" applyFill="1" applyBorder="1"/>
    <xf numFmtId="177" fontId="3" fillId="0" borderId="69" xfId="33" applyNumberFormat="1" applyBorder="1"/>
    <xf numFmtId="177" fontId="3" fillId="43" borderId="86" xfId="45" applyNumberFormat="1" applyFill="1" applyBorder="1"/>
    <xf numFmtId="177" fontId="4" fillId="33" borderId="70" xfId="45" applyNumberFormat="1" applyFont="1" applyFill="1" applyBorder="1"/>
    <xf numFmtId="177" fontId="4" fillId="33" borderId="71" xfId="45" applyNumberFormat="1" applyFont="1" applyFill="1" applyBorder="1"/>
    <xf numFmtId="1" fontId="7" fillId="0" borderId="62" xfId="33" applyNumberFormat="1" applyFont="1" applyBorder="1"/>
    <xf numFmtId="1" fontId="7" fillId="0" borderId="61" xfId="33" applyNumberFormat="1" applyFont="1" applyBorder="1"/>
    <xf numFmtId="1" fontId="7" fillId="0" borderId="62" xfId="33" applyNumberFormat="1" applyFont="1" applyBorder="1" applyAlignment="1">
      <alignment horizontal="right"/>
    </xf>
    <xf numFmtId="1" fontId="7" fillId="0" borderId="63" xfId="33" applyNumberFormat="1" applyFont="1" applyBorder="1"/>
    <xf numFmtId="1" fontId="7" fillId="0" borderId="64" xfId="33" applyNumberFormat="1" applyFont="1" applyBorder="1"/>
    <xf numFmtId="1" fontId="7" fillId="0" borderId="65" xfId="33" applyNumberFormat="1" applyFont="1" applyBorder="1"/>
    <xf numFmtId="1" fontId="7" fillId="0" borderId="66" xfId="33" applyNumberFormat="1" applyFont="1" applyBorder="1"/>
    <xf numFmtId="1" fontId="7" fillId="0" borderId="67" xfId="33" applyNumberFormat="1" applyFont="1" applyBorder="1"/>
    <xf numFmtId="1" fontId="7" fillId="0" borderId="68" xfId="33" applyNumberFormat="1" applyFont="1" applyBorder="1"/>
    <xf numFmtId="1" fontId="7" fillId="38" borderId="0" xfId="33" applyNumberFormat="1" applyFont="1" applyFill="1"/>
    <xf numFmtId="1" fontId="7" fillId="38" borderId="62" xfId="33" applyNumberFormat="1" applyFont="1" applyFill="1" applyBorder="1"/>
    <xf numFmtId="1" fontId="7" fillId="38" borderId="65" xfId="33" applyNumberFormat="1" applyFont="1" applyFill="1" applyBorder="1"/>
    <xf numFmtId="1" fontId="7" fillId="0" borderId="70" xfId="33" applyNumberFormat="1" applyFont="1" applyBorder="1"/>
    <xf numFmtId="1" fontId="7" fillId="0" borderId="71" xfId="33" applyNumberFormat="1" applyFont="1" applyBorder="1"/>
    <xf numFmtId="1" fontId="7" fillId="35" borderId="72" xfId="33" applyNumberFormat="1" applyFont="1" applyFill="1" applyBorder="1"/>
    <xf numFmtId="1" fontId="7" fillId="38" borderId="72" xfId="33" applyNumberFormat="1" applyFont="1" applyFill="1" applyBorder="1"/>
    <xf numFmtId="1" fontId="15" fillId="36" borderId="62" xfId="33" applyNumberFormat="1" applyFont="1" applyFill="1" applyBorder="1"/>
    <xf numFmtId="1" fontId="15" fillId="38" borderId="68" xfId="33" applyNumberFormat="1" applyFont="1" applyFill="1" applyBorder="1"/>
    <xf numFmtId="1" fontId="15" fillId="36" borderId="59" xfId="33" applyNumberFormat="1" applyFont="1" applyFill="1" applyBorder="1"/>
    <xf numFmtId="1" fontId="7" fillId="36" borderId="68" xfId="33" applyNumberFormat="1" applyFont="1" applyFill="1" applyBorder="1"/>
    <xf numFmtId="176" fontId="3" fillId="0" borderId="65" xfId="44" applyNumberFormat="1" applyBorder="1"/>
    <xf numFmtId="176" fontId="46" fillId="0" borderId="101" xfId="44" applyNumberFormat="1" applyFont="1" applyBorder="1"/>
    <xf numFmtId="0" fontId="15" fillId="37" borderId="96" xfId="33" applyFont="1" applyFill="1" applyBorder="1"/>
    <xf numFmtId="3" fontId="15" fillId="37" borderId="96" xfId="33" applyNumberFormat="1" applyFont="1" applyFill="1" applyBorder="1"/>
    <xf numFmtId="3" fontId="7" fillId="0" borderId="96" xfId="33" applyNumberFormat="1" applyFont="1" applyBorder="1"/>
    <xf numFmtId="0" fontId="15" fillId="41" borderId="0" xfId="33" applyFont="1" applyFill="1"/>
    <xf numFmtId="3" fontId="15" fillId="41" borderId="0" xfId="33" applyNumberFormat="1" applyFont="1" applyFill="1"/>
    <xf numFmtId="3" fontId="7" fillId="41" borderId="0" xfId="33" applyNumberFormat="1" applyFont="1" applyFill="1"/>
    <xf numFmtId="168" fontId="15" fillId="41" borderId="0" xfId="33" applyNumberFormat="1" applyFont="1" applyFill="1"/>
    <xf numFmtId="0" fontId="7" fillId="41" borderId="62" xfId="33" applyFont="1" applyFill="1" applyBorder="1"/>
    <xf numFmtId="3" fontId="7" fillId="41" borderId="62" xfId="33" applyNumberFormat="1" applyFont="1" applyFill="1" applyBorder="1"/>
    <xf numFmtId="0" fontId="15" fillId="41" borderId="66" xfId="33" applyFont="1" applyFill="1" applyBorder="1"/>
    <xf numFmtId="3" fontId="15" fillId="41" borderId="66" xfId="33" applyNumberFormat="1" applyFont="1" applyFill="1" applyBorder="1"/>
    <xf numFmtId="0" fontId="7" fillId="41" borderId="63" xfId="33" applyFont="1" applyFill="1" applyBorder="1"/>
    <xf numFmtId="3" fontId="7" fillId="41" borderId="63" xfId="33" applyNumberFormat="1" applyFont="1" applyFill="1" applyBorder="1"/>
    <xf numFmtId="174" fontId="3" fillId="0" borderId="87" xfId="33" applyNumberFormat="1" applyBorder="1" applyAlignment="1">
      <alignment horizontal="center"/>
    </xf>
    <xf numFmtId="0" fontId="3" fillId="0" borderId="118" xfId="33" applyBorder="1"/>
    <xf numFmtId="0" fontId="3" fillId="0" borderId="117" xfId="33" applyBorder="1"/>
    <xf numFmtId="166" fontId="3" fillId="0" borderId="117" xfId="33" applyNumberFormat="1" applyBorder="1"/>
    <xf numFmtId="167" fontId="3" fillId="43" borderId="62" xfId="45" applyNumberFormat="1" applyFill="1" applyBorder="1" applyAlignment="1">
      <alignment horizontal="center"/>
    </xf>
    <xf numFmtId="167" fontId="3" fillId="43" borderId="65" xfId="45" applyNumberFormat="1" applyFill="1" applyBorder="1" applyAlignment="1">
      <alignment horizontal="center"/>
    </xf>
    <xf numFmtId="167" fontId="3" fillId="43" borderId="119" xfId="45" applyNumberFormat="1" applyFill="1" applyBorder="1" applyAlignment="1">
      <alignment horizontal="center"/>
    </xf>
    <xf numFmtId="167" fontId="3" fillId="43" borderId="59" xfId="45" applyNumberFormat="1" applyFill="1" applyBorder="1" applyAlignment="1">
      <alignment horizontal="center"/>
    </xf>
    <xf numFmtId="167" fontId="3" fillId="43" borderId="87" xfId="45" applyNumberFormat="1" applyFill="1" applyBorder="1" applyAlignment="1">
      <alignment horizontal="center"/>
    </xf>
    <xf numFmtId="167" fontId="3" fillId="43" borderId="120" xfId="45" applyNumberFormat="1" applyFill="1" applyBorder="1" applyAlignment="1">
      <alignment horizontal="center"/>
    </xf>
    <xf numFmtId="167" fontId="3" fillId="0" borderId="62" xfId="45" applyNumberFormat="1" applyBorder="1"/>
    <xf numFmtId="167" fontId="3" fillId="0" borderId="59" xfId="45" applyNumberFormat="1" applyBorder="1"/>
    <xf numFmtId="167" fontId="4" fillId="33" borderId="121" xfId="45" applyNumberFormat="1" applyFont="1" applyFill="1" applyBorder="1"/>
    <xf numFmtId="167" fontId="3" fillId="0" borderId="65" xfId="45" applyNumberFormat="1" applyBorder="1"/>
    <xf numFmtId="167" fontId="4" fillId="33" borderId="122" xfId="45" applyNumberFormat="1" applyFont="1" applyFill="1" applyBorder="1"/>
    <xf numFmtId="167" fontId="4" fillId="33" borderId="119" xfId="45" applyNumberFormat="1" applyFont="1" applyFill="1" applyBorder="1"/>
    <xf numFmtId="167" fontId="4" fillId="33" borderId="120" xfId="45" applyNumberFormat="1" applyFont="1" applyFill="1" applyBorder="1"/>
    <xf numFmtId="167" fontId="4" fillId="33" borderId="123" xfId="45" applyNumberFormat="1" applyFont="1" applyFill="1" applyBorder="1"/>
    <xf numFmtId="3" fontId="7" fillId="0" borderId="0" xfId="33" applyNumberFormat="1" applyFont="1" applyAlignment="1">
      <alignment horizontal="right"/>
    </xf>
    <xf numFmtId="164" fontId="9" fillId="0" borderId="0" xfId="0" applyNumberFormat="1" applyFont="1" applyAlignment="1">
      <alignment horizontal="center"/>
    </xf>
    <xf numFmtId="0" fontId="9" fillId="32" borderId="44" xfId="0" applyFont="1" applyFill="1" applyBorder="1" applyAlignment="1">
      <alignment horizontal="center" wrapText="1"/>
    </xf>
    <xf numFmtId="0" fontId="9" fillId="32" borderId="20" xfId="0" applyFont="1" applyFill="1" applyBorder="1" applyAlignment="1">
      <alignment horizontal="left" wrapText="1"/>
    </xf>
    <xf numFmtId="0" fontId="9" fillId="24" borderId="124" xfId="0" applyFont="1" applyFill="1" applyBorder="1"/>
    <xf numFmtId="0" fontId="9" fillId="0" borderId="56" xfId="0" applyFont="1" applyBorder="1"/>
    <xf numFmtId="170" fontId="9" fillId="0" borderId="62" xfId="0" applyNumberFormat="1" applyFont="1" applyBorder="1" applyAlignment="1">
      <alignment horizontal="right" wrapText="1"/>
    </xf>
    <xf numFmtId="164" fontId="9" fillId="48" borderId="62" xfId="0" applyNumberFormat="1" applyFont="1" applyFill="1" applyBorder="1" applyAlignment="1">
      <alignment horizontal="center"/>
    </xf>
    <xf numFmtId="0" fontId="4" fillId="0" borderId="63" xfId="33" applyFont="1" applyBorder="1"/>
    <xf numFmtId="176" fontId="4" fillId="0" borderId="63" xfId="44" applyNumberFormat="1" applyFont="1" applyBorder="1"/>
    <xf numFmtId="176" fontId="4" fillId="0" borderId="0" xfId="44" applyNumberFormat="1" applyFont="1"/>
    <xf numFmtId="0" fontId="4" fillId="0" borderId="94" xfId="33" applyFont="1" applyBorder="1"/>
    <xf numFmtId="176" fontId="4" fillId="0" borderId="94" xfId="44" applyNumberFormat="1" applyFont="1" applyBorder="1"/>
    <xf numFmtId="0" fontId="7" fillId="41" borderId="65" xfId="33" applyFont="1" applyFill="1" applyBorder="1"/>
    <xf numFmtId="3" fontId="7" fillId="41" borderId="65" xfId="33" applyNumberFormat="1" applyFont="1" applyFill="1" applyBorder="1"/>
    <xf numFmtId="14" fontId="0" fillId="0" borderId="0" xfId="33" applyNumberFormat="1" applyFont="1"/>
    <xf numFmtId="0" fontId="15" fillId="0" borderId="72" xfId="33" applyFont="1" applyBorder="1"/>
    <xf numFmtId="0" fontId="15" fillId="39" borderId="70" xfId="33" applyFont="1" applyFill="1" applyBorder="1"/>
    <xf numFmtId="0" fontId="19" fillId="0" borderId="0" xfId="33" applyFont="1"/>
    <xf numFmtId="3" fontId="4" fillId="0" borderId="62" xfId="33" applyNumberFormat="1" applyFont="1" applyBorder="1"/>
    <xf numFmtId="3" fontId="7" fillId="0" borderId="91" xfId="33" applyNumberFormat="1" applyFont="1" applyBorder="1"/>
    <xf numFmtId="3" fontId="7" fillId="0" borderId="93" xfId="33" applyNumberFormat="1" applyFont="1" applyBorder="1"/>
    <xf numFmtId="0" fontId="15" fillId="37" borderId="70" xfId="33" applyFont="1" applyFill="1" applyBorder="1"/>
    <xf numFmtId="0" fontId="3" fillId="0" borderId="62" xfId="33" applyBorder="1" applyAlignment="1">
      <alignment horizontal="right"/>
    </xf>
    <xf numFmtId="0" fontId="42" fillId="0" borderId="62" xfId="33" applyFont="1" applyBorder="1" applyAlignment="1">
      <alignment horizontal="right"/>
    </xf>
    <xf numFmtId="0" fontId="49" fillId="0" borderId="0" xfId="33" applyFont="1"/>
    <xf numFmtId="0" fontId="3" fillId="0" borderId="0" xfId="33" applyAlignment="1">
      <alignment horizontal="right"/>
    </xf>
    <xf numFmtId="14" fontId="3" fillId="0" borderId="62" xfId="33" applyNumberFormat="1" applyBorder="1"/>
    <xf numFmtId="14" fontId="3" fillId="42" borderId="62" xfId="33" applyNumberFormat="1" applyFill="1" applyBorder="1"/>
    <xf numFmtId="14" fontId="3" fillId="0" borderId="63" xfId="33" applyNumberFormat="1" applyBorder="1"/>
    <xf numFmtId="0" fontId="42" fillId="0" borderId="62" xfId="33" applyFont="1" applyBorder="1"/>
    <xf numFmtId="14" fontId="42" fillId="0" borderId="62" xfId="33" applyNumberFormat="1" applyFont="1" applyBorder="1"/>
    <xf numFmtId="0" fontId="3" fillId="0" borderId="65" xfId="33" applyBorder="1"/>
    <xf numFmtId="3" fontId="7" fillId="39" borderId="71" xfId="33" applyNumberFormat="1" applyFont="1" applyFill="1" applyBorder="1"/>
    <xf numFmtId="3" fontId="7" fillId="0" borderId="88" xfId="33" applyNumberFormat="1" applyFont="1" applyBorder="1"/>
    <xf numFmtId="3" fontId="42" fillId="0" borderId="0" xfId="33" applyNumberFormat="1" applyFont="1"/>
    <xf numFmtId="3" fontId="15" fillId="39" borderId="106" xfId="33" applyNumberFormat="1" applyFont="1" applyFill="1" applyBorder="1"/>
    <xf numFmtId="0" fontId="3" fillId="41" borderId="0" xfId="33" applyFill="1"/>
    <xf numFmtId="0" fontId="15" fillId="41" borderId="62" xfId="33" applyFont="1" applyFill="1" applyBorder="1"/>
    <xf numFmtId="3" fontId="15" fillId="41" borderId="62" xfId="33" applyNumberFormat="1" applyFont="1" applyFill="1" applyBorder="1"/>
    <xf numFmtId="0" fontId="4" fillId="41" borderId="62" xfId="33" applyFont="1" applyFill="1" applyBorder="1"/>
    <xf numFmtId="0" fontId="6" fillId="0" borderId="0" xfId="47">
      <alignment horizontal="center" vertical="center"/>
    </xf>
    <xf numFmtId="166" fontId="6" fillId="0" borderId="119" xfId="47" applyNumberFormat="1" applyBorder="1">
      <alignment horizontal="center" vertical="center"/>
    </xf>
    <xf numFmtId="0" fontId="6" fillId="0" borderId="119" xfId="47" applyBorder="1">
      <alignment horizontal="center" vertical="center"/>
    </xf>
    <xf numFmtId="0" fontId="6" fillId="0" borderId="118" xfId="47" applyBorder="1">
      <alignment horizontal="center" vertical="center"/>
    </xf>
    <xf numFmtId="0" fontId="6" fillId="0" borderId="86" xfId="47" applyBorder="1">
      <alignment horizontal="center" vertical="center"/>
    </xf>
    <xf numFmtId="0" fontId="6" fillId="0" borderId="69" xfId="47" applyBorder="1">
      <alignment horizontal="center" vertical="center"/>
    </xf>
    <xf numFmtId="174" fontId="6" fillId="0" borderId="87" xfId="47" applyNumberFormat="1" applyBorder="1" applyAlignment="1">
      <alignment horizontal="center"/>
    </xf>
    <xf numFmtId="167" fontId="1" fillId="0" borderId="65" xfId="47" applyNumberFormat="1" applyFont="1" applyBorder="1">
      <alignment horizontal="center" vertical="center"/>
    </xf>
    <xf numFmtId="0" fontId="1" fillId="0" borderId="65" xfId="47" applyFont="1" applyBorder="1">
      <alignment horizontal="center" vertical="center"/>
    </xf>
    <xf numFmtId="0" fontId="6" fillId="0" borderId="104" xfId="47" applyBorder="1" applyAlignment="1">
      <alignment horizontal="center"/>
    </xf>
    <xf numFmtId="0" fontId="6" fillId="0" borderId="87" xfId="47" applyBorder="1">
      <alignment horizontal="center" vertical="center"/>
    </xf>
    <xf numFmtId="0" fontId="6" fillId="0" borderId="104" xfId="47" applyBorder="1">
      <alignment horizontal="center" vertical="center"/>
    </xf>
    <xf numFmtId="174" fontId="6" fillId="0" borderId="59" xfId="47" applyNumberFormat="1" applyBorder="1" applyAlignment="1">
      <alignment horizontal="center"/>
    </xf>
    <xf numFmtId="167" fontId="1" fillId="0" borderId="62" xfId="47" applyNumberFormat="1" applyFont="1" applyBorder="1">
      <alignment horizontal="center" vertical="center"/>
    </xf>
    <xf numFmtId="0" fontId="1" fillId="0" borderId="62" xfId="47" applyFont="1" applyBorder="1">
      <alignment horizontal="center" vertical="center"/>
    </xf>
    <xf numFmtId="0" fontId="6" fillId="0" borderId="76" xfId="47" applyBorder="1" applyAlignment="1">
      <alignment horizontal="center"/>
    </xf>
    <xf numFmtId="0" fontId="6" fillId="0" borderId="59" xfId="47" applyBorder="1">
      <alignment horizontal="center" vertical="center"/>
    </xf>
    <xf numFmtId="0" fontId="6" fillId="0" borderId="76" xfId="47" applyBorder="1">
      <alignment horizontal="center" vertical="center"/>
    </xf>
    <xf numFmtId="0" fontId="1" fillId="0" borderId="0" xfId="47" applyFont="1">
      <alignment horizontal="center" vertical="center"/>
    </xf>
    <xf numFmtId="0" fontId="6" fillId="0" borderId="62" xfId="47" applyBorder="1" applyAlignment="1">
      <alignment horizontal="center"/>
    </xf>
    <xf numFmtId="0" fontId="3" fillId="0" borderId="62" xfId="47" applyFont="1" applyBorder="1" applyAlignment="1">
      <alignment horizontal="center"/>
    </xf>
    <xf numFmtId="0" fontId="6" fillId="0" borderId="111" xfId="47" applyBorder="1" applyAlignment="1">
      <alignment horizontal="center" wrapText="1"/>
    </xf>
    <xf numFmtId="0" fontId="6" fillId="0" borderId="100" xfId="47" applyBorder="1" applyAlignment="1">
      <alignment horizontal="center" wrapText="1"/>
    </xf>
    <xf numFmtId="0" fontId="6" fillId="43" borderId="100" xfId="47" applyFill="1" applyBorder="1" applyAlignment="1">
      <alignment horizontal="center" wrapText="1"/>
    </xf>
    <xf numFmtId="0" fontId="3" fillId="44" borderId="100" xfId="47" applyFont="1" applyFill="1" applyBorder="1" applyAlignment="1">
      <alignment horizontal="center" wrapText="1"/>
    </xf>
    <xf numFmtId="167" fontId="6" fillId="43" borderId="100" xfId="47" applyNumberFormat="1" applyFill="1" applyBorder="1" applyAlignment="1">
      <alignment horizontal="center" wrapText="1"/>
    </xf>
    <xf numFmtId="0" fontId="6" fillId="35" borderId="89" xfId="47" applyFill="1" applyBorder="1" applyAlignment="1">
      <alignment horizontal="center" wrapText="1"/>
    </xf>
    <xf numFmtId="0" fontId="6" fillId="43" borderId="89" xfId="47" applyFill="1" applyBorder="1" applyAlignment="1">
      <alignment horizontal="center" wrapText="1"/>
    </xf>
    <xf numFmtId="0" fontId="6" fillId="35" borderId="110" xfId="47" applyFill="1" applyBorder="1" applyAlignment="1">
      <alignment horizontal="center" wrapText="1"/>
    </xf>
    <xf numFmtId="0" fontId="6" fillId="0" borderId="109" xfId="47" applyBorder="1">
      <alignment horizontal="center" vertical="center"/>
    </xf>
    <xf numFmtId="0" fontId="6" fillId="40" borderId="89" xfId="47" applyFill="1" applyBorder="1" applyAlignment="1">
      <alignment wrapText="1"/>
    </xf>
    <xf numFmtId="0" fontId="6" fillId="0" borderId="110" xfId="47" applyBorder="1" applyAlignment="1">
      <alignment wrapText="1"/>
    </xf>
    <xf numFmtId="0" fontId="6" fillId="0" borderId="111" xfId="47" applyBorder="1">
      <alignment horizontal="center" vertical="center"/>
    </xf>
    <xf numFmtId="0" fontId="6" fillId="0" borderId="89" xfId="47" applyBorder="1" applyAlignment="1">
      <alignment horizontal="center" wrapText="1"/>
    </xf>
    <xf numFmtId="0" fontId="3" fillId="43" borderId="100" xfId="47" applyFont="1" applyFill="1" applyBorder="1" applyAlignment="1">
      <alignment horizontal="center" wrapText="1"/>
    </xf>
    <xf numFmtId="0" fontId="6" fillId="0" borderId="100" xfId="47" applyBorder="1" applyAlignment="1">
      <alignment wrapText="1"/>
    </xf>
    <xf numFmtId="167" fontId="6" fillId="43" borderId="89" xfId="47" applyNumberFormat="1" applyFill="1" applyBorder="1" applyAlignment="1">
      <alignment horizontal="center" wrapText="1"/>
    </xf>
    <xf numFmtId="0" fontId="6" fillId="0" borderId="89" xfId="47" applyBorder="1" applyAlignment="1">
      <alignment wrapText="1"/>
    </xf>
    <xf numFmtId="0" fontId="6" fillId="43" borderId="100" xfId="47" applyFill="1" applyBorder="1" applyAlignment="1">
      <alignment wrapText="1"/>
    </xf>
    <xf numFmtId="167" fontId="6" fillId="43" borderId="89" xfId="47" applyNumberFormat="1" applyFill="1" applyBorder="1" applyAlignment="1">
      <alignment wrapText="1"/>
    </xf>
    <xf numFmtId="0" fontId="6" fillId="38" borderId="89" xfId="47" applyFill="1" applyBorder="1" applyAlignment="1">
      <alignment wrapText="1"/>
    </xf>
    <xf numFmtId="0" fontId="6" fillId="43" borderId="89" xfId="47" applyFill="1" applyBorder="1" applyAlignment="1">
      <alignment wrapText="1"/>
    </xf>
    <xf numFmtId="0" fontId="6" fillId="43" borderId="100" xfId="47" applyFill="1" applyBorder="1">
      <alignment horizontal="center" vertical="center"/>
    </xf>
    <xf numFmtId="0" fontId="6" fillId="0" borderId="100" xfId="47" applyBorder="1">
      <alignment horizontal="center" vertical="center"/>
    </xf>
    <xf numFmtId="167" fontId="6" fillId="43" borderId="89" xfId="47" applyNumberFormat="1" applyFill="1" applyBorder="1">
      <alignment horizontal="center" vertical="center"/>
    </xf>
    <xf numFmtId="0" fontId="6" fillId="43" borderId="89" xfId="47" applyFill="1" applyBorder="1">
      <alignment horizontal="center" vertical="center"/>
    </xf>
    <xf numFmtId="0" fontId="6" fillId="0" borderId="110" xfId="47" applyBorder="1">
      <alignment horizontal="center" vertical="center"/>
    </xf>
    <xf numFmtId="0" fontId="6" fillId="0" borderId="108" xfId="47" applyBorder="1">
      <alignment horizontal="center" vertical="center"/>
    </xf>
    <xf numFmtId="0" fontId="6" fillId="0" borderId="98" xfId="47" applyBorder="1" applyAlignment="1">
      <alignment wrapText="1"/>
    </xf>
    <xf numFmtId="0" fontId="6" fillId="43" borderId="98" xfId="47" applyFill="1" applyBorder="1" applyAlignment="1">
      <alignment wrapText="1"/>
    </xf>
    <xf numFmtId="0" fontId="6" fillId="41" borderId="98" xfId="47" applyFill="1" applyBorder="1" applyAlignment="1">
      <alignment wrapText="1"/>
    </xf>
    <xf numFmtId="167" fontId="6" fillId="43" borderId="106" xfId="47" applyNumberFormat="1" applyFill="1" applyBorder="1" applyAlignment="1">
      <alignment wrapText="1"/>
    </xf>
    <xf numFmtId="0" fontId="4" fillId="0" borderId="106" xfId="47" applyFont="1" applyBorder="1" applyAlignment="1">
      <alignment wrapText="1"/>
    </xf>
    <xf numFmtId="0" fontId="6" fillId="43" borderId="106" xfId="47" applyFill="1" applyBorder="1" applyAlignment="1">
      <alignment wrapText="1"/>
    </xf>
    <xf numFmtId="0" fontId="4" fillId="0" borderId="107" xfId="47" applyFont="1" applyBorder="1" applyAlignment="1">
      <alignment wrapText="1"/>
    </xf>
    <xf numFmtId="0" fontId="6" fillId="0" borderId="95" xfId="47" applyBorder="1">
      <alignment horizontal="center" vertical="center"/>
    </xf>
    <xf numFmtId="0" fontId="6" fillId="0" borderId="97" xfId="47" applyBorder="1">
      <alignment horizontal="center" vertical="center"/>
    </xf>
    <xf numFmtId="0" fontId="50" fillId="41" borderId="62" xfId="33" applyFont="1" applyFill="1" applyBorder="1"/>
    <xf numFmtId="0" fontId="6" fillId="41" borderId="62" xfId="33" applyFont="1" applyFill="1" applyBorder="1"/>
    <xf numFmtId="0" fontId="6" fillId="41" borderId="0" xfId="33" applyFont="1" applyFill="1"/>
    <xf numFmtId="0" fontId="6" fillId="41" borderId="65" xfId="33" applyFont="1" applyFill="1" applyBorder="1"/>
    <xf numFmtId="0" fontId="50" fillId="41" borderId="74" xfId="33" applyFont="1" applyFill="1" applyBorder="1"/>
    <xf numFmtId="0" fontId="50" fillId="41" borderId="63" xfId="33" applyFont="1" applyFill="1" applyBorder="1"/>
    <xf numFmtId="176" fontId="50" fillId="41" borderId="74" xfId="44" applyNumberFormat="1" applyFont="1" applyFill="1" applyBorder="1"/>
    <xf numFmtId="176" fontId="50" fillId="41" borderId="63" xfId="44" applyNumberFormat="1" applyFont="1" applyFill="1" applyBorder="1"/>
    <xf numFmtId="0" fontId="51" fillId="41" borderId="0" xfId="33" applyFont="1" applyFill="1"/>
    <xf numFmtId="0" fontId="52" fillId="41" borderId="0" xfId="33" applyFont="1" applyFill="1"/>
    <xf numFmtId="14" fontId="6" fillId="41" borderId="62" xfId="33" applyNumberFormat="1" applyFont="1" applyFill="1" applyBorder="1"/>
    <xf numFmtId="0" fontId="50" fillId="41" borderId="59" xfId="33" applyFont="1" applyFill="1" applyBorder="1"/>
    <xf numFmtId="0" fontId="6" fillId="41" borderId="59" xfId="33" applyFont="1" applyFill="1" applyBorder="1"/>
    <xf numFmtId="0" fontId="50" fillId="41" borderId="61" xfId="33" applyFont="1" applyFill="1" applyBorder="1"/>
    <xf numFmtId="0" fontId="6" fillId="41" borderId="61" xfId="33" applyFont="1" applyFill="1" applyBorder="1"/>
    <xf numFmtId="14" fontId="6" fillId="41" borderId="65" xfId="33" applyNumberFormat="1" applyFont="1" applyFill="1" applyBorder="1"/>
    <xf numFmtId="0" fontId="6" fillId="41" borderId="87" xfId="33" applyFont="1" applyFill="1" applyBorder="1"/>
    <xf numFmtId="0" fontId="6" fillId="41" borderId="88" xfId="33" applyFont="1" applyFill="1" applyBorder="1"/>
    <xf numFmtId="0" fontId="6" fillId="41" borderId="72" xfId="33" applyFont="1" applyFill="1" applyBorder="1"/>
    <xf numFmtId="0" fontId="6" fillId="41" borderId="90" xfId="33" applyFont="1" applyFill="1" applyBorder="1"/>
    <xf numFmtId="0" fontId="6" fillId="41" borderId="91" xfId="33" applyFont="1" applyFill="1" applyBorder="1"/>
    <xf numFmtId="0" fontId="6" fillId="41" borderId="70" xfId="33" applyFont="1" applyFill="1" applyBorder="1"/>
    <xf numFmtId="0" fontId="6" fillId="41" borderId="85" xfId="33" applyFont="1" applyFill="1" applyBorder="1"/>
    <xf numFmtId="0" fontId="6" fillId="41" borderId="125" xfId="33" applyFont="1" applyFill="1" applyBorder="1"/>
    <xf numFmtId="176" fontId="6" fillId="41" borderId="62" xfId="44" applyNumberFormat="1" applyFont="1" applyFill="1" applyBorder="1"/>
    <xf numFmtId="176" fontId="6" fillId="41" borderId="65" xfId="44" applyNumberFormat="1" applyFont="1" applyFill="1" applyBorder="1"/>
    <xf numFmtId="176" fontId="6" fillId="41" borderId="70" xfId="44" applyNumberFormat="1" applyFont="1" applyFill="1" applyBorder="1"/>
    <xf numFmtId="3" fontId="11" fillId="0" borderId="62" xfId="33" applyNumberFormat="1" applyFont="1" applyBorder="1"/>
    <xf numFmtId="37" fontId="3" fillId="0" borderId="62" xfId="33" applyNumberFormat="1" applyBorder="1"/>
    <xf numFmtId="0" fontId="6" fillId="41" borderId="60" xfId="33" applyFont="1" applyFill="1" applyBorder="1"/>
    <xf numFmtId="0" fontId="6" fillId="42" borderId="0" xfId="33" applyFont="1" applyFill="1"/>
    <xf numFmtId="0" fontId="6" fillId="42" borderId="62" xfId="33" applyFont="1" applyFill="1" applyBorder="1"/>
    <xf numFmtId="3" fontId="11" fillId="42" borderId="62" xfId="33" applyNumberFormat="1" applyFont="1" applyFill="1" applyBorder="1"/>
    <xf numFmtId="0" fontId="6" fillId="42" borderId="59" xfId="33" applyFont="1" applyFill="1" applyBorder="1"/>
    <xf numFmtId="0" fontId="6" fillId="42" borderId="61" xfId="33" applyFont="1" applyFill="1" applyBorder="1"/>
    <xf numFmtId="0" fontId="52" fillId="41" borderId="62" xfId="33" applyFont="1" applyFill="1" applyBorder="1"/>
    <xf numFmtId="176" fontId="6" fillId="42" borderId="62" xfId="44" applyNumberFormat="1" applyFont="1" applyFill="1" applyBorder="1"/>
    <xf numFmtId="37" fontId="3" fillId="0" borderId="65" xfId="33" applyNumberFormat="1" applyBorder="1"/>
    <xf numFmtId="176" fontId="6" fillId="41" borderId="72" xfId="44" applyNumberFormat="1" applyFont="1" applyFill="1" applyBorder="1"/>
    <xf numFmtId="37" fontId="3" fillId="0" borderId="72" xfId="33" applyNumberFormat="1" applyBorder="1"/>
    <xf numFmtId="37" fontId="3" fillId="0" borderId="70" xfId="33" applyNumberFormat="1" applyBorder="1"/>
    <xf numFmtId="3" fontId="6" fillId="41" borderId="62" xfId="33" applyNumberFormat="1" applyFont="1" applyFill="1" applyBorder="1"/>
    <xf numFmtId="0" fontId="0" fillId="0" borderId="93" xfId="33" applyFont="1" applyBorder="1" applyAlignment="1">
      <alignment horizontal="right"/>
    </xf>
    <xf numFmtId="3" fontId="42" fillId="0" borderId="0" xfId="33" applyNumberFormat="1" applyFont="1" applyAlignment="1">
      <alignment horizontal="right"/>
    </xf>
    <xf numFmtId="3" fontId="3" fillId="0" borderId="93" xfId="33" applyNumberFormat="1" applyBorder="1"/>
    <xf numFmtId="0" fontId="0" fillId="0" borderId="62" xfId="33" applyFont="1" applyBorder="1"/>
    <xf numFmtId="3" fontId="42" fillId="0" borderId="0" xfId="33" applyNumberFormat="1" applyFont="1" applyAlignment="1">
      <alignment horizontal="left"/>
    </xf>
    <xf numFmtId="176" fontId="6" fillId="41" borderId="0" xfId="44" applyNumberFormat="1" applyFont="1" applyFill="1"/>
    <xf numFmtId="0" fontId="6" fillId="49" borderId="59" xfId="51" applyBorder="1">
      <alignment horizontal="center" vertical="center"/>
    </xf>
    <xf numFmtId="0" fontId="14" fillId="39" borderId="95" xfId="33" applyFont="1" applyFill="1" applyBorder="1" applyAlignment="1">
      <alignment horizontal="center"/>
    </xf>
    <xf numFmtId="0" fontId="10" fillId="39" borderId="0" xfId="33" applyFont="1" applyFill="1" applyAlignment="1">
      <alignment horizontal="left"/>
    </xf>
    <xf numFmtId="0" fontId="14" fillId="34" borderId="0" xfId="33" applyFont="1" applyFill="1" applyAlignment="1">
      <alignment horizontal="center"/>
    </xf>
    <xf numFmtId="0" fontId="9" fillId="34" borderId="0" xfId="33" applyFont="1" applyFill="1" applyAlignment="1">
      <alignment horizontal="center"/>
    </xf>
    <xf numFmtId="0" fontId="9" fillId="34" borderId="95" xfId="33" applyFont="1" applyFill="1" applyBorder="1" applyAlignment="1">
      <alignment horizontal="center"/>
    </xf>
    <xf numFmtId="0" fontId="14" fillId="36" borderId="95" xfId="33" applyFont="1" applyFill="1" applyBorder="1" applyAlignment="1">
      <alignment horizontal="center"/>
    </xf>
    <xf numFmtId="0" fontId="14" fillId="33" borderId="95" xfId="33" applyFont="1" applyFill="1" applyBorder="1" applyAlignment="1">
      <alignment horizontal="center"/>
    </xf>
    <xf numFmtId="0" fontId="14" fillId="46" borderId="0" xfId="33" applyFont="1" applyFill="1" applyAlignment="1">
      <alignment horizontal="center"/>
    </xf>
    <xf numFmtId="0" fontId="3" fillId="0" borderId="59" xfId="33" applyBorder="1" applyAlignment="1">
      <alignment horizontal="center"/>
    </xf>
    <xf numFmtId="0" fontId="3" fillId="0" borderId="60" xfId="33" applyBorder="1" applyAlignment="1">
      <alignment horizontal="center"/>
    </xf>
    <xf numFmtId="0" fontId="3" fillId="0" borderId="61" xfId="33" applyBorder="1" applyAlignment="1">
      <alignment horizontal="center"/>
    </xf>
    <xf numFmtId="0" fontId="14" fillId="28" borderId="47" xfId="0" applyFont="1" applyFill="1" applyBorder="1" applyAlignment="1">
      <alignment horizontal="center"/>
    </xf>
    <xf numFmtId="0" fontId="14" fillId="27" borderId="47" xfId="0" applyFont="1" applyFill="1" applyBorder="1" applyAlignment="1">
      <alignment horizontal="center"/>
    </xf>
    <xf numFmtId="0" fontId="14" fillId="29" borderId="0" xfId="0" applyFont="1" applyFill="1" applyAlignment="1">
      <alignment horizontal="center"/>
    </xf>
    <xf numFmtId="0" fontId="9" fillId="29" borderId="47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14" fillId="30" borderId="47" xfId="0" applyFont="1" applyFill="1" applyBorder="1" applyAlignment="1">
      <alignment horizontal="center"/>
    </xf>
    <xf numFmtId="177" fontId="1" fillId="43" borderId="65" xfId="45" applyNumberFormat="1" applyFont="1" applyFill="1" applyBorder="1"/>
    <xf numFmtId="0" fontId="3" fillId="0" borderId="80" xfId="33" applyFont="1" applyBorder="1"/>
    <xf numFmtId="0" fontId="3" fillId="0" borderId="62" xfId="33" applyFont="1" applyBorder="1"/>
    <xf numFmtId="0" fontId="3" fillId="0" borderId="0" xfId="33" applyFont="1"/>
    <xf numFmtId="0" fontId="3" fillId="0" borderId="62" xfId="33" applyFont="1" applyBorder="1" applyAlignment="1">
      <alignment horizontal="center"/>
    </xf>
    <xf numFmtId="0" fontId="3" fillId="0" borderId="59" xfId="33" applyFont="1" applyBorder="1" applyAlignment="1">
      <alignment horizontal="center"/>
    </xf>
    <xf numFmtId="0" fontId="3" fillId="0" borderId="61" xfId="33" applyFont="1" applyBorder="1" applyAlignment="1">
      <alignment horizontal="center"/>
    </xf>
    <xf numFmtId="3" fontId="3" fillId="0" borderId="0" xfId="33" applyNumberFormat="1" applyFont="1"/>
    <xf numFmtId="0" fontId="3" fillId="0" borderId="59" xfId="33" applyFont="1" applyBorder="1"/>
    <xf numFmtId="0" fontId="3" fillId="0" borderId="0" xfId="33" applyFont="1" applyAlignment="1">
      <alignment horizontal="center"/>
    </xf>
    <xf numFmtId="49" fontId="3" fillId="0" borderId="62" xfId="33" applyNumberFormat="1" applyFont="1" applyBorder="1"/>
    <xf numFmtId="0" fontId="11" fillId="0" borderId="59" xfId="33" applyFont="1" applyBorder="1" applyAlignment="1">
      <alignment horizontal="right"/>
    </xf>
    <xf numFmtId="0" fontId="11" fillId="37" borderId="59" xfId="33" applyFont="1" applyFill="1" applyBorder="1"/>
    <xf numFmtId="14" fontId="11" fillId="37" borderId="59" xfId="33" applyNumberFormat="1" applyFont="1" applyFill="1" applyBorder="1"/>
    <xf numFmtId="3" fontId="3" fillId="0" borderId="61" xfId="33" applyNumberFormat="1" applyFont="1" applyBorder="1"/>
    <xf numFmtId="0" fontId="11" fillId="0" borderId="62" xfId="33" applyFont="1" applyBorder="1"/>
    <xf numFmtId="14" fontId="11" fillId="0" borderId="0" xfId="33" applyNumberFormat="1" applyFont="1"/>
    <xf numFmtId="49" fontId="3" fillId="0" borderId="0" xfId="33" applyNumberFormat="1" applyFont="1"/>
    <xf numFmtId="0" fontId="3" fillId="0" borderId="60" xfId="33" applyFont="1" applyBorder="1" applyAlignment="1">
      <alignment horizontal="center"/>
    </xf>
    <xf numFmtId="3" fontId="3" fillId="0" borderId="91" xfId="33" applyNumberFormat="1" applyFont="1" applyBorder="1"/>
  </cellXfs>
  <cellStyles count="53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Afspadsering" xfId="48" xr:uid="{00000000-0005-0000-0000-000014000000}"/>
    <cellStyle name="Bemærk!" xfId="20" builtinId="10" customBuiltin="1"/>
    <cellStyle name="Beregning" xfId="21" builtinId="22" customBuiltin="1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erie" xfId="49" xr:uid="{00000000-0005-0000-0000-000017000000}"/>
    <cellStyle name="FerieFridag" xfId="50" xr:uid="{00000000-0005-0000-0000-000018000000}"/>
    <cellStyle name="Forklarende tekst" xfId="22" builtinId="53" customBuiltin="1"/>
    <cellStyle name="God" xfId="23" builtinId="26" customBuiltin="1"/>
    <cellStyle name="Input" xfId="24" builtinId="20" customBuiltin="1"/>
    <cellStyle name="Komma" xfId="44" builtinId="3"/>
    <cellStyle name="Kontrollér celle" xfId="25" builtinId="23" customBuiltin="1"/>
    <cellStyle name="Neutral" xfId="32" builtinId="28" customBuiltin="1"/>
    <cellStyle name="Normal" xfId="0" builtinId="0"/>
    <cellStyle name="Normal 2" xfId="43" xr:uid="{00000000-0005-0000-0000-000025000000}"/>
    <cellStyle name="Normal 3" xfId="46" xr:uid="{00000000-0005-0000-0000-000026000000}"/>
    <cellStyle name="Normal 4" xfId="47" xr:uid="{00000000-0005-0000-0000-000027000000}"/>
    <cellStyle name="Normal_Vagtplan 2010 - 2011" xfId="33" xr:uid="{00000000-0005-0000-0000-000028000000}"/>
    <cellStyle name="Output" xfId="34" builtinId="21" customBuiltin="1"/>
    <cellStyle name="Overskrift 1" xfId="35" builtinId="16" customBuiltin="1"/>
    <cellStyle name="Overskrift 2" xfId="36" builtinId="17" customBuiltin="1"/>
    <cellStyle name="Overskrift 3" xfId="37" builtinId="18" customBuiltin="1"/>
    <cellStyle name="Overskrift 4" xfId="38" builtinId="19" customBuiltin="1"/>
    <cellStyle name="OverTid" xfId="51" xr:uid="{00000000-0005-0000-0000-00002E000000}"/>
    <cellStyle name="Sammenkædet celle" xfId="39" builtinId="24" customBuiltin="1"/>
    <cellStyle name="Syg" xfId="52" xr:uid="{00000000-0005-0000-0000-000030000000}"/>
    <cellStyle name="Titel" xfId="40" builtinId="15" customBuiltin="1"/>
    <cellStyle name="Total" xfId="41" builtinId="25" customBuiltin="1"/>
    <cellStyle name="Ugyldig" xfId="42" builtinId="27" customBuiltin="1"/>
    <cellStyle name="Valuta" xfId="45" builtin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CC00"/>
      <color rgb="FFFFCC99"/>
      <color rgb="FFFFFF00"/>
      <color rgb="FFFF9900"/>
      <color rgb="FFFFFF99"/>
      <color rgb="FF0000FF"/>
      <color rgb="FFCC00CC"/>
      <color rgb="FFFF7C80"/>
      <color rgb="FFCC0099"/>
      <color rgb="FF99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externalLink" Target="externalLinks/externalLink11.xml"/><Relationship Id="rId39" Type="http://schemas.microsoft.com/office/2006/relationships/vbaProject" Target="vbaProject.bin"/><Relationship Id="rId21" Type="http://schemas.openxmlformats.org/officeDocument/2006/relationships/externalLink" Target="externalLinks/externalLink6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externalLink" Target="externalLinks/externalLink10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openxmlformats.org/officeDocument/2006/relationships/externalLink" Target="externalLinks/externalLink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9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externalLink" Target="externalLinks/externalLink13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externalLink" Target="externalLinks/externalLink12.xml"/><Relationship Id="rId30" Type="http://schemas.openxmlformats.org/officeDocument/2006/relationships/externalLink" Target="externalLinks/externalLink15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Postservice%20og%20Skanning/Biler%20og%20regnskab/Bil%20regnskab%2020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Postservice%20og%20Skanning/Biler%20og%20regnskab/Bil%20regnskab%20201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Postservice%20og%20Skanning/Biler%20og%20regnskab/Bil%20regnskab%202015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Postservice%20og%20Skanning/Biler%20og%20regnskab/Bil%20regnskab%20201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R&#229;dhusvagten/Kunder/Samlet%20vagtkontrakter/&#197;r%202017%20priser%20for%20R&#229;dhusvagte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Postservice%20og%20Skanning/Samlet%20kontrakt%20regnskab%20for%20Posten/Samlet%20kontrakt%20Regnskab%202017%20%20-%20postsamarbejdsaftaler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R&#229;dhusvagten/Kunder/Samlet%20vagtkontrakter/&#197;r%202016%20priser%20for%20R&#229;dhusvagten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R&#229;dhusvagten/Kunder/Samlet%20vagtkontrakter/&#197;r%202015%20priser%20for%20R&#229;dhusvagten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Postservice%20og%20Skanning/Samlet%20kontrakt%20regnskab%20for%20Posten/Samlet%20kontrakt%20Regnskab%202016%20%20-%20postsamarbejdsaftaler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Postservice%20og%20Skanning/Samlet%20kontrakt%20regnskab%20for%20Posten/Samlet%20kontrakt%20Regnskab%202015%20%20-%20postsamarbejdsaftaler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R&#229;dhusvagten/Kunder/Samlet%20vagtkontrakter/&#197;r%202014%20priser%20for%20R&#229;dhusvagten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Postservice%20og%20Skanning/Samlet%20kontrakt%20regnskab%20for%20Posten/Samlet%20kontrakt%20Regnskab%202014%20%20-%20postsamarbejdsaftaler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R&#229;dhusvagten/Kunder/Samlet%20vagtkontrakter/&#197;r%202012%20priser%20for%20R&#229;dhusvagt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Postservice%20og%20Skanning/Samlet%20kontrakt%20regnskab%20for%20Posten/Samlet%20kontrakt%20Regnskab%202013%20%20-%20postsamarbejdsaftaler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SERVICE%20&amp;%20KUNDER/R&#197;DHUSSERVICE/Betjent/_Postservice%20og%20Skanning/Samlet%20kontrakt%20regnskab%20for%20Posten/Samlet%20kontrakt%20Regnskab%202012%20%20-%20postsamarbejdsaftaler(til%20konsulent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 tal på biler 2013"/>
      <sheetName val="Bil regnskab 2013"/>
    </sheetNames>
    <sheetDataSet>
      <sheetData sheetId="0">
        <row r="9">
          <cell r="D9" t="str">
            <v>Diesel</v>
          </cell>
          <cell r="F9" t="str">
            <v>Diesel</v>
          </cell>
          <cell r="H9" t="str">
            <v>Diesel</v>
          </cell>
          <cell r="J9" t="str">
            <v>Benzin</v>
          </cell>
          <cell r="K9" t="str">
            <v>Brændstof i alt</v>
          </cell>
          <cell r="L9" t="str">
            <v>Vask mm.</v>
          </cell>
        </row>
        <row r="10">
          <cell r="D10" t="str">
            <v>Kr.</v>
          </cell>
          <cell r="F10" t="str">
            <v>Kr.</v>
          </cell>
          <cell r="H10" t="str">
            <v>Kr.</v>
          </cell>
          <cell r="J10" t="str">
            <v>Kr.</v>
          </cell>
          <cell r="K10" t="str">
            <v>Kr.</v>
          </cell>
          <cell r="L10" t="str">
            <v>Kr.</v>
          </cell>
        </row>
        <row r="12">
          <cell r="A12" t="str">
            <v>Januar</v>
          </cell>
          <cell r="D12">
            <v>1144.17</v>
          </cell>
          <cell r="E12">
            <v>0</v>
          </cell>
          <cell r="F12">
            <v>2081.46</v>
          </cell>
          <cell r="G12">
            <v>0</v>
          </cell>
          <cell r="H12">
            <v>4436.5200000000004</v>
          </cell>
          <cell r="I12">
            <v>0</v>
          </cell>
          <cell r="J12">
            <v>0</v>
          </cell>
          <cell r="K12">
            <v>7662.1500000000005</v>
          </cell>
          <cell r="L12">
            <v>802.46</v>
          </cell>
          <cell r="M12">
            <v>8464.61</v>
          </cell>
        </row>
        <row r="13">
          <cell r="A13" t="str">
            <v>Februar</v>
          </cell>
          <cell r="D13">
            <v>1405.66</v>
          </cell>
          <cell r="E13">
            <v>0</v>
          </cell>
          <cell r="F13">
            <v>1189.3499999999999</v>
          </cell>
          <cell r="G13">
            <v>0</v>
          </cell>
          <cell r="H13">
            <v>3161.52</v>
          </cell>
          <cell r="I13">
            <v>0</v>
          </cell>
          <cell r="J13">
            <v>0</v>
          </cell>
          <cell r="K13">
            <v>5756.5300000000007</v>
          </cell>
          <cell r="L13">
            <v>669.65</v>
          </cell>
          <cell r="M13">
            <v>6426.18</v>
          </cell>
        </row>
        <row r="14">
          <cell r="A14" t="str">
            <v>Marts</v>
          </cell>
          <cell r="D14">
            <v>1371.46</v>
          </cell>
          <cell r="E14">
            <v>0</v>
          </cell>
          <cell r="F14">
            <v>2078.42</v>
          </cell>
          <cell r="G14">
            <v>0</v>
          </cell>
          <cell r="H14">
            <v>4959.1499999999996</v>
          </cell>
          <cell r="I14">
            <v>0</v>
          </cell>
          <cell r="J14">
            <v>860</v>
          </cell>
          <cell r="K14">
            <v>9269.0299999999988</v>
          </cell>
          <cell r="L14">
            <v>1238.45</v>
          </cell>
          <cell r="M14">
            <v>10507.48</v>
          </cell>
        </row>
        <row r="15">
          <cell r="A15" t="str">
            <v>April</v>
          </cell>
          <cell r="D15">
            <v>615.72</v>
          </cell>
          <cell r="E15">
            <v>0</v>
          </cell>
          <cell r="F15">
            <v>1846.98</v>
          </cell>
          <cell r="G15">
            <v>0</v>
          </cell>
          <cell r="H15">
            <v>2603.65</v>
          </cell>
          <cell r="I15">
            <v>0</v>
          </cell>
          <cell r="J15">
            <v>0</v>
          </cell>
          <cell r="K15">
            <v>5066.3500000000004</v>
          </cell>
          <cell r="L15">
            <v>489.7</v>
          </cell>
          <cell r="M15">
            <v>5556.05</v>
          </cell>
        </row>
        <row r="16">
          <cell r="A16" t="str">
            <v>Maj</v>
          </cell>
          <cell r="D16">
            <v>563.91999999999996</v>
          </cell>
          <cell r="E16">
            <v>0</v>
          </cell>
          <cell r="F16">
            <v>2408.64</v>
          </cell>
          <cell r="G16">
            <v>0</v>
          </cell>
          <cell r="H16">
            <v>3100.91</v>
          </cell>
          <cell r="I16">
            <v>0</v>
          </cell>
          <cell r="J16">
            <v>910.12</v>
          </cell>
          <cell r="K16">
            <v>6983.5899999999992</v>
          </cell>
          <cell r="L16">
            <v>359.83</v>
          </cell>
          <cell r="M16">
            <v>7343.4199999999992</v>
          </cell>
        </row>
        <row r="17">
          <cell r="A17" t="str">
            <v>Juni</v>
          </cell>
          <cell r="D17">
            <v>2163.13</v>
          </cell>
          <cell r="E17">
            <v>0</v>
          </cell>
          <cell r="F17">
            <v>3065.5</v>
          </cell>
          <cell r="G17">
            <v>0</v>
          </cell>
          <cell r="H17">
            <v>932.53</v>
          </cell>
          <cell r="I17">
            <v>0</v>
          </cell>
          <cell r="J17">
            <v>707</v>
          </cell>
          <cell r="K17">
            <v>6868.16</v>
          </cell>
          <cell r="L17">
            <v>259.85000000000002</v>
          </cell>
          <cell r="M17">
            <v>7128.01</v>
          </cell>
        </row>
        <row r="18">
          <cell r="A18" t="str">
            <v>Juli</v>
          </cell>
          <cell r="D18">
            <v>709.48</v>
          </cell>
          <cell r="E18">
            <v>0</v>
          </cell>
          <cell r="F18">
            <v>2092.9299999999998</v>
          </cell>
          <cell r="G18">
            <v>0</v>
          </cell>
          <cell r="H18">
            <v>3153.76</v>
          </cell>
          <cell r="I18">
            <v>0</v>
          </cell>
          <cell r="J18">
            <v>614.08000000000004</v>
          </cell>
          <cell r="K18">
            <v>6570.25</v>
          </cell>
          <cell r="L18">
            <v>284.83</v>
          </cell>
          <cell r="M18">
            <v>6855.08</v>
          </cell>
        </row>
        <row r="19">
          <cell r="A19" t="str">
            <v>August</v>
          </cell>
          <cell r="D19">
            <v>626.01</v>
          </cell>
          <cell r="E19">
            <v>0</v>
          </cell>
          <cell r="F19">
            <v>397.7</v>
          </cell>
          <cell r="G19">
            <v>0</v>
          </cell>
          <cell r="H19">
            <v>2105.67</v>
          </cell>
          <cell r="I19">
            <v>0</v>
          </cell>
          <cell r="J19">
            <v>0</v>
          </cell>
          <cell r="K19">
            <v>3129.38</v>
          </cell>
          <cell r="L19">
            <v>294.83</v>
          </cell>
          <cell r="M19">
            <v>3424.21</v>
          </cell>
        </row>
        <row r="20">
          <cell r="A20" t="str">
            <v>September</v>
          </cell>
          <cell r="D20">
            <v>2202.42</v>
          </cell>
          <cell r="E20">
            <v>0</v>
          </cell>
          <cell r="F20">
            <v>2117.2800000000002</v>
          </cell>
          <cell r="G20">
            <v>0</v>
          </cell>
          <cell r="H20">
            <v>2529.5100000000002</v>
          </cell>
          <cell r="I20">
            <v>0</v>
          </cell>
          <cell r="J20">
            <v>1803.03</v>
          </cell>
          <cell r="K20">
            <v>8652.2400000000016</v>
          </cell>
          <cell r="L20">
            <v>399.75</v>
          </cell>
          <cell r="M20">
            <v>9051.9900000000016</v>
          </cell>
        </row>
        <row r="21">
          <cell r="A21" t="str">
            <v>Oktober</v>
          </cell>
          <cell r="D21">
            <v>1927.37</v>
          </cell>
          <cell r="E21">
            <v>0</v>
          </cell>
          <cell r="F21">
            <v>0</v>
          </cell>
          <cell r="G21">
            <v>0</v>
          </cell>
          <cell r="H21">
            <v>4416.78</v>
          </cell>
          <cell r="I21">
            <v>0</v>
          </cell>
          <cell r="J21">
            <v>767.05</v>
          </cell>
          <cell r="K21">
            <v>7111.2</v>
          </cell>
          <cell r="L21">
            <v>319.8</v>
          </cell>
          <cell r="M21">
            <v>7431</v>
          </cell>
        </row>
        <row r="22">
          <cell r="A22" t="str">
            <v>November</v>
          </cell>
          <cell r="D22">
            <v>1777.57</v>
          </cell>
          <cell r="E22">
            <v>0</v>
          </cell>
          <cell r="F22">
            <v>2589.11</v>
          </cell>
          <cell r="G22">
            <v>0</v>
          </cell>
          <cell r="H22">
            <v>3619.28</v>
          </cell>
          <cell r="I22">
            <v>0</v>
          </cell>
          <cell r="J22">
            <v>2052.0700000000002</v>
          </cell>
          <cell r="K22">
            <v>10038.030000000001</v>
          </cell>
          <cell r="L22">
            <v>459.8</v>
          </cell>
          <cell r="M22">
            <v>10497.83</v>
          </cell>
        </row>
        <row r="23">
          <cell r="A23" t="str">
            <v>December</v>
          </cell>
          <cell r="D23">
            <v>1142.05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1142.05</v>
          </cell>
          <cell r="L23">
            <v>2013</v>
          </cell>
          <cell r="M23">
            <v>3155.05</v>
          </cell>
        </row>
        <row r="24">
          <cell r="A24" t="str">
            <v>Total</v>
          </cell>
          <cell r="D24">
            <v>15648.96</v>
          </cell>
          <cell r="E24">
            <v>0</v>
          </cell>
          <cell r="F24">
            <v>19867.37</v>
          </cell>
          <cell r="G24">
            <v>0</v>
          </cell>
          <cell r="H24">
            <v>35019.279999999999</v>
          </cell>
          <cell r="I24">
            <v>0</v>
          </cell>
          <cell r="J24">
            <v>7713.35</v>
          </cell>
          <cell r="K24">
            <v>78248.959999999992</v>
          </cell>
          <cell r="L24">
            <v>7591.9500000000007</v>
          </cell>
          <cell r="M24">
            <v>85840.909999999989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 tal på biler 2014"/>
      <sheetName val="Bil regnskab 2014"/>
    </sheetNames>
    <sheetDataSet>
      <sheetData sheetId="0">
        <row r="9">
          <cell r="D9" t="str">
            <v>Diesel</v>
          </cell>
          <cell r="F9" t="str">
            <v>Diesel</v>
          </cell>
          <cell r="H9" t="str">
            <v>Diesel</v>
          </cell>
          <cell r="J9" t="str">
            <v>Benzin</v>
          </cell>
          <cell r="K9" t="str">
            <v>Brændstof i alt</v>
          </cell>
          <cell r="L9" t="str">
            <v>Vask mm.</v>
          </cell>
        </row>
        <row r="10">
          <cell r="D10" t="str">
            <v>Kr.</v>
          </cell>
          <cell r="F10" t="str">
            <v>Kr.</v>
          </cell>
          <cell r="H10" t="str">
            <v>Kr.</v>
          </cell>
          <cell r="J10" t="str">
            <v>Kr.</v>
          </cell>
          <cell r="K10" t="str">
            <v>Kr.</v>
          </cell>
          <cell r="L10" t="str">
            <v>Kr.</v>
          </cell>
        </row>
        <row r="12">
          <cell r="A12" t="str">
            <v>Januar</v>
          </cell>
          <cell r="D12">
            <v>2993.64</v>
          </cell>
          <cell r="F12">
            <v>3277.87</v>
          </cell>
          <cell r="H12">
            <v>4164.6499999999996</v>
          </cell>
          <cell r="J12">
            <v>1319.61</v>
          </cell>
          <cell r="K12">
            <v>11755.77</v>
          </cell>
          <cell r="L12">
            <v>754.5</v>
          </cell>
          <cell r="M12">
            <v>12510.27</v>
          </cell>
        </row>
        <row r="13">
          <cell r="A13" t="str">
            <v>Februar</v>
          </cell>
          <cell r="D13">
            <v>1964.69</v>
          </cell>
          <cell r="F13">
            <v>1906.99</v>
          </cell>
          <cell r="H13">
            <v>3334.18</v>
          </cell>
          <cell r="J13">
            <v>0</v>
          </cell>
          <cell r="K13">
            <v>7205.8600000000006</v>
          </cell>
          <cell r="L13">
            <v>913.65</v>
          </cell>
          <cell r="M13">
            <v>8119.51</v>
          </cell>
        </row>
        <row r="14">
          <cell r="A14" t="str">
            <v>Marts</v>
          </cell>
          <cell r="D14">
            <v>1469.95</v>
          </cell>
          <cell r="F14">
            <v>1997.71</v>
          </cell>
          <cell r="H14">
            <v>3376.17</v>
          </cell>
          <cell r="J14">
            <v>684.25</v>
          </cell>
          <cell r="K14">
            <v>7528.08</v>
          </cell>
          <cell r="L14">
            <v>699.6</v>
          </cell>
          <cell r="M14">
            <v>8227.68</v>
          </cell>
        </row>
        <row r="15">
          <cell r="A15" t="str">
            <v>April</v>
          </cell>
          <cell r="D15">
            <v>1556.55</v>
          </cell>
          <cell r="F15">
            <v>1042.03</v>
          </cell>
          <cell r="H15">
            <v>2596.75</v>
          </cell>
          <cell r="J15">
            <v>956.63</v>
          </cell>
          <cell r="K15">
            <v>6151.96</v>
          </cell>
          <cell r="L15">
            <v>419.75</v>
          </cell>
          <cell r="M15">
            <v>6571.71</v>
          </cell>
        </row>
        <row r="16">
          <cell r="A16" t="str">
            <v>Maj</v>
          </cell>
          <cell r="D16">
            <v>1263.75</v>
          </cell>
          <cell r="F16">
            <v>1785.79</v>
          </cell>
          <cell r="H16">
            <v>2852.54</v>
          </cell>
          <cell r="J16">
            <v>0</v>
          </cell>
          <cell r="K16">
            <v>5902.08</v>
          </cell>
          <cell r="L16">
            <v>509.7</v>
          </cell>
          <cell r="M16">
            <v>6411.78</v>
          </cell>
        </row>
        <row r="17">
          <cell r="A17" t="str">
            <v>Juni</v>
          </cell>
          <cell r="D17">
            <v>1617.13</v>
          </cell>
          <cell r="F17">
            <v>2541.31</v>
          </cell>
          <cell r="H17">
            <v>2167.5500000000002</v>
          </cell>
          <cell r="J17">
            <v>1327.87</v>
          </cell>
          <cell r="K17">
            <v>7653.8600000000006</v>
          </cell>
          <cell r="L17">
            <v>249.85</v>
          </cell>
          <cell r="M17">
            <v>7903.7100000000009</v>
          </cell>
        </row>
        <row r="18">
          <cell r="A18" t="str">
            <v>Juli</v>
          </cell>
          <cell r="D18">
            <v>2269.2600000000002</v>
          </cell>
          <cell r="F18">
            <v>2430.59</v>
          </cell>
          <cell r="H18">
            <v>2203.46</v>
          </cell>
          <cell r="J18">
            <v>686.19</v>
          </cell>
          <cell r="K18">
            <v>7589.5</v>
          </cell>
          <cell r="L18">
            <v>349.8</v>
          </cell>
          <cell r="M18">
            <v>7939.3</v>
          </cell>
        </row>
        <row r="19">
          <cell r="A19" t="str">
            <v>August</v>
          </cell>
          <cell r="D19">
            <v>1627.61</v>
          </cell>
          <cell r="F19">
            <v>2151.13</v>
          </cell>
          <cell r="H19">
            <v>2711.72</v>
          </cell>
          <cell r="J19">
            <v>0</v>
          </cell>
          <cell r="K19">
            <v>6490.4599999999991</v>
          </cell>
          <cell r="L19">
            <v>194.85</v>
          </cell>
          <cell r="M19">
            <v>6685.3099999999995</v>
          </cell>
        </row>
        <row r="20">
          <cell r="A20" t="str">
            <v>September</v>
          </cell>
          <cell r="D20">
            <v>2440.31</v>
          </cell>
          <cell r="F20">
            <v>1761.04</v>
          </cell>
          <cell r="H20">
            <v>1225.53</v>
          </cell>
          <cell r="J20">
            <v>1921.22</v>
          </cell>
          <cell r="K20">
            <v>7348.1</v>
          </cell>
          <cell r="L20">
            <v>629.70000000000005</v>
          </cell>
          <cell r="M20">
            <v>7977.8</v>
          </cell>
        </row>
        <row r="21">
          <cell r="A21" t="str">
            <v>Oktober</v>
          </cell>
          <cell r="D21">
            <v>1955.04</v>
          </cell>
          <cell r="F21">
            <v>1750.17</v>
          </cell>
          <cell r="H21">
            <v>2006.08</v>
          </cell>
          <cell r="J21">
            <v>869.02</v>
          </cell>
          <cell r="K21">
            <v>6580.3099999999995</v>
          </cell>
          <cell r="L21">
            <v>359.7</v>
          </cell>
          <cell r="M21">
            <v>6940.0099999999993</v>
          </cell>
        </row>
        <row r="22">
          <cell r="A22" t="str">
            <v>November</v>
          </cell>
          <cell r="D22">
            <v>2199.23</v>
          </cell>
          <cell r="F22">
            <v>2051.75</v>
          </cell>
          <cell r="H22">
            <v>1619.37</v>
          </cell>
          <cell r="J22">
            <v>1492.91</v>
          </cell>
          <cell r="K22">
            <v>7363.2599999999993</v>
          </cell>
          <cell r="L22">
            <v>149.9</v>
          </cell>
          <cell r="M22">
            <v>7513.1599999999989</v>
          </cell>
        </row>
        <row r="23">
          <cell r="A23" t="str">
            <v>December</v>
          </cell>
          <cell r="D23">
            <v>1043.5</v>
          </cell>
          <cell r="F23">
            <v>1718.2</v>
          </cell>
          <cell r="H23">
            <v>2421.94</v>
          </cell>
          <cell r="J23">
            <v>150.44999999999999</v>
          </cell>
          <cell r="K23">
            <v>5334.0899999999992</v>
          </cell>
          <cell r="L23">
            <v>189.85</v>
          </cell>
          <cell r="M23">
            <v>5523.94</v>
          </cell>
        </row>
        <row r="24">
          <cell r="A24" t="str">
            <v>Total</v>
          </cell>
          <cell r="D24">
            <v>22400.66</v>
          </cell>
          <cell r="E24">
            <v>0</v>
          </cell>
          <cell r="F24">
            <v>24414.579999999998</v>
          </cell>
          <cell r="H24">
            <v>30679.939999999995</v>
          </cell>
          <cell r="J24">
            <v>9408.15</v>
          </cell>
          <cell r="K24">
            <v>86903.329999999987</v>
          </cell>
          <cell r="L24">
            <v>5420.8499999999995</v>
          </cell>
          <cell r="M24">
            <v>92324.18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 tal på biler 2015"/>
      <sheetName val="Bil regnskab 2015"/>
    </sheetNames>
    <sheetDataSet>
      <sheetData sheetId="0">
        <row r="12">
          <cell r="D12">
            <v>1498.69</v>
          </cell>
          <cell r="F12">
            <v>1900.78</v>
          </cell>
          <cell r="H12">
            <v>1540.01</v>
          </cell>
          <cell r="J12">
            <v>750.02</v>
          </cell>
          <cell r="K12">
            <v>5689.5</v>
          </cell>
          <cell r="L12">
            <v>639.75</v>
          </cell>
          <cell r="M12">
            <v>6329.25</v>
          </cell>
        </row>
        <row r="13">
          <cell r="D13">
            <v>1521.35</v>
          </cell>
          <cell r="F13">
            <v>1606.06</v>
          </cell>
          <cell r="H13">
            <v>2718.49</v>
          </cell>
          <cell r="J13">
            <v>0</v>
          </cell>
          <cell r="K13">
            <v>5845.9</v>
          </cell>
          <cell r="L13">
            <v>599.70000000000005</v>
          </cell>
          <cell r="M13">
            <v>6445.5999999999995</v>
          </cell>
        </row>
        <row r="14">
          <cell r="D14">
            <v>1935.35</v>
          </cell>
          <cell r="F14">
            <v>2132.6999999999998</v>
          </cell>
          <cell r="H14">
            <v>2052.46</v>
          </cell>
          <cell r="J14">
            <v>704.4</v>
          </cell>
          <cell r="K14">
            <v>6824.91</v>
          </cell>
          <cell r="L14">
            <v>919.75</v>
          </cell>
          <cell r="M14">
            <v>7744.66</v>
          </cell>
        </row>
        <row r="15">
          <cell r="D15">
            <v>1592.89</v>
          </cell>
          <cell r="F15">
            <v>2123.84</v>
          </cell>
          <cell r="H15">
            <v>2672.62</v>
          </cell>
          <cell r="J15">
            <v>736.57</v>
          </cell>
          <cell r="K15">
            <v>7125.92</v>
          </cell>
          <cell r="L15">
            <v>219.7</v>
          </cell>
          <cell r="M15">
            <v>7345.62</v>
          </cell>
        </row>
        <row r="16">
          <cell r="D16">
            <v>1240.6600000000001</v>
          </cell>
          <cell r="F16">
            <v>1631.15</v>
          </cell>
          <cell r="H16">
            <v>1281.43</v>
          </cell>
          <cell r="J16">
            <v>2130.98</v>
          </cell>
          <cell r="K16">
            <v>6284.2200000000012</v>
          </cell>
          <cell r="L16">
            <v>339.85</v>
          </cell>
          <cell r="M16">
            <v>6624.0700000000015</v>
          </cell>
        </row>
        <row r="17">
          <cell r="D17">
            <v>1540.47</v>
          </cell>
          <cell r="F17">
            <v>2692.59</v>
          </cell>
          <cell r="H17">
            <v>1651.86</v>
          </cell>
          <cell r="J17">
            <v>664.69</v>
          </cell>
          <cell r="K17">
            <v>6549.6100000000006</v>
          </cell>
          <cell r="L17">
            <v>299.8</v>
          </cell>
          <cell r="M17">
            <v>6849.4100000000008</v>
          </cell>
        </row>
        <row r="18">
          <cell r="D18">
            <v>2071.3000000000002</v>
          </cell>
          <cell r="F18">
            <v>1715.97</v>
          </cell>
          <cell r="H18">
            <v>439</v>
          </cell>
          <cell r="J18">
            <v>1061.9100000000001</v>
          </cell>
          <cell r="K18">
            <v>5288.18</v>
          </cell>
          <cell r="L18">
            <v>734.65</v>
          </cell>
          <cell r="M18">
            <v>6022.83</v>
          </cell>
        </row>
        <row r="19">
          <cell r="D19">
            <v>1844.71</v>
          </cell>
          <cell r="F19">
            <v>2244.1999999999998</v>
          </cell>
          <cell r="H19">
            <v>0</v>
          </cell>
          <cell r="J19">
            <v>683.16</v>
          </cell>
          <cell r="K19">
            <v>4772.07</v>
          </cell>
          <cell r="L19">
            <v>739.65</v>
          </cell>
          <cell r="M19">
            <v>5511.7199999999993</v>
          </cell>
        </row>
        <row r="20">
          <cell r="D20">
            <v>1253.74</v>
          </cell>
          <cell r="F20">
            <v>1726.38</v>
          </cell>
          <cell r="H20">
            <v>0</v>
          </cell>
          <cell r="J20">
            <v>770.07</v>
          </cell>
          <cell r="K20">
            <v>3750.19</v>
          </cell>
          <cell r="L20">
            <v>0</v>
          </cell>
          <cell r="M20">
            <v>3750.19</v>
          </cell>
        </row>
        <row r="21">
          <cell r="D21">
            <v>1648.98</v>
          </cell>
          <cell r="F21">
            <v>2129.8200000000002</v>
          </cell>
          <cell r="H21">
            <v>0</v>
          </cell>
          <cell r="J21">
            <v>393.71</v>
          </cell>
          <cell r="K21">
            <v>4172.51</v>
          </cell>
          <cell r="L21">
            <v>579.70000000000005</v>
          </cell>
          <cell r="M21">
            <v>4752.21</v>
          </cell>
        </row>
        <row r="22">
          <cell r="D22">
            <v>1808.37</v>
          </cell>
          <cell r="F22">
            <v>1839.7</v>
          </cell>
          <cell r="H22">
            <v>0</v>
          </cell>
          <cell r="J22">
            <v>1267.73</v>
          </cell>
          <cell r="K22">
            <v>4915.7999999999993</v>
          </cell>
          <cell r="L22">
            <v>813.8</v>
          </cell>
          <cell r="M22">
            <v>5729.5999999999995</v>
          </cell>
        </row>
        <row r="23">
          <cell r="D23">
            <v>1489.26</v>
          </cell>
          <cell r="F23">
            <v>1009.54</v>
          </cell>
          <cell r="H23">
            <v>141.88</v>
          </cell>
          <cell r="J23">
            <v>0</v>
          </cell>
          <cell r="K23">
            <v>2640.6800000000003</v>
          </cell>
          <cell r="L23">
            <v>239.9</v>
          </cell>
          <cell r="M23">
            <v>2880.5800000000004</v>
          </cell>
        </row>
        <row r="24">
          <cell r="D24">
            <v>19445.769999999997</v>
          </cell>
          <cell r="F24">
            <v>22752.730000000003</v>
          </cell>
          <cell r="H24">
            <v>12497.75</v>
          </cell>
          <cell r="J24">
            <v>9163.24</v>
          </cell>
          <cell r="K24">
            <v>63859.49</v>
          </cell>
          <cell r="L24" t="b">
            <v>0</v>
          </cell>
          <cell r="M24">
            <v>63859.49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 tal på biler 2016"/>
    </sheetNames>
    <sheetDataSet>
      <sheetData sheetId="0">
        <row r="12">
          <cell r="A12" t="str">
            <v>Januar</v>
          </cell>
          <cell r="C12">
            <v>2138.96</v>
          </cell>
          <cell r="E12">
            <v>3029.91</v>
          </cell>
          <cell r="G12">
            <v>0</v>
          </cell>
          <cell r="I12">
            <v>2173.25</v>
          </cell>
          <cell r="J12">
            <v>7342.12</v>
          </cell>
          <cell r="K12">
            <v>914.3</v>
          </cell>
          <cell r="L12">
            <v>8256.42</v>
          </cell>
        </row>
        <row r="13">
          <cell r="A13" t="str">
            <v>Februar</v>
          </cell>
          <cell r="C13">
            <v>1507.71</v>
          </cell>
          <cell r="E13">
            <v>1590.44</v>
          </cell>
          <cell r="G13">
            <v>0</v>
          </cell>
          <cell r="I13">
            <v>1286.58</v>
          </cell>
          <cell r="J13">
            <v>4384.7299999999996</v>
          </cell>
          <cell r="K13">
            <v>429.75</v>
          </cell>
          <cell r="L13">
            <v>4814.4799999999996</v>
          </cell>
        </row>
        <row r="14">
          <cell r="A14" t="str">
            <v>Marts</v>
          </cell>
          <cell r="C14">
            <v>1347.54</v>
          </cell>
          <cell r="E14">
            <v>579.14</v>
          </cell>
          <cell r="G14">
            <v>0</v>
          </cell>
          <cell r="I14">
            <v>1081.02</v>
          </cell>
          <cell r="J14">
            <v>3007.7</v>
          </cell>
          <cell r="K14">
            <v>728.8</v>
          </cell>
          <cell r="L14">
            <v>3736.5</v>
          </cell>
        </row>
        <row r="15">
          <cell r="A15" t="str">
            <v>April</v>
          </cell>
          <cell r="C15">
            <v>0</v>
          </cell>
          <cell r="E15">
            <v>0</v>
          </cell>
          <cell r="G15">
            <v>0</v>
          </cell>
          <cell r="I15">
            <v>744.34</v>
          </cell>
          <cell r="J15">
            <v>744.34</v>
          </cell>
          <cell r="K15">
            <v>119.95</v>
          </cell>
          <cell r="L15">
            <v>864.29000000000008</v>
          </cell>
        </row>
        <row r="16">
          <cell r="A16" t="str">
            <v>Maj</v>
          </cell>
          <cell r="C16">
            <v>0</v>
          </cell>
          <cell r="E16">
            <v>0</v>
          </cell>
          <cell r="G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</row>
        <row r="17">
          <cell r="A17" t="str">
            <v>Juni</v>
          </cell>
          <cell r="C17">
            <v>0</v>
          </cell>
          <cell r="E17">
            <v>0</v>
          </cell>
          <cell r="G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A18" t="str">
            <v>Juli</v>
          </cell>
          <cell r="C18">
            <v>0</v>
          </cell>
          <cell r="E18">
            <v>0</v>
          </cell>
          <cell r="G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A19" t="str">
            <v>August</v>
          </cell>
          <cell r="C19">
            <v>0</v>
          </cell>
          <cell r="E19">
            <v>0</v>
          </cell>
          <cell r="G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A20" t="str">
            <v>September</v>
          </cell>
          <cell r="C20">
            <v>0</v>
          </cell>
          <cell r="E20">
            <v>0</v>
          </cell>
          <cell r="G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A21" t="str">
            <v>Oktober</v>
          </cell>
          <cell r="C21">
            <v>0</v>
          </cell>
          <cell r="E21">
            <v>0</v>
          </cell>
          <cell r="G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A22" t="str">
            <v>November</v>
          </cell>
          <cell r="C22">
            <v>0</v>
          </cell>
          <cell r="E22">
            <v>0</v>
          </cell>
          <cell r="G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A23" t="str">
            <v>December</v>
          </cell>
          <cell r="C23">
            <v>0</v>
          </cell>
          <cell r="E23">
            <v>0</v>
          </cell>
          <cell r="G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A24" t="str">
            <v>Total</v>
          </cell>
          <cell r="C24">
            <v>4994.21</v>
          </cell>
          <cell r="E24">
            <v>5199.4900000000007</v>
          </cell>
          <cell r="G24">
            <v>0</v>
          </cell>
          <cell r="I24">
            <v>5285.1900000000005</v>
          </cell>
          <cell r="J24">
            <v>15478.89</v>
          </cell>
          <cell r="K24">
            <v>2192.7999999999997</v>
          </cell>
          <cell r="L24">
            <v>17671.689999999999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gt"/>
      <sheetName val="Rådhus"/>
      <sheetName val="Ark3"/>
    </sheetNames>
    <sheetDataSet>
      <sheetData sheetId="0">
        <row r="4">
          <cell r="A4" t="str">
            <v>Note 1: Fordeling  af intern betalingsordning på Rådhuset</v>
          </cell>
          <cell r="B4">
            <v>0</v>
          </cell>
          <cell r="C4">
            <v>0</v>
          </cell>
          <cell r="D4" t="str">
            <v>Årlig pris</v>
          </cell>
          <cell r="E4">
            <v>0</v>
          </cell>
          <cell r="F4">
            <v>0</v>
          </cell>
          <cell r="G4">
            <v>0</v>
          </cell>
          <cell r="O4">
            <v>0</v>
          </cell>
        </row>
        <row r="5">
          <cell r="A5">
            <v>0</v>
          </cell>
          <cell r="B5" t="str">
            <v>SOF</v>
          </cell>
          <cell r="C5">
            <v>0</v>
          </cell>
          <cell r="D5">
            <v>5769851</v>
          </cell>
          <cell r="E5" t="str">
            <v>Lisbeth Iversen 62200</v>
          </cell>
          <cell r="F5">
            <v>0</v>
          </cell>
          <cell r="G5">
            <v>0</v>
          </cell>
          <cell r="O5">
            <v>0</v>
          </cell>
        </row>
        <row r="6">
          <cell r="A6">
            <v>0</v>
          </cell>
          <cell r="B6" t="str">
            <v>Kødbyen</v>
          </cell>
          <cell r="C6">
            <v>0</v>
          </cell>
          <cell r="D6">
            <v>2292015</v>
          </cell>
          <cell r="E6">
            <v>0</v>
          </cell>
          <cell r="F6">
            <v>0</v>
          </cell>
          <cell r="G6">
            <v>0</v>
          </cell>
          <cell r="O6">
            <v>0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O7">
            <v>0</v>
          </cell>
        </row>
        <row r="8">
          <cell r="A8">
            <v>0</v>
          </cell>
          <cell r="B8">
            <v>0</v>
          </cell>
          <cell r="C8">
            <v>0</v>
          </cell>
          <cell r="D8">
            <v>0</v>
          </cell>
          <cell r="F8">
            <v>0</v>
          </cell>
          <cell r="G8">
            <v>0</v>
          </cell>
          <cell r="O8">
            <v>0</v>
          </cell>
        </row>
        <row r="9">
          <cell r="A9">
            <v>0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O9">
            <v>0</v>
          </cell>
        </row>
        <row r="10">
          <cell r="A10">
            <v>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O10">
            <v>0</v>
          </cell>
        </row>
        <row r="11">
          <cell r="A11">
            <v>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O11">
            <v>0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 t="str">
            <v>Sort = ikke betalt eller genfremsendt</v>
          </cell>
          <cell r="F12">
            <v>0</v>
          </cell>
          <cell r="G12">
            <v>0</v>
          </cell>
          <cell r="O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 t="str">
            <v>Grøn = Ikke betalt men genfremsendt</v>
          </cell>
          <cell r="F13">
            <v>0</v>
          </cell>
          <cell r="G13">
            <v>0</v>
          </cell>
          <cell r="O13">
            <v>0</v>
          </cell>
        </row>
        <row r="14">
          <cell r="A14" t="str">
            <v>Årligt</v>
          </cell>
          <cell r="B14">
            <v>0</v>
          </cell>
          <cell r="C14">
            <v>0</v>
          </cell>
          <cell r="D14">
            <v>8061866</v>
          </cell>
          <cell r="E14" t="str">
            <v>Når org. Nr. er røde, er de betalt</v>
          </cell>
          <cell r="F14">
            <v>0</v>
          </cell>
          <cell r="G14">
            <v>0</v>
          </cell>
          <cell r="O14">
            <v>0</v>
          </cell>
        </row>
        <row r="15">
          <cell r="A15" t="str">
            <v>Månedligt</v>
          </cell>
          <cell r="B15">
            <v>0</v>
          </cell>
          <cell r="C15">
            <v>0</v>
          </cell>
          <cell r="D15">
            <v>671822.16666666663</v>
          </cell>
          <cell r="E15" t="str">
            <v>Der er en pris fremskrivning/stigning på 2.10 % og ingen stigning på timepris påført 28-11-2016 gældende for 2017</v>
          </cell>
          <cell r="K15">
            <v>0</v>
          </cell>
          <cell r="O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O16">
            <v>0</v>
          </cell>
        </row>
        <row r="17">
          <cell r="A17">
            <v>0</v>
          </cell>
          <cell r="B17" t="str">
            <v xml:space="preserve">Note 2  Kontrakt kunder fast rundering 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 t="str">
            <v xml:space="preserve">Note 2  Kontrakt kunder fast rundering 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</row>
        <row r="18">
          <cell r="A18" t="str">
            <v>Org. Nr.</v>
          </cell>
          <cell r="B18" t="str">
            <v>Kontrakt nr.</v>
          </cell>
          <cell r="C18" t="str">
            <v>Start dato</v>
          </cell>
          <cell r="D18" t="str">
            <v>Adresse</v>
          </cell>
          <cell r="E18">
            <v>0</v>
          </cell>
          <cell r="F18" t="str">
            <v xml:space="preserve">Årlig pris  </v>
          </cell>
          <cell r="G18">
            <v>0</v>
          </cell>
          <cell r="H18">
            <v>0</v>
          </cell>
          <cell r="I18" t="str">
            <v>Org. Nr.</v>
          </cell>
          <cell r="J18" t="str">
            <v>Bygningsnr.</v>
          </cell>
          <cell r="K18" t="str">
            <v>V og I dato</v>
          </cell>
          <cell r="L18" t="str">
            <v>Adresse</v>
          </cell>
          <cell r="M18">
            <v>0</v>
          </cell>
          <cell r="N18" t="str">
            <v xml:space="preserve">Årlig pris  </v>
          </cell>
          <cell r="O18">
            <v>0</v>
          </cell>
        </row>
        <row r="19">
          <cell r="A19" t="str">
            <v>64715</v>
          </cell>
          <cell r="B19">
            <v>112</v>
          </cell>
          <cell r="C19">
            <v>37956</v>
          </cell>
          <cell r="D19" t="str">
            <v>Røde Mellemvej 52 (Søren Rasmussen)</v>
          </cell>
          <cell r="E19">
            <v>0</v>
          </cell>
          <cell r="F19">
            <v>129318</v>
          </cell>
          <cell r="G19">
            <v>0</v>
          </cell>
          <cell r="H19">
            <v>0</v>
          </cell>
          <cell r="I19" t="str">
            <v>Fortsat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2040741</v>
          </cell>
          <cell r="O19">
            <v>0</v>
          </cell>
        </row>
        <row r="20">
          <cell r="A20" t="str">
            <v>37567</v>
          </cell>
          <cell r="B20">
            <v>113</v>
          </cell>
          <cell r="C20">
            <v>38012</v>
          </cell>
          <cell r="D20" t="str">
            <v>Studsgårdsgade 55</v>
          </cell>
          <cell r="E20">
            <v>0</v>
          </cell>
          <cell r="F20">
            <v>148969</v>
          </cell>
          <cell r="G20">
            <v>0</v>
          </cell>
          <cell r="H20">
            <v>0</v>
          </cell>
          <cell r="I20">
            <v>82100</v>
          </cell>
          <cell r="J20">
            <v>160</v>
          </cell>
          <cell r="K20">
            <v>42461</v>
          </cell>
          <cell r="L20" t="str">
            <v>Lærkevej 18(Ørnevej 55)                                     2017=39.690</v>
          </cell>
          <cell r="M20">
            <v>0</v>
          </cell>
          <cell r="N20">
            <v>39690</v>
          </cell>
          <cell r="O20">
            <v>0</v>
          </cell>
        </row>
        <row r="21">
          <cell r="A21">
            <v>23140</v>
          </cell>
          <cell r="B21">
            <v>116</v>
          </cell>
          <cell r="C21">
            <v>38412</v>
          </cell>
          <cell r="D21" t="str">
            <v>Amagerbrogade 150</v>
          </cell>
          <cell r="E21">
            <v>0</v>
          </cell>
          <cell r="F21">
            <v>67172</v>
          </cell>
          <cell r="G21">
            <v>0</v>
          </cell>
          <cell r="H21">
            <v>0</v>
          </cell>
          <cell r="I21">
            <v>62300</v>
          </cell>
          <cell r="J21">
            <v>150</v>
          </cell>
          <cell r="K21">
            <v>38047</v>
          </cell>
          <cell r="L21" t="str">
            <v xml:space="preserve">Brønshøjvej 17 - 19, SOF, BFCK-Brønshøj-Husum-Vanløse               </v>
          </cell>
          <cell r="M21">
            <v>0</v>
          </cell>
          <cell r="N21">
            <v>68838</v>
          </cell>
          <cell r="O21">
            <v>0</v>
          </cell>
        </row>
        <row r="22">
          <cell r="A22">
            <v>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53202</v>
          </cell>
          <cell r="J22">
            <v>115</v>
          </cell>
          <cell r="K22">
            <v>42370</v>
          </cell>
          <cell r="L22" t="str">
            <v>Christianhavns bibliotek</v>
          </cell>
          <cell r="M22">
            <v>0</v>
          </cell>
          <cell r="N22">
            <v>57487</v>
          </cell>
          <cell r="O22">
            <v>0</v>
          </cell>
        </row>
        <row r="23">
          <cell r="A23">
            <v>62300</v>
          </cell>
          <cell r="B23">
            <v>121</v>
          </cell>
          <cell r="C23">
            <v>39264</v>
          </cell>
          <cell r="D23" t="str">
            <v>Griffenfeldsgade 44</v>
          </cell>
          <cell r="E23">
            <v>0</v>
          </cell>
          <cell r="F23">
            <v>109334</v>
          </cell>
          <cell r="G23">
            <v>0</v>
          </cell>
          <cell r="H23">
            <v>0</v>
          </cell>
          <cell r="I23">
            <v>38910</v>
          </cell>
          <cell r="J23" t="str">
            <v>747b</v>
          </cell>
          <cell r="K23">
            <v>38047</v>
          </cell>
          <cell r="L23" t="str">
            <v xml:space="preserve">Brønshøjvej 17 - 19, Tandlæge  </v>
          </cell>
          <cell r="M23">
            <v>0</v>
          </cell>
          <cell r="N23">
            <v>21793</v>
          </cell>
          <cell r="O23">
            <v>0</v>
          </cell>
        </row>
        <row r="24">
          <cell r="A24">
            <v>38450</v>
          </cell>
          <cell r="B24">
            <v>122</v>
          </cell>
          <cell r="C24">
            <v>39264</v>
          </cell>
          <cell r="D24" t="str">
            <v>Kapelvej 47</v>
          </cell>
          <cell r="E24">
            <v>0</v>
          </cell>
          <cell r="F24">
            <v>20602</v>
          </cell>
          <cell r="G24">
            <v>0</v>
          </cell>
          <cell r="H24">
            <v>0</v>
          </cell>
          <cell r="I24">
            <v>50005</v>
          </cell>
          <cell r="J24">
            <v>147</v>
          </cell>
          <cell r="K24">
            <v>40664</v>
          </cell>
          <cell r="L24" t="str">
            <v xml:space="preserve">ØK-KBS- Nørre Søgade 35                                         </v>
          </cell>
          <cell r="M24">
            <v>0</v>
          </cell>
          <cell r="N24">
            <v>78642</v>
          </cell>
          <cell r="O24">
            <v>0</v>
          </cell>
        </row>
        <row r="25">
          <cell r="A25">
            <v>60126</v>
          </cell>
          <cell r="B25">
            <v>128</v>
          </cell>
          <cell r="C25">
            <v>39815</v>
          </cell>
          <cell r="D25" t="str">
            <v>Bernstorffshus  (Ruth Denise Hansen)</v>
          </cell>
          <cell r="E25">
            <v>0</v>
          </cell>
          <cell r="F25">
            <v>195269</v>
          </cell>
          <cell r="G25">
            <v>0</v>
          </cell>
          <cell r="H25" t="str">
            <v>Fordeling</v>
          </cell>
          <cell r="I25">
            <v>38100</v>
          </cell>
          <cell r="J25">
            <v>155</v>
          </cell>
          <cell r="K25">
            <v>42370</v>
          </cell>
          <cell r="L25" t="str">
            <v>Lyongade 25, stuen og 2. sal (BUF)</v>
          </cell>
          <cell r="M25">
            <v>0</v>
          </cell>
          <cell r="N25">
            <v>60487</v>
          </cell>
          <cell r="O25">
            <v>0</v>
          </cell>
        </row>
        <row r="26">
          <cell r="A26">
            <v>64715</v>
          </cell>
          <cell r="B26">
            <v>161</v>
          </cell>
          <cell r="C26">
            <v>42485</v>
          </cell>
          <cell r="D26" t="str">
            <v>SOF- Sundholmsvej 40(2017 172.462+fremskriv)</v>
          </cell>
          <cell r="E26">
            <v>0</v>
          </cell>
          <cell r="F26">
            <v>176083</v>
          </cell>
          <cell r="G26">
            <v>0</v>
          </cell>
          <cell r="H26" t="str">
            <v>43,37 %</v>
          </cell>
          <cell r="I26">
            <v>31404</v>
          </cell>
          <cell r="J26">
            <v>758</v>
          </cell>
          <cell r="K26">
            <v>37500</v>
          </cell>
          <cell r="L26" t="str">
            <v xml:space="preserve">Jemtelandgade 3 KKU                                                </v>
          </cell>
          <cell r="M26">
            <v>0</v>
          </cell>
          <cell r="N26">
            <v>49792</v>
          </cell>
          <cell r="O26">
            <v>0</v>
          </cell>
        </row>
        <row r="27">
          <cell r="A27">
            <v>69707</v>
          </cell>
          <cell r="B27">
            <v>130</v>
          </cell>
          <cell r="C27">
            <v>39918</v>
          </cell>
          <cell r="D27" t="str">
            <v>Rådhuspladsen 77, 2. sal (Carsten Pauli Hansen)</v>
          </cell>
          <cell r="E27">
            <v>0</v>
          </cell>
          <cell r="F27">
            <v>32541</v>
          </cell>
          <cell r="G27">
            <v>0</v>
          </cell>
          <cell r="H27" t="str">
            <v>18,16%</v>
          </cell>
          <cell r="I27">
            <v>51302</v>
          </cell>
          <cell r="J27">
            <v>114</v>
          </cell>
          <cell r="K27">
            <v>40544</v>
          </cell>
          <cell r="L27" t="str">
            <v xml:space="preserve">Jemtelandgade 3 Kvarterløft                                        </v>
          </cell>
          <cell r="M27">
            <v>0</v>
          </cell>
          <cell r="N27">
            <v>20845</v>
          </cell>
          <cell r="O27">
            <v>0</v>
          </cell>
        </row>
        <row r="28">
          <cell r="A28">
            <v>0</v>
          </cell>
          <cell r="B28">
            <v>0</v>
          </cell>
          <cell r="C28">
            <v>0</v>
          </cell>
          <cell r="E28">
            <v>0</v>
          </cell>
          <cell r="G28">
            <v>0</v>
          </cell>
          <cell r="H28" t="str">
            <v>38,47 %</v>
          </cell>
          <cell r="I28">
            <v>53204</v>
          </cell>
          <cell r="J28">
            <v>114</v>
          </cell>
          <cell r="K28">
            <v>40544</v>
          </cell>
          <cell r="L28" t="str">
            <v xml:space="preserve">Jemtelandgade 3 bibliotek                                           </v>
          </cell>
          <cell r="M28">
            <v>0</v>
          </cell>
          <cell r="N28">
            <v>44316</v>
          </cell>
          <cell r="O28">
            <v>0</v>
          </cell>
        </row>
        <row r="29">
          <cell r="A29">
            <v>17116</v>
          </cell>
          <cell r="B29">
            <v>132</v>
          </cell>
          <cell r="C29">
            <v>40057</v>
          </cell>
          <cell r="D29" t="str">
            <v>Hans Nansens Gård (Kejd)(FM)</v>
          </cell>
          <cell r="E29">
            <v>0</v>
          </cell>
          <cell r="F29">
            <v>198901</v>
          </cell>
          <cell r="G29">
            <v>0</v>
          </cell>
          <cell r="H29">
            <v>0</v>
          </cell>
          <cell r="I29">
            <v>62200</v>
          </cell>
          <cell r="J29">
            <v>149</v>
          </cell>
          <cell r="K29">
            <v>40544</v>
          </cell>
          <cell r="L29" t="str">
            <v xml:space="preserve">Spaniensgade 25, Borgercenter handicap                           </v>
          </cell>
          <cell r="M29">
            <v>0</v>
          </cell>
          <cell r="N29">
            <v>54665</v>
          </cell>
          <cell r="O29">
            <v>0</v>
          </cell>
        </row>
        <row r="30">
          <cell r="A30">
            <v>0</v>
          </cell>
          <cell r="B30">
            <v>0</v>
          </cell>
          <cell r="C30">
            <v>39448</v>
          </cell>
          <cell r="D30" t="str">
            <v xml:space="preserve">Stormgade 18 (BUF)(fraflyttet 1-3-15-) 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62300</v>
          </cell>
          <cell r="J30">
            <v>148</v>
          </cell>
          <cell r="K30">
            <v>42005</v>
          </cell>
          <cell r="L30" t="str">
            <v xml:space="preserve">Lyongade 25, 3. sal BFCK-Amager vest                              </v>
          </cell>
          <cell r="M30">
            <v>0</v>
          </cell>
          <cell r="N30">
            <v>60487</v>
          </cell>
          <cell r="O30">
            <v>0</v>
          </cell>
        </row>
        <row r="31">
          <cell r="A31">
            <v>22530</v>
          </cell>
          <cell r="B31">
            <v>159</v>
          </cell>
          <cell r="C31">
            <v>42415</v>
          </cell>
          <cell r="D31" t="str">
            <v>SUF Randersgade 60</v>
          </cell>
          <cell r="E31">
            <v>0</v>
          </cell>
          <cell r="F31">
            <v>57875</v>
          </cell>
          <cell r="G31">
            <v>0</v>
          </cell>
          <cell r="H31">
            <v>0</v>
          </cell>
          <cell r="I31">
            <v>40530</v>
          </cell>
          <cell r="J31">
            <v>900</v>
          </cell>
          <cell r="K31">
            <v>38353</v>
          </cell>
          <cell r="L31" t="str">
            <v xml:space="preserve">Miljøkontrollen (tlf. eksp.)                                            </v>
          </cell>
          <cell r="M31">
            <v>0</v>
          </cell>
          <cell r="N31">
            <v>4600</v>
          </cell>
          <cell r="O31">
            <v>0</v>
          </cell>
        </row>
        <row r="32">
          <cell r="A32">
            <v>62200</v>
          </cell>
          <cell r="B32">
            <v>127</v>
          </cell>
          <cell r="C32">
            <v>41275</v>
          </cell>
          <cell r="D32" t="str">
            <v>Matthæusgade 1</v>
          </cell>
          <cell r="E32">
            <v>0</v>
          </cell>
          <cell r="F32">
            <v>92488</v>
          </cell>
          <cell r="G32">
            <v>0</v>
          </cell>
          <cell r="H32">
            <v>0</v>
          </cell>
          <cell r="I32">
            <v>38400</v>
          </cell>
          <cell r="J32">
            <v>138</v>
          </cell>
          <cell r="K32">
            <v>41640</v>
          </cell>
          <cell r="L32" t="str">
            <v xml:space="preserve">BUF-Linde Alle 40-44                                                  </v>
          </cell>
          <cell r="M32">
            <v>0</v>
          </cell>
          <cell r="N32">
            <v>42616</v>
          </cell>
          <cell r="O32">
            <v>0</v>
          </cell>
        </row>
        <row r="33">
          <cell r="A33">
            <v>39610</v>
          </cell>
          <cell r="B33">
            <v>153</v>
          </cell>
          <cell r="C33">
            <v>41275</v>
          </cell>
          <cell r="D33" t="str">
            <v>BUF Skolesupport</v>
          </cell>
          <cell r="E33">
            <v>0</v>
          </cell>
          <cell r="F33">
            <v>171610</v>
          </cell>
          <cell r="G33">
            <v>0</v>
          </cell>
          <cell r="H33">
            <v>0</v>
          </cell>
          <cell r="I33">
            <v>51308</v>
          </cell>
          <cell r="J33">
            <v>158</v>
          </cell>
          <cell r="K33">
            <v>41640</v>
          </cell>
          <cell r="L33" t="str">
            <v xml:space="preserve">Lyrskovgade 4                           </v>
          </cell>
          <cell r="M33">
            <v>0</v>
          </cell>
          <cell r="N33">
            <v>89512</v>
          </cell>
          <cell r="O33">
            <v>0</v>
          </cell>
        </row>
        <row r="34">
          <cell r="A34">
            <v>52319</v>
          </cell>
          <cell r="B34">
            <v>154</v>
          </cell>
          <cell r="C34">
            <v>41640</v>
          </cell>
          <cell r="D34" t="str">
            <v>KFF Biblioteket Njalsgade (Rasmus M. Niel)</v>
          </cell>
          <cell r="E34">
            <v>0</v>
          </cell>
          <cell r="F34">
            <v>41105</v>
          </cell>
          <cell r="G34">
            <v>0</v>
          </cell>
          <cell r="H34">
            <v>0</v>
          </cell>
          <cell r="I34">
            <v>55020</v>
          </cell>
          <cell r="J34">
            <v>115</v>
          </cell>
          <cell r="K34">
            <v>41456</v>
          </cell>
          <cell r="L34" t="str">
            <v xml:space="preserve">ØK-Borgerservice, Gyldenløvesgade 11                        </v>
          </cell>
          <cell r="M34">
            <v>0</v>
          </cell>
          <cell r="N34">
            <v>30827</v>
          </cell>
          <cell r="O34">
            <v>0</v>
          </cell>
        </row>
        <row r="35">
          <cell r="A35">
            <v>28100</v>
          </cell>
          <cell r="B35">
            <v>728</v>
          </cell>
          <cell r="C35">
            <v>38846</v>
          </cell>
          <cell r="D35" t="str">
            <v>Enghavevej  (Frits Nielsen)</v>
          </cell>
          <cell r="E35">
            <v>0</v>
          </cell>
          <cell r="F35">
            <v>80568</v>
          </cell>
          <cell r="G35">
            <v>0</v>
          </cell>
          <cell r="H35">
            <v>0</v>
          </cell>
          <cell r="I35">
            <v>17116</v>
          </cell>
          <cell r="J35">
            <v>110</v>
          </cell>
          <cell r="K35">
            <v>41456</v>
          </cell>
          <cell r="L35" t="str">
            <v xml:space="preserve">Konernservice- Fuglebakken, Borups Alle 177               </v>
          </cell>
          <cell r="M35">
            <v>0</v>
          </cell>
          <cell r="O35">
            <v>0</v>
          </cell>
        </row>
        <row r="36">
          <cell r="A36">
            <v>82500</v>
          </cell>
          <cell r="B36">
            <v>151</v>
          </cell>
          <cell r="C36">
            <v>40603</v>
          </cell>
          <cell r="D36" t="str">
            <v>BIF-Baldersgade 24  (Thomas D. Waarkjær)</v>
          </cell>
          <cell r="E36">
            <v>0</v>
          </cell>
          <cell r="F36">
            <v>103617</v>
          </cell>
          <cell r="G36">
            <v>0</v>
          </cell>
          <cell r="H36">
            <v>0</v>
          </cell>
          <cell r="I36">
            <v>20100</v>
          </cell>
          <cell r="J36" t="str">
            <v>Rådhuset</v>
          </cell>
          <cell r="K36">
            <v>40179</v>
          </cell>
          <cell r="L36" t="str">
            <v xml:space="preserve">SUF                  (Tanja K. Lund)                                  </v>
          </cell>
          <cell r="M36">
            <v>0</v>
          </cell>
          <cell r="N36">
            <v>616118</v>
          </cell>
          <cell r="O36">
            <v>0</v>
          </cell>
        </row>
        <row r="37">
          <cell r="A37">
            <v>82505</v>
          </cell>
          <cell r="B37">
            <v>152</v>
          </cell>
          <cell r="C37">
            <v>40603</v>
          </cell>
          <cell r="D37" t="str">
            <v>BIF-Baldersgade 3B, 1. + 3. sal</v>
          </cell>
          <cell r="E37">
            <v>0</v>
          </cell>
          <cell r="F37">
            <v>45494</v>
          </cell>
          <cell r="G37">
            <v>0</v>
          </cell>
          <cell r="H37">
            <v>0</v>
          </cell>
          <cell r="I37">
            <v>80005</v>
          </cell>
          <cell r="J37" t="str">
            <v>Rådhuset</v>
          </cell>
          <cell r="K37">
            <v>40179</v>
          </cell>
          <cell r="L37" t="str">
            <v xml:space="preserve">BIF                                                                          </v>
          </cell>
          <cell r="M37">
            <v>0</v>
          </cell>
          <cell r="N37">
            <v>552159</v>
          </cell>
          <cell r="O37">
            <v>0</v>
          </cell>
        </row>
        <row r="38">
          <cell r="A38">
            <v>82106</v>
          </cell>
          <cell r="B38">
            <v>0</v>
          </cell>
          <cell r="C38">
            <v>42491</v>
          </cell>
          <cell r="D38" t="str">
            <v xml:space="preserve">BIF- Ottiliavej </v>
          </cell>
          <cell r="E38" t="str">
            <v>(2017 = 200.000)</v>
          </cell>
          <cell r="F38">
            <v>200000</v>
          </cell>
          <cell r="G38">
            <v>0</v>
          </cell>
          <cell r="I38">
            <v>39630</v>
          </cell>
          <cell r="J38" t="str">
            <v>Rådhuset</v>
          </cell>
          <cell r="K38">
            <v>40179</v>
          </cell>
          <cell r="L38" t="str">
            <v xml:space="preserve">BUF                                                                          </v>
          </cell>
          <cell r="M38">
            <v>0</v>
          </cell>
          <cell r="N38">
            <v>631501</v>
          </cell>
          <cell r="O38">
            <v>0</v>
          </cell>
        </row>
        <row r="39">
          <cell r="A39">
            <v>62470</v>
          </cell>
          <cell r="B39">
            <v>141</v>
          </cell>
          <cell r="C39">
            <v>41640</v>
          </cell>
          <cell r="D39" t="str">
            <v>SOF-Nørre Voldgade 15, 1.+5. sal (Avlastenok)</v>
          </cell>
          <cell r="E39">
            <v>0</v>
          </cell>
          <cell r="F39">
            <v>29645</v>
          </cell>
          <cell r="G39">
            <v>0</v>
          </cell>
          <cell r="H39">
            <v>0</v>
          </cell>
          <cell r="I39">
            <v>49700</v>
          </cell>
          <cell r="J39" t="str">
            <v>Rådhuset</v>
          </cell>
          <cell r="K39">
            <v>40179</v>
          </cell>
          <cell r="L39" t="str">
            <v xml:space="preserve">TMF                                                                          </v>
          </cell>
          <cell r="M39">
            <v>0</v>
          </cell>
          <cell r="N39">
            <v>592043</v>
          </cell>
          <cell r="O39">
            <v>0</v>
          </cell>
        </row>
        <row r="40">
          <cell r="A40">
            <v>37100</v>
          </cell>
          <cell r="B40">
            <v>142</v>
          </cell>
          <cell r="C40">
            <v>41640</v>
          </cell>
          <cell r="D40" t="str">
            <v>BUF-Nørre Voldgade 15, 2.sal (Thuesen)</v>
          </cell>
          <cell r="E40">
            <v>0</v>
          </cell>
          <cell r="F40">
            <v>25410</v>
          </cell>
          <cell r="G40">
            <v>0</v>
          </cell>
          <cell r="H40">
            <v>0</v>
          </cell>
          <cell r="I40">
            <v>60126</v>
          </cell>
          <cell r="J40" t="str">
            <v>Rådhuset</v>
          </cell>
          <cell r="K40">
            <v>40179</v>
          </cell>
          <cell r="L40" t="str">
            <v xml:space="preserve">SOF                                                                          </v>
          </cell>
          <cell r="M40">
            <v>0</v>
          </cell>
          <cell r="N40">
            <v>782597</v>
          </cell>
          <cell r="O40">
            <v>0</v>
          </cell>
        </row>
        <row r="41">
          <cell r="A41">
            <v>33410</v>
          </cell>
          <cell r="B41">
            <v>143</v>
          </cell>
          <cell r="C41">
            <v>41640</v>
          </cell>
          <cell r="D41" t="str">
            <v>BUF-Nørre Voldgade 15, 3. sal (Thor Larsen)</v>
          </cell>
          <cell r="E41">
            <v>0</v>
          </cell>
          <cell r="F41">
            <v>25410</v>
          </cell>
          <cell r="G41">
            <v>0</v>
          </cell>
          <cell r="H41">
            <v>0</v>
          </cell>
          <cell r="I41">
            <v>11030</v>
          </cell>
          <cell r="J41" t="str">
            <v>Rådhuset</v>
          </cell>
          <cell r="K41">
            <v>40179</v>
          </cell>
          <cell r="L41" t="str">
            <v xml:space="preserve">ØKF                                                                          </v>
          </cell>
          <cell r="M41">
            <v>0</v>
          </cell>
          <cell r="N41">
            <v>4494265</v>
          </cell>
          <cell r="O41">
            <v>0</v>
          </cell>
        </row>
        <row r="42">
          <cell r="A42">
            <v>39851</v>
          </cell>
          <cell r="B42">
            <v>145</v>
          </cell>
          <cell r="C42">
            <v>41640</v>
          </cell>
          <cell r="D42" t="str">
            <v>BUF-Nørre Voldgade 15, 4.sal (Mikkelsen)</v>
          </cell>
          <cell r="E42">
            <v>0</v>
          </cell>
          <cell r="F42">
            <v>25410</v>
          </cell>
          <cell r="G42">
            <v>0</v>
          </cell>
          <cell r="H42">
            <v>0</v>
          </cell>
          <cell r="I42">
            <v>11030</v>
          </cell>
          <cell r="J42" t="str">
            <v>Rådhuset</v>
          </cell>
          <cell r="K42">
            <v>40179</v>
          </cell>
          <cell r="L42" t="str">
            <v xml:space="preserve">BR                                                                           </v>
          </cell>
          <cell r="M42">
            <v>0</v>
          </cell>
          <cell r="N42">
            <v>1185176</v>
          </cell>
          <cell r="O42">
            <v>0</v>
          </cell>
        </row>
        <row r="43">
          <cell r="A43">
            <v>0</v>
          </cell>
          <cell r="B43">
            <v>0</v>
          </cell>
          <cell r="C43">
            <v>0</v>
          </cell>
          <cell r="E43">
            <v>0</v>
          </cell>
          <cell r="G43">
            <v>0</v>
          </cell>
          <cell r="H43">
            <v>0</v>
          </cell>
          <cell r="I43">
            <v>50000</v>
          </cell>
          <cell r="J43" t="str">
            <v>Rådhuset</v>
          </cell>
          <cell r="K43">
            <v>40179</v>
          </cell>
          <cell r="L43" t="str">
            <v xml:space="preserve">KFF                                                                          </v>
          </cell>
          <cell r="M43">
            <v>0</v>
          </cell>
          <cell r="N43">
            <v>1174201</v>
          </cell>
          <cell r="O43">
            <v>0</v>
          </cell>
        </row>
        <row r="44">
          <cell r="A44">
            <v>31139</v>
          </cell>
          <cell r="B44">
            <v>111</v>
          </cell>
          <cell r="C44">
            <v>40634</v>
          </cell>
          <cell r="D44" t="str">
            <v>BUF-Gasværksvej 22 (skole)</v>
          </cell>
          <cell r="E44">
            <v>0</v>
          </cell>
          <cell r="F44">
            <v>63920</v>
          </cell>
          <cell r="G44">
            <v>0</v>
          </cell>
          <cell r="H44">
            <v>0</v>
          </cell>
          <cell r="I44">
            <v>0</v>
          </cell>
          <cell r="J44" t="str">
            <v>Rådhuset</v>
          </cell>
          <cell r="K44">
            <v>40179</v>
          </cell>
          <cell r="L44" t="str">
            <v xml:space="preserve">Kejd (posteres) Rådhusservice på Rådhuset  </v>
          </cell>
          <cell r="M44">
            <v>0</v>
          </cell>
          <cell r="N44">
            <v>660486</v>
          </cell>
          <cell r="O44">
            <v>0</v>
          </cell>
        </row>
        <row r="45">
          <cell r="A45">
            <v>0</v>
          </cell>
          <cell r="B45" t="str">
            <v>Forsættes i højre side</v>
          </cell>
          <cell r="C45">
            <v>0</v>
          </cell>
          <cell r="D45">
            <v>0</v>
          </cell>
          <cell r="E45">
            <v>0</v>
          </cell>
          <cell r="F45">
            <v>2040741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 t="str">
            <v>Årligt</v>
          </cell>
          <cell r="K46">
            <v>0</v>
          </cell>
          <cell r="L46">
            <v>0</v>
          </cell>
          <cell r="M46">
            <v>0</v>
          </cell>
          <cell r="N46">
            <v>13638861</v>
          </cell>
          <cell r="O46">
            <v>0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0</v>
          </cell>
          <cell r="J48" t="str">
            <v>Månedligt</v>
          </cell>
          <cell r="K48">
            <v>0</v>
          </cell>
          <cell r="L48">
            <v>0</v>
          </cell>
          <cell r="M48">
            <v>0</v>
          </cell>
          <cell r="N48">
            <v>1136571.75</v>
          </cell>
        </row>
        <row r="49">
          <cell r="G49">
            <v>0</v>
          </cell>
          <cell r="H49">
            <v>0</v>
          </cell>
          <cell r="N49" t="str">
            <v>Årligt</v>
          </cell>
          <cell r="O49" t="str">
            <v>Månedligt</v>
          </cell>
        </row>
        <row r="50">
          <cell r="G50">
            <v>0</v>
          </cell>
          <cell r="H50">
            <v>0</v>
          </cell>
          <cell r="K50" t="str">
            <v>Note 1</v>
          </cell>
          <cell r="N50">
            <v>8061866</v>
          </cell>
          <cell r="O50">
            <v>671822.16666666663</v>
          </cell>
        </row>
        <row r="51">
          <cell r="G51">
            <v>0</v>
          </cell>
          <cell r="H51">
            <v>0</v>
          </cell>
          <cell r="K51" t="str">
            <v>Note 2</v>
          </cell>
          <cell r="N51">
            <v>13638861</v>
          </cell>
          <cell r="O51">
            <v>1136571.75</v>
          </cell>
        </row>
        <row r="52">
          <cell r="G52">
            <v>0</v>
          </cell>
          <cell r="H52">
            <v>0</v>
          </cell>
          <cell r="K52" t="str">
            <v>Samlet</v>
          </cell>
          <cell r="L52">
            <v>0</v>
          </cell>
          <cell r="M52">
            <v>0</v>
          </cell>
          <cell r="N52">
            <v>21700727</v>
          </cell>
          <cell r="O52">
            <v>1808393.9166666667</v>
          </cell>
        </row>
      </sheetData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Øvrige Kontrakter 2015"/>
      <sheetName val="Karsten Pøhl (ØKF)"/>
      <sheetName val="Koncern Service"/>
      <sheetName val="Ark2"/>
    </sheetNames>
    <sheetDataSet>
      <sheetData sheetId="0">
        <row r="44">
          <cell r="K44">
            <v>2699795</v>
          </cell>
        </row>
      </sheetData>
      <sheetData sheetId="1"/>
      <sheetData sheetId="2"/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gt"/>
      <sheetName val="Rådhus"/>
      <sheetName val="Ark3"/>
    </sheetNames>
    <sheetDataSet>
      <sheetData sheetId="0">
        <row r="4">
          <cell r="A4" t="str">
            <v>Note 1: Fordeling  af intern betalingsordning på Rådhuset</v>
          </cell>
          <cell r="D4" t="str">
            <v>Årlig pris</v>
          </cell>
          <cell r="E4">
            <v>0</v>
          </cell>
        </row>
        <row r="5">
          <cell r="A5">
            <v>0</v>
          </cell>
          <cell r="B5" t="str">
            <v>SOF</v>
          </cell>
          <cell r="C5">
            <v>0</v>
          </cell>
          <cell r="E5" t="str">
            <v>Lisbeth Iversen 62200</v>
          </cell>
        </row>
        <row r="6">
          <cell r="A6">
            <v>0</v>
          </cell>
          <cell r="B6" t="str">
            <v>Kødbyen</v>
          </cell>
          <cell r="C6">
            <v>0</v>
          </cell>
          <cell r="D6">
            <v>1761357</v>
          </cell>
          <cell r="E6">
            <v>2244873</v>
          </cell>
        </row>
        <row r="7">
          <cell r="B7">
            <v>0</v>
          </cell>
          <cell r="C7">
            <v>0</v>
          </cell>
          <cell r="E7">
            <v>0</v>
          </cell>
        </row>
        <row r="8">
          <cell r="A8">
            <v>0</v>
          </cell>
          <cell r="B8">
            <v>0</v>
          </cell>
          <cell r="C8">
            <v>0</v>
          </cell>
          <cell r="D8">
            <v>0</v>
          </cell>
        </row>
        <row r="9">
          <cell r="A9">
            <v>0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</row>
        <row r="10">
          <cell r="A10">
            <v>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</row>
        <row r="11">
          <cell r="A11">
            <v>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</row>
        <row r="12">
          <cell r="A12">
            <v>0</v>
          </cell>
          <cell r="B12">
            <v>0</v>
          </cell>
          <cell r="C12">
            <v>0</v>
          </cell>
          <cell r="E12" t="str">
            <v>Sort = ikke betalt eller genfremsendt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 t="str">
            <v>Grøn = Ikke betalt men genfremsendt</v>
          </cell>
        </row>
        <row r="14">
          <cell r="A14" t="str">
            <v>Årligt</v>
          </cell>
          <cell r="B14">
            <v>0</v>
          </cell>
          <cell r="C14">
            <v>0</v>
          </cell>
          <cell r="D14">
            <v>7413134</v>
          </cell>
          <cell r="E14" t="str">
            <v>Når org. Nr. er røde, er de betalt</v>
          </cell>
        </row>
        <row r="15">
          <cell r="A15" t="str">
            <v>Månedligt</v>
          </cell>
          <cell r="B15">
            <v>0</v>
          </cell>
          <cell r="C15">
            <v>0</v>
          </cell>
          <cell r="D15">
            <v>617761.16666666663</v>
          </cell>
          <cell r="E15" t="str">
            <v>Der er en pris fremskrivning/stigning på 1.67 % og ingen stigning på timepris påført 28-10-2015 gældende for 2016</v>
          </cell>
        </row>
        <row r="16">
          <cell r="A16">
            <v>0</v>
          </cell>
          <cell r="B16">
            <v>0</v>
          </cell>
          <cell r="C16">
            <v>0</v>
          </cell>
        </row>
        <row r="17">
          <cell r="A17">
            <v>0</v>
          </cell>
          <cell r="B17" t="str">
            <v xml:space="preserve">Note 2  Kontrakt kunder fast rundering </v>
          </cell>
          <cell r="G17">
            <v>0</v>
          </cell>
          <cell r="H17">
            <v>0</v>
          </cell>
          <cell r="I17">
            <v>0</v>
          </cell>
          <cell r="J17" t="str">
            <v xml:space="preserve">Note 2  Kontrakt kunder fast rundering </v>
          </cell>
        </row>
        <row r="18">
          <cell r="A18" t="str">
            <v>Org. Nr.</v>
          </cell>
          <cell r="B18" t="str">
            <v>Kontrakt nr.</v>
          </cell>
          <cell r="C18" t="str">
            <v>Start dato</v>
          </cell>
          <cell r="D18" t="str">
            <v>Adresse</v>
          </cell>
          <cell r="E18">
            <v>0</v>
          </cell>
          <cell r="F18" t="str">
            <v xml:space="preserve">Årlig pris  </v>
          </cell>
          <cell r="G18">
            <v>0</v>
          </cell>
          <cell r="H18">
            <v>0</v>
          </cell>
          <cell r="I18" t="str">
            <v>Org. Nr.</v>
          </cell>
          <cell r="J18" t="str">
            <v>Bygningsnr.</v>
          </cell>
          <cell r="K18" t="str">
            <v>V og I dato</v>
          </cell>
          <cell r="L18" t="str">
            <v>Adresse</v>
          </cell>
          <cell r="N18" t="str">
            <v xml:space="preserve">Årlig pris  </v>
          </cell>
        </row>
        <row r="19">
          <cell r="A19" t="str">
            <v>64715</v>
          </cell>
          <cell r="B19">
            <v>112</v>
          </cell>
          <cell r="C19">
            <v>37956</v>
          </cell>
          <cell r="D19" t="str">
            <v>Røde Mellemvej 52 (Søren Rasmussen)</v>
          </cell>
          <cell r="F19">
            <v>126659</v>
          </cell>
          <cell r="G19">
            <v>797736</v>
          </cell>
          <cell r="H19">
            <v>0</v>
          </cell>
          <cell r="I19" t="str">
            <v>Fortsat</v>
          </cell>
          <cell r="J19">
            <v>0</v>
          </cell>
          <cell r="K19">
            <v>0</v>
          </cell>
          <cell r="L19">
            <v>0</v>
          </cell>
          <cell r="N19">
            <v>2036309</v>
          </cell>
        </row>
        <row r="20">
          <cell r="A20" t="str">
            <v>37567</v>
          </cell>
          <cell r="B20">
            <v>113</v>
          </cell>
          <cell r="C20">
            <v>38012</v>
          </cell>
          <cell r="D20" t="str">
            <v>Studsgårdsgade 55</v>
          </cell>
          <cell r="F20">
            <v>148969</v>
          </cell>
          <cell r="G20">
            <v>797737</v>
          </cell>
          <cell r="H20">
            <v>0</v>
          </cell>
          <cell r="I20">
            <v>82100</v>
          </cell>
          <cell r="J20">
            <v>160</v>
          </cell>
          <cell r="K20">
            <v>42461</v>
          </cell>
          <cell r="L20" t="str">
            <v>Lærkevej 18(Ørnevej 55)                                     2017=39.690</v>
          </cell>
          <cell r="N20">
            <v>29767</v>
          </cell>
        </row>
        <row r="21">
          <cell r="A21">
            <v>23140</v>
          </cell>
          <cell r="B21">
            <v>116</v>
          </cell>
          <cell r="C21">
            <v>38412</v>
          </cell>
          <cell r="D21" t="str">
            <v>Amagerbrogade 150</v>
          </cell>
          <cell r="F21">
            <v>65791</v>
          </cell>
          <cell r="G21">
            <v>797738</v>
          </cell>
          <cell r="H21">
            <v>0</v>
          </cell>
          <cell r="I21">
            <v>62300</v>
          </cell>
          <cell r="J21">
            <v>150</v>
          </cell>
          <cell r="K21">
            <v>38047</v>
          </cell>
          <cell r="L21" t="str">
            <v xml:space="preserve">Brønshøjvej 17 - 19, SOF, BFCK-Brønshøj-Husum-Vanløse               </v>
          </cell>
          <cell r="N21">
            <v>67423</v>
          </cell>
        </row>
        <row r="22">
          <cell r="A22">
            <v>17190</v>
          </cell>
          <cell r="B22">
            <v>119</v>
          </cell>
          <cell r="C22">
            <v>41395</v>
          </cell>
          <cell r="D22" t="str">
            <v>Hvide Kødby(rundering) (Lene Bordoy)</v>
          </cell>
          <cell r="F22">
            <v>157719</v>
          </cell>
          <cell r="G22">
            <v>812192</v>
          </cell>
          <cell r="H22">
            <v>0</v>
          </cell>
          <cell r="I22">
            <v>53202</v>
          </cell>
          <cell r="J22">
            <v>115</v>
          </cell>
          <cell r="K22">
            <v>42370</v>
          </cell>
          <cell r="L22" t="str">
            <v>Christianhavns bibliotek</v>
          </cell>
          <cell r="N22">
            <v>57487</v>
          </cell>
        </row>
        <row r="23">
          <cell r="A23">
            <v>62300</v>
          </cell>
          <cell r="B23">
            <v>121</v>
          </cell>
          <cell r="C23">
            <v>39264</v>
          </cell>
          <cell r="D23" t="str">
            <v>Griffenfeldsgade 44</v>
          </cell>
          <cell r="F23">
            <v>107086</v>
          </cell>
          <cell r="G23">
            <v>797739</v>
          </cell>
          <cell r="H23">
            <v>0</v>
          </cell>
          <cell r="I23">
            <v>38910</v>
          </cell>
          <cell r="J23" t="str">
            <v>747b</v>
          </cell>
          <cell r="K23">
            <v>38047</v>
          </cell>
          <cell r="L23" t="str">
            <v xml:space="preserve">Brønshøjvej 17 - 19, Tandlæge  </v>
          </cell>
          <cell r="N23">
            <v>21345</v>
          </cell>
        </row>
        <row r="24">
          <cell r="A24">
            <v>38450</v>
          </cell>
          <cell r="B24">
            <v>122</v>
          </cell>
          <cell r="C24">
            <v>39264</v>
          </cell>
          <cell r="D24" t="str">
            <v>Kapelvej 47</v>
          </cell>
          <cell r="F24">
            <v>20179</v>
          </cell>
          <cell r="G24">
            <v>797740</v>
          </cell>
          <cell r="H24">
            <v>0</v>
          </cell>
          <cell r="I24">
            <v>50005</v>
          </cell>
          <cell r="J24">
            <v>147</v>
          </cell>
          <cell r="K24">
            <v>40664</v>
          </cell>
          <cell r="L24" t="str">
            <v xml:space="preserve">ØK-KBS- Nørre Søgade 35                                         </v>
          </cell>
          <cell r="N24">
            <v>77025</v>
          </cell>
        </row>
        <row r="25">
          <cell r="A25">
            <v>60126</v>
          </cell>
          <cell r="B25">
            <v>128</v>
          </cell>
          <cell r="C25">
            <v>39815</v>
          </cell>
          <cell r="D25" t="str">
            <v>Bernstorffshus  (Ruth Denise Hansen)</v>
          </cell>
          <cell r="F25">
            <v>191253</v>
          </cell>
          <cell r="G25">
            <v>797741</v>
          </cell>
          <cell r="H25" t="str">
            <v>Fordeling</v>
          </cell>
          <cell r="I25">
            <v>38100</v>
          </cell>
          <cell r="J25">
            <v>155</v>
          </cell>
          <cell r="K25">
            <v>42370</v>
          </cell>
          <cell r="L25" t="str">
            <v>Lyongade 25, stuen og 2. sal (BUF)</v>
          </cell>
          <cell r="N25">
            <v>59243</v>
          </cell>
        </row>
        <row r="26">
          <cell r="A26">
            <v>64715</v>
          </cell>
          <cell r="B26">
            <v>161</v>
          </cell>
          <cell r="C26">
            <v>42485</v>
          </cell>
          <cell r="D26" t="str">
            <v>SOF- Sundholmsvej 40(2017 172.462+fremskriv)</v>
          </cell>
          <cell r="F26">
            <v>117807</v>
          </cell>
          <cell r="G26">
            <v>833103</v>
          </cell>
          <cell r="H26" t="str">
            <v>43,37 %</v>
          </cell>
          <cell r="I26">
            <v>31404</v>
          </cell>
          <cell r="J26">
            <v>758</v>
          </cell>
          <cell r="K26">
            <v>37500</v>
          </cell>
          <cell r="L26" t="str">
            <v xml:space="preserve">Jemtelandgade 3 KKU                                                </v>
          </cell>
          <cell r="N26">
            <v>48768</v>
          </cell>
        </row>
        <row r="27">
          <cell r="A27">
            <v>69707</v>
          </cell>
          <cell r="B27">
            <v>130</v>
          </cell>
          <cell r="C27">
            <v>39918</v>
          </cell>
          <cell r="D27" t="str">
            <v>Rådhuspladsen 77, 1+2. sal (Carsten Pauli Hansen)</v>
          </cell>
          <cell r="F27">
            <v>31872</v>
          </cell>
          <cell r="G27">
            <v>797742</v>
          </cell>
          <cell r="H27" t="str">
            <v>18,16%</v>
          </cell>
          <cell r="I27">
            <v>51302</v>
          </cell>
          <cell r="J27">
            <v>114</v>
          </cell>
          <cell r="K27">
            <v>40544</v>
          </cell>
          <cell r="L27" t="str">
            <v xml:space="preserve">Jemtelandgade 3 Kvarterløft                                        </v>
          </cell>
          <cell r="N27">
            <v>20417</v>
          </cell>
        </row>
        <row r="28">
          <cell r="A28">
            <v>53106</v>
          </cell>
          <cell r="B28">
            <v>123</v>
          </cell>
          <cell r="C28" t="str">
            <v>01-02.2015</v>
          </cell>
          <cell r="D28" t="str">
            <v>Bibliotek Blågårds Plads 5(opsagt af os)</v>
          </cell>
          <cell r="F28">
            <v>0</v>
          </cell>
          <cell r="G28">
            <v>0</v>
          </cell>
          <cell r="H28" t="str">
            <v>38,47 %</v>
          </cell>
          <cell r="I28">
            <v>53204</v>
          </cell>
          <cell r="J28">
            <v>114</v>
          </cell>
          <cell r="K28">
            <v>40544</v>
          </cell>
          <cell r="L28" t="str">
            <v xml:space="preserve">Jemtelandgade 3 bibliotek                                           </v>
          </cell>
          <cell r="N28">
            <v>43405</v>
          </cell>
        </row>
        <row r="29">
          <cell r="A29">
            <v>17116</v>
          </cell>
          <cell r="B29">
            <v>132</v>
          </cell>
          <cell r="C29">
            <v>40057</v>
          </cell>
          <cell r="D29" t="str">
            <v>Hans Nansens Gård (Kejd)(FM)</v>
          </cell>
          <cell r="F29">
            <v>194810</v>
          </cell>
          <cell r="G29">
            <v>797743</v>
          </cell>
          <cell r="H29">
            <v>0</v>
          </cell>
          <cell r="I29">
            <v>62200</v>
          </cell>
          <cell r="J29">
            <v>149</v>
          </cell>
          <cell r="K29">
            <v>40544</v>
          </cell>
          <cell r="L29" t="str">
            <v xml:space="preserve">Spaniensgade 25, Borgercenter handicap                           </v>
          </cell>
          <cell r="N29">
            <v>53541</v>
          </cell>
        </row>
        <row r="30">
          <cell r="A30">
            <v>0</v>
          </cell>
          <cell r="B30">
            <v>0</v>
          </cell>
          <cell r="C30">
            <v>39448</v>
          </cell>
          <cell r="D30" t="str">
            <v xml:space="preserve">Stormgade 18 (BUF)(fraflyttet 1-3-15-) </v>
          </cell>
          <cell r="F30">
            <v>0</v>
          </cell>
          <cell r="G30">
            <v>0</v>
          </cell>
          <cell r="H30">
            <v>0</v>
          </cell>
          <cell r="I30">
            <v>62300</v>
          </cell>
          <cell r="J30">
            <v>148</v>
          </cell>
          <cell r="K30">
            <v>42005</v>
          </cell>
          <cell r="L30" t="str">
            <v xml:space="preserve">Lyongade 25, 3. sal BFCK-Amager vest                              </v>
          </cell>
          <cell r="N30">
            <v>59243</v>
          </cell>
        </row>
        <row r="31">
          <cell r="A31">
            <v>22530</v>
          </cell>
          <cell r="B31">
            <v>159</v>
          </cell>
          <cell r="C31">
            <v>42415</v>
          </cell>
          <cell r="D31" t="str">
            <v>SUF Randersgade 60</v>
          </cell>
          <cell r="F31">
            <v>50642</v>
          </cell>
          <cell r="G31" t="str">
            <v>2017= 57875</v>
          </cell>
          <cell r="H31">
            <v>0</v>
          </cell>
          <cell r="I31">
            <v>40530</v>
          </cell>
          <cell r="J31">
            <v>900</v>
          </cell>
          <cell r="K31">
            <v>38353</v>
          </cell>
          <cell r="L31" t="str">
            <v xml:space="preserve">Miljøkontrollen (tlf. eksp.)                                            </v>
          </cell>
          <cell r="N31">
            <v>4500</v>
          </cell>
        </row>
        <row r="32">
          <cell r="A32">
            <v>62200</v>
          </cell>
          <cell r="B32">
            <v>127</v>
          </cell>
          <cell r="C32">
            <v>41275</v>
          </cell>
          <cell r="D32" t="str">
            <v>Matthæusgade 1</v>
          </cell>
          <cell r="F32">
            <v>90586</v>
          </cell>
          <cell r="G32">
            <v>797744</v>
          </cell>
          <cell r="H32">
            <v>0</v>
          </cell>
          <cell r="I32">
            <v>38400</v>
          </cell>
          <cell r="J32">
            <v>138</v>
          </cell>
          <cell r="K32">
            <v>41640</v>
          </cell>
          <cell r="L32" t="str">
            <v xml:space="preserve">BUF-Linde Alle 40-44                                                  </v>
          </cell>
          <cell r="N32">
            <v>41740</v>
          </cell>
        </row>
        <row r="33">
          <cell r="A33">
            <v>39610</v>
          </cell>
          <cell r="B33">
            <v>153</v>
          </cell>
          <cell r="C33">
            <v>41275</v>
          </cell>
          <cell r="D33" t="str">
            <v>BUF Skolesupport</v>
          </cell>
          <cell r="F33">
            <v>168081</v>
          </cell>
          <cell r="G33">
            <v>797745</v>
          </cell>
          <cell r="H33">
            <v>0</v>
          </cell>
          <cell r="I33">
            <v>51308</v>
          </cell>
          <cell r="J33">
            <v>158</v>
          </cell>
          <cell r="K33">
            <v>41640</v>
          </cell>
          <cell r="L33" t="str">
            <v xml:space="preserve">Lyrskovgade 4                           </v>
          </cell>
          <cell r="N33">
            <v>87671</v>
          </cell>
        </row>
        <row r="34">
          <cell r="A34">
            <v>52319</v>
          </cell>
          <cell r="B34">
            <v>154</v>
          </cell>
          <cell r="C34">
            <v>41640</v>
          </cell>
          <cell r="D34" t="str">
            <v>KFF Biblioteket Njalsgade (Rasmus M. Niel)</v>
          </cell>
          <cell r="F34">
            <v>40260</v>
          </cell>
          <cell r="G34">
            <v>797746</v>
          </cell>
          <cell r="H34">
            <v>0</v>
          </cell>
          <cell r="I34">
            <v>55020</v>
          </cell>
          <cell r="J34">
            <v>115</v>
          </cell>
          <cell r="K34">
            <v>41456</v>
          </cell>
          <cell r="L34" t="str">
            <v xml:space="preserve">ØK-Borgerservice, Gyldenløvesgade 11                        </v>
          </cell>
          <cell r="N34">
            <v>30193</v>
          </cell>
        </row>
        <row r="35">
          <cell r="A35">
            <v>28100</v>
          </cell>
          <cell r="B35">
            <v>728</v>
          </cell>
          <cell r="C35">
            <v>38846</v>
          </cell>
          <cell r="D35" t="str">
            <v>Enghavevej  (Frits Nielsen)</v>
          </cell>
          <cell r="F35">
            <v>78911</v>
          </cell>
          <cell r="G35">
            <v>797747</v>
          </cell>
          <cell r="H35">
            <v>0</v>
          </cell>
          <cell r="I35">
            <v>17116</v>
          </cell>
          <cell r="J35">
            <v>110</v>
          </cell>
          <cell r="K35">
            <v>41456</v>
          </cell>
          <cell r="L35" t="str">
            <v xml:space="preserve">Konernservice- Fuglebakken, Borups Alle 177               </v>
          </cell>
          <cell r="N35">
            <v>181173</v>
          </cell>
        </row>
        <row r="36">
          <cell r="A36">
            <v>82500</v>
          </cell>
          <cell r="B36">
            <v>151</v>
          </cell>
          <cell r="C36">
            <v>40603</v>
          </cell>
          <cell r="D36" t="str">
            <v>BIF-Baldersgade 24  (Thomas D. Waarkjær)</v>
          </cell>
          <cell r="F36">
            <v>101486</v>
          </cell>
          <cell r="G36">
            <v>797748</v>
          </cell>
          <cell r="H36">
            <v>0</v>
          </cell>
          <cell r="I36">
            <v>20100</v>
          </cell>
          <cell r="J36" t="str">
            <v>Rådhuset</v>
          </cell>
          <cell r="K36">
            <v>40179</v>
          </cell>
          <cell r="L36" t="str">
            <v xml:space="preserve">SUF                  (Tanja K. Lund)                                  </v>
          </cell>
          <cell r="N36">
            <v>603446</v>
          </cell>
        </row>
        <row r="37">
          <cell r="A37">
            <v>82505</v>
          </cell>
          <cell r="B37">
            <v>152</v>
          </cell>
          <cell r="C37">
            <v>40603</v>
          </cell>
          <cell r="D37" t="str">
            <v>BIF-Baldersgade 3B, 1. + 3. sal</v>
          </cell>
          <cell r="F37">
            <v>44559</v>
          </cell>
          <cell r="G37">
            <v>797749</v>
          </cell>
          <cell r="H37">
            <v>0</v>
          </cell>
          <cell r="I37">
            <v>80005</v>
          </cell>
          <cell r="J37" t="str">
            <v>Rådhuset</v>
          </cell>
          <cell r="K37">
            <v>40179</v>
          </cell>
          <cell r="L37" t="str">
            <v xml:space="preserve">BIF                                                                          </v>
          </cell>
          <cell r="N37">
            <v>540803</v>
          </cell>
        </row>
        <row r="38">
          <cell r="A38">
            <v>82106</v>
          </cell>
          <cell r="B38">
            <v>0</v>
          </cell>
          <cell r="C38">
            <v>42491</v>
          </cell>
          <cell r="D38" t="str">
            <v xml:space="preserve">BIF- Ottiliavej </v>
          </cell>
          <cell r="F38">
            <v>133333</v>
          </cell>
          <cell r="G38">
            <v>852228</v>
          </cell>
          <cell r="I38">
            <v>39630</v>
          </cell>
          <cell r="J38" t="str">
            <v>Rådhuset</v>
          </cell>
          <cell r="K38">
            <v>40179</v>
          </cell>
          <cell r="L38" t="str">
            <v xml:space="preserve">BUF                                                                          </v>
          </cell>
          <cell r="N38">
            <v>618513</v>
          </cell>
        </row>
        <row r="39">
          <cell r="A39">
            <v>62470</v>
          </cell>
          <cell r="B39">
            <v>141</v>
          </cell>
          <cell r="C39">
            <v>41640</v>
          </cell>
          <cell r="D39" t="str">
            <v>SOF-Nørre Voldgade 15, 1.+5. sal (Avlastenok)</v>
          </cell>
          <cell r="F39">
            <v>24888</v>
          </cell>
          <cell r="G39">
            <v>797750</v>
          </cell>
          <cell r="H39" t="str">
            <v>17=29.036,-</v>
          </cell>
          <cell r="I39">
            <v>49700</v>
          </cell>
          <cell r="J39" t="str">
            <v>Rådhuset</v>
          </cell>
          <cell r="K39">
            <v>40179</v>
          </cell>
          <cell r="L39" t="str">
            <v xml:space="preserve">TMF                                                                          </v>
          </cell>
          <cell r="N39">
            <v>579866</v>
          </cell>
        </row>
        <row r="40">
          <cell r="A40">
            <v>37100</v>
          </cell>
          <cell r="B40">
            <v>142</v>
          </cell>
          <cell r="C40">
            <v>41640</v>
          </cell>
          <cell r="D40" t="str">
            <v>BUF-Nørre Voldgade 15, 2.sal (Thuesen)</v>
          </cell>
          <cell r="F40">
            <v>24888</v>
          </cell>
          <cell r="G40">
            <v>797751</v>
          </cell>
          <cell r="H40">
            <v>0</v>
          </cell>
          <cell r="I40">
            <v>60126</v>
          </cell>
          <cell r="J40" t="str">
            <v>Rådhuset</v>
          </cell>
          <cell r="K40">
            <v>40179</v>
          </cell>
          <cell r="L40" t="str">
            <v xml:space="preserve">SOF                                                                          </v>
          </cell>
          <cell r="N40">
            <v>766501</v>
          </cell>
        </row>
        <row r="41">
          <cell r="A41">
            <v>33410</v>
          </cell>
          <cell r="B41">
            <v>143</v>
          </cell>
          <cell r="C41">
            <v>41640</v>
          </cell>
          <cell r="D41" t="str">
            <v>BUF-Nørre Voldgade 15, 3. sal (Thor Larsen)</v>
          </cell>
          <cell r="F41">
            <v>24888</v>
          </cell>
          <cell r="G41">
            <v>797752</v>
          </cell>
          <cell r="H41">
            <v>0</v>
          </cell>
          <cell r="I41">
            <v>11030</v>
          </cell>
          <cell r="J41" t="str">
            <v>Rådhuset</v>
          </cell>
          <cell r="K41">
            <v>40179</v>
          </cell>
          <cell r="L41" t="str">
            <v xml:space="preserve">ØKF                                                                          </v>
          </cell>
          <cell r="N41">
            <v>4401827</v>
          </cell>
        </row>
        <row r="42">
          <cell r="A42">
            <v>39851</v>
          </cell>
          <cell r="B42">
            <v>145</v>
          </cell>
          <cell r="C42">
            <v>41640</v>
          </cell>
          <cell r="D42" t="str">
            <v>BUF-Nørre Voldgade 15, 4.sal (Mikkelsen)</v>
          </cell>
          <cell r="F42">
            <v>24888</v>
          </cell>
          <cell r="G42">
            <v>797754</v>
          </cell>
          <cell r="H42">
            <v>0</v>
          </cell>
          <cell r="I42">
            <v>11030</v>
          </cell>
          <cell r="J42" t="str">
            <v>Rådhuset</v>
          </cell>
          <cell r="K42">
            <v>40179</v>
          </cell>
          <cell r="L42" t="str">
            <v xml:space="preserve">BR                                                                           </v>
          </cell>
          <cell r="N42">
            <v>1160800</v>
          </cell>
        </row>
        <row r="43">
          <cell r="A43">
            <v>69722</v>
          </cell>
          <cell r="B43">
            <v>146</v>
          </cell>
          <cell r="C43">
            <v>41640</v>
          </cell>
          <cell r="D43" t="str">
            <v>SOF-Nørre Voldgade 15, 5. sal (Ann Provis)</v>
          </cell>
          <cell r="F43">
            <v>4148</v>
          </cell>
          <cell r="G43">
            <v>826945</v>
          </cell>
          <cell r="H43">
            <v>0</v>
          </cell>
          <cell r="I43">
            <v>50000</v>
          </cell>
          <cell r="J43" t="str">
            <v>Rådhuset</v>
          </cell>
          <cell r="K43">
            <v>40179</v>
          </cell>
          <cell r="L43" t="str">
            <v xml:space="preserve">KFF                                                                          </v>
          </cell>
          <cell r="N43">
            <v>1150050</v>
          </cell>
        </row>
        <row r="44">
          <cell r="A44">
            <v>31139</v>
          </cell>
          <cell r="B44">
            <v>111</v>
          </cell>
          <cell r="C44">
            <v>40634</v>
          </cell>
          <cell r="D44" t="str">
            <v>BUF-Gasværksvej 22 (skole)</v>
          </cell>
          <cell r="F44">
            <v>62606</v>
          </cell>
          <cell r="G44">
            <v>797756</v>
          </cell>
          <cell r="H44">
            <v>0</v>
          </cell>
          <cell r="I44">
            <v>0</v>
          </cell>
          <cell r="J44" t="str">
            <v>Rådhuset</v>
          </cell>
          <cell r="K44">
            <v>40179</v>
          </cell>
          <cell r="L44" t="str">
            <v xml:space="preserve">Kejd (posteres) Rådhusservice på Rådhuset  </v>
          </cell>
          <cell r="N44">
            <v>646902</v>
          </cell>
        </row>
        <row r="45">
          <cell r="A45">
            <v>0</v>
          </cell>
          <cell r="B45" t="str">
            <v>Forsættes i højre side</v>
          </cell>
          <cell r="C45">
            <v>0</v>
          </cell>
          <cell r="D45">
            <v>0</v>
          </cell>
          <cell r="F45">
            <v>2036309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N45">
            <v>0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F46">
            <v>0</v>
          </cell>
          <cell r="G46">
            <v>0</v>
          </cell>
          <cell r="H46">
            <v>0</v>
          </cell>
          <cell r="J46" t="str">
            <v>Årligt</v>
          </cell>
          <cell r="K46">
            <v>0</v>
          </cell>
          <cell r="L46">
            <v>0</v>
          </cell>
          <cell r="N46">
            <v>13387958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N47">
            <v>0</v>
          </cell>
        </row>
        <row r="48">
          <cell r="H48">
            <v>0</v>
          </cell>
          <cell r="J48" t="str">
            <v>Månedligt</v>
          </cell>
          <cell r="K48">
            <v>0</v>
          </cell>
          <cell r="L48">
            <v>0</v>
          </cell>
          <cell r="N48">
            <v>1115663.1666666667</v>
          </cell>
        </row>
      </sheetData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gt"/>
      <sheetName val="Rådhus"/>
      <sheetName val="Ark3"/>
    </sheetNames>
    <sheetDataSet>
      <sheetData sheetId="0">
        <row r="4">
          <cell r="A4" t="str">
            <v>Note 1: Fordeling  af intern betalingsordning på Rådhuset</v>
          </cell>
          <cell r="B4">
            <v>0</v>
          </cell>
          <cell r="C4">
            <v>0</v>
          </cell>
          <cell r="D4" t="str">
            <v>Årlig pris</v>
          </cell>
          <cell r="E4">
            <v>0</v>
          </cell>
          <cell r="F4">
            <v>0</v>
          </cell>
          <cell r="G4">
            <v>0</v>
          </cell>
          <cell r="O4">
            <v>0</v>
          </cell>
        </row>
        <row r="5">
          <cell r="B5" t="str">
            <v>SOF</v>
          </cell>
          <cell r="C5">
            <v>0</v>
          </cell>
          <cell r="D5">
            <v>5558939</v>
          </cell>
          <cell r="F5">
            <v>0</v>
          </cell>
          <cell r="G5">
            <v>0</v>
          </cell>
          <cell r="O5">
            <v>0</v>
          </cell>
        </row>
        <row r="6">
          <cell r="A6">
            <v>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O6">
            <v>0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O7">
            <v>0</v>
          </cell>
        </row>
        <row r="8">
          <cell r="A8">
            <v>0</v>
          </cell>
          <cell r="B8">
            <v>0</v>
          </cell>
          <cell r="C8">
            <v>0</v>
          </cell>
          <cell r="D8">
            <v>0</v>
          </cell>
          <cell r="F8">
            <v>0</v>
          </cell>
          <cell r="G8">
            <v>0</v>
          </cell>
          <cell r="O8">
            <v>0</v>
          </cell>
        </row>
        <row r="9">
          <cell r="A9">
            <v>0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O9">
            <v>0</v>
          </cell>
        </row>
        <row r="10">
          <cell r="A10">
            <v>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O10">
            <v>0</v>
          </cell>
        </row>
        <row r="11">
          <cell r="A11">
            <v>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O11">
            <v>0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 t="str">
            <v>Sort = ikke betalt eller genfremsendt</v>
          </cell>
          <cell r="O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 t="str">
            <v>Grøn = Ikke betalt men genfremsendt</v>
          </cell>
          <cell r="O13">
            <v>0</v>
          </cell>
        </row>
        <row r="14">
          <cell r="A14" t="str">
            <v>Årligt</v>
          </cell>
          <cell r="B14">
            <v>0</v>
          </cell>
          <cell r="C14">
            <v>0</v>
          </cell>
          <cell r="D14">
            <v>5558939</v>
          </cell>
          <cell r="E14" t="str">
            <v>Når org. Nr. er røde, er de betalt</v>
          </cell>
          <cell r="O14">
            <v>0</v>
          </cell>
        </row>
        <row r="15">
          <cell r="A15" t="str">
            <v>Månedligt</v>
          </cell>
          <cell r="B15">
            <v>0</v>
          </cell>
          <cell r="C15">
            <v>0</v>
          </cell>
          <cell r="D15">
            <v>463244.91666666669</v>
          </cell>
          <cell r="E15" t="str">
            <v>Der er en pris fremskrivning/stigning på 2.00 % og ingen stigning på timepris påført 2-3-2015</v>
          </cell>
          <cell r="O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O16">
            <v>0</v>
          </cell>
        </row>
        <row r="17">
          <cell r="A17">
            <v>0</v>
          </cell>
          <cell r="B17" t="str">
            <v xml:space="preserve">Note 2  Kontrakt kunder fast rundering </v>
          </cell>
          <cell r="G17">
            <v>0</v>
          </cell>
          <cell r="H17">
            <v>0</v>
          </cell>
          <cell r="I17">
            <v>0</v>
          </cell>
          <cell r="J17" t="str">
            <v xml:space="preserve">Note 2  Kontrakt kunder fast rundering </v>
          </cell>
          <cell r="O17">
            <v>0</v>
          </cell>
        </row>
        <row r="18">
          <cell r="A18" t="str">
            <v>Org. Nr.</v>
          </cell>
          <cell r="B18" t="str">
            <v>Kontrakt nr.</v>
          </cell>
          <cell r="C18" t="str">
            <v>Start dato</v>
          </cell>
          <cell r="D18" t="str">
            <v>Adresse</v>
          </cell>
          <cell r="E18">
            <v>0</v>
          </cell>
          <cell r="F18" t="str">
            <v xml:space="preserve">Årlig pris  </v>
          </cell>
          <cell r="G18">
            <v>0</v>
          </cell>
          <cell r="H18">
            <v>0</v>
          </cell>
          <cell r="I18" t="str">
            <v>Org. Nr.</v>
          </cell>
          <cell r="J18" t="str">
            <v>Bygningsnr.</v>
          </cell>
          <cell r="K18" t="str">
            <v>V og I dato</v>
          </cell>
          <cell r="L18" t="str">
            <v>Adresse</v>
          </cell>
          <cell r="M18">
            <v>0</v>
          </cell>
          <cell r="N18" t="str">
            <v xml:space="preserve">Årlig pris  </v>
          </cell>
          <cell r="O18">
            <v>0</v>
          </cell>
        </row>
        <row r="19">
          <cell r="A19" t="str">
            <v>64715</v>
          </cell>
          <cell r="B19">
            <v>112</v>
          </cell>
          <cell r="C19">
            <v>37956</v>
          </cell>
          <cell r="D19" t="str">
            <v>Røde Mellemvej 52 (Søren Rasmussen)</v>
          </cell>
          <cell r="F19">
            <v>124604</v>
          </cell>
          <cell r="H19">
            <v>0</v>
          </cell>
          <cell r="I19" t="str">
            <v>Fortsat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2383140</v>
          </cell>
          <cell r="O19">
            <v>0</v>
          </cell>
        </row>
        <row r="20">
          <cell r="A20" t="str">
            <v>37567</v>
          </cell>
          <cell r="B20">
            <v>113</v>
          </cell>
          <cell r="C20">
            <v>38012</v>
          </cell>
          <cell r="D20" t="str">
            <v>Studsgårdsgade 55</v>
          </cell>
          <cell r="F20">
            <v>148969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</row>
        <row r="21">
          <cell r="A21">
            <v>23140</v>
          </cell>
          <cell r="B21">
            <v>116</v>
          </cell>
          <cell r="C21">
            <v>38412</v>
          </cell>
          <cell r="D21" t="str">
            <v>Amagerbrogade 150</v>
          </cell>
          <cell r="F21">
            <v>64711</v>
          </cell>
          <cell r="H21">
            <v>0</v>
          </cell>
          <cell r="I21">
            <v>62300</v>
          </cell>
          <cell r="J21">
            <v>150</v>
          </cell>
          <cell r="K21">
            <v>38047</v>
          </cell>
          <cell r="L21" t="str">
            <v xml:space="preserve">Brønshøjvej 17 - 19, SOF, BFCK-Brønshøj-Husum-Vanløse               </v>
          </cell>
          <cell r="N21">
            <v>66316</v>
          </cell>
          <cell r="O21">
            <v>568709</v>
          </cell>
        </row>
        <row r="22">
          <cell r="A22">
            <v>17190</v>
          </cell>
          <cell r="B22">
            <v>119</v>
          </cell>
          <cell r="C22">
            <v>41395</v>
          </cell>
          <cell r="D22" t="str">
            <v>Hvide Kødby(rundering) (Lene Bordoy)</v>
          </cell>
          <cell r="F22">
            <v>757052</v>
          </cell>
          <cell r="H22">
            <v>0</v>
          </cell>
          <cell r="I22">
            <v>0</v>
          </cell>
          <cell r="J22" t="str">
            <v>747a</v>
          </cell>
          <cell r="K22">
            <v>38048</v>
          </cell>
          <cell r="L22" t="str">
            <v>Brønshøjvej 17 - 19, Sundhed (Løven)(Opsagt,slut 30-6-14)</v>
          </cell>
          <cell r="N22">
            <v>0</v>
          </cell>
          <cell r="O22">
            <v>0</v>
          </cell>
        </row>
        <row r="23">
          <cell r="A23">
            <v>62300</v>
          </cell>
          <cell r="B23">
            <v>121</v>
          </cell>
          <cell r="C23">
            <v>39264</v>
          </cell>
          <cell r="D23" t="str">
            <v>Griffenfeldsgade 44</v>
          </cell>
          <cell r="F23">
            <v>105328</v>
          </cell>
          <cell r="H23">
            <v>0</v>
          </cell>
          <cell r="I23">
            <v>38910</v>
          </cell>
          <cell r="J23" t="str">
            <v>747b</v>
          </cell>
          <cell r="K23">
            <v>38047</v>
          </cell>
          <cell r="L23" t="str">
            <v xml:space="preserve">Brønshøjvej 17 - 19, Tandlæge  (Sara Marie Jacobsen)  </v>
          </cell>
          <cell r="N23">
            <v>20995</v>
          </cell>
          <cell r="O23">
            <v>568714</v>
          </cell>
        </row>
        <row r="24">
          <cell r="A24">
            <v>38450</v>
          </cell>
          <cell r="B24">
            <v>122</v>
          </cell>
          <cell r="C24">
            <v>39264</v>
          </cell>
          <cell r="D24" t="str">
            <v>Kapelvej 47</v>
          </cell>
          <cell r="F24">
            <v>19848</v>
          </cell>
          <cell r="H24">
            <v>0</v>
          </cell>
          <cell r="I24">
            <v>50000</v>
          </cell>
          <cell r="J24">
            <v>147</v>
          </cell>
          <cell r="K24">
            <v>40664</v>
          </cell>
          <cell r="L24" t="str">
            <v xml:space="preserve">ØK-KBS- Nørre Søgade 35                                         </v>
          </cell>
          <cell r="N24">
            <v>75760</v>
          </cell>
          <cell r="O24">
            <v>569044</v>
          </cell>
        </row>
        <row r="25">
          <cell r="A25">
            <v>60126</v>
          </cell>
          <cell r="B25">
            <v>128</v>
          </cell>
          <cell r="C25">
            <v>39815</v>
          </cell>
          <cell r="D25" t="str">
            <v>Bernstorffshus  (Ruth Denise Hansen)</v>
          </cell>
          <cell r="F25">
            <v>188112</v>
          </cell>
          <cell r="H25" t="str">
            <v>Fordeling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N25">
            <v>0</v>
          </cell>
        </row>
        <row r="26">
          <cell r="A26">
            <v>69707</v>
          </cell>
          <cell r="B26" t="str">
            <v>Posten 038</v>
          </cell>
          <cell r="C26">
            <v>41275</v>
          </cell>
          <cell r="D26" t="str">
            <v>SOF- Pengeafhentning til E-huset</v>
          </cell>
          <cell r="F26">
            <v>20000</v>
          </cell>
          <cell r="G26">
            <v>568474</v>
          </cell>
          <cell r="H26" t="str">
            <v>43,37 %</v>
          </cell>
          <cell r="I26">
            <v>31404</v>
          </cell>
          <cell r="J26">
            <v>758</v>
          </cell>
          <cell r="K26">
            <v>37500</v>
          </cell>
          <cell r="L26" t="str">
            <v xml:space="preserve">Jemtelandgade 3 KKU                                                </v>
          </cell>
          <cell r="N26">
            <v>47967</v>
          </cell>
          <cell r="O26">
            <v>568719</v>
          </cell>
        </row>
        <row r="27">
          <cell r="A27">
            <v>69707</v>
          </cell>
          <cell r="B27">
            <v>130</v>
          </cell>
          <cell r="C27">
            <v>39918</v>
          </cell>
          <cell r="D27" t="str">
            <v>Rådhuspladsen 77, 1+2. sal (Carsten Pauli Hansen)</v>
          </cell>
          <cell r="F27">
            <v>31349</v>
          </cell>
          <cell r="H27" t="str">
            <v>18,16%</v>
          </cell>
          <cell r="I27">
            <v>51302</v>
          </cell>
          <cell r="J27">
            <v>114</v>
          </cell>
          <cell r="K27">
            <v>40544</v>
          </cell>
          <cell r="L27" t="str">
            <v xml:space="preserve">Jemtelandgade 3 Kvarterløft                                        </v>
          </cell>
          <cell r="N27">
            <v>20082</v>
          </cell>
          <cell r="O27">
            <v>568725</v>
          </cell>
        </row>
        <row r="28">
          <cell r="A28">
            <v>53106</v>
          </cell>
          <cell r="B28">
            <v>123</v>
          </cell>
          <cell r="C28" t="str">
            <v>01-02.2015</v>
          </cell>
          <cell r="D28" t="str">
            <v>Bibliotek Blågårds Plads 5(57.487 fra 2016)</v>
          </cell>
          <cell r="F28">
            <v>52696</v>
          </cell>
          <cell r="G28">
            <v>653932</v>
          </cell>
          <cell r="H28" t="str">
            <v>38,47 %</v>
          </cell>
          <cell r="I28">
            <v>53204</v>
          </cell>
          <cell r="J28">
            <v>114</v>
          </cell>
          <cell r="K28">
            <v>40544</v>
          </cell>
          <cell r="L28" t="str">
            <v xml:space="preserve">Jemtelandgade 3 bibliotek                                           </v>
          </cell>
          <cell r="N28">
            <v>42693</v>
          </cell>
          <cell r="O28">
            <v>568731</v>
          </cell>
        </row>
        <row r="29">
          <cell r="A29">
            <v>17116</v>
          </cell>
          <cell r="B29">
            <v>132</v>
          </cell>
          <cell r="C29">
            <v>40057</v>
          </cell>
          <cell r="D29" t="str">
            <v>Hans Nansens Gård (Kejd)(FM)</v>
          </cell>
          <cell r="F29">
            <v>191611</v>
          </cell>
          <cell r="H29">
            <v>0</v>
          </cell>
          <cell r="I29">
            <v>62300</v>
          </cell>
          <cell r="J29">
            <v>149</v>
          </cell>
          <cell r="K29">
            <v>40544</v>
          </cell>
          <cell r="L29" t="str">
            <v xml:space="preserve">Spaniensgade 25, BFCK-Amager øst                           </v>
          </cell>
          <cell r="N29">
            <v>52662</v>
          </cell>
          <cell r="O29">
            <v>568737</v>
          </cell>
        </row>
        <row r="30">
          <cell r="A30">
            <v>0</v>
          </cell>
          <cell r="B30">
            <v>0</v>
          </cell>
          <cell r="C30">
            <v>39448</v>
          </cell>
          <cell r="D30" t="str">
            <v xml:space="preserve">Stormgade 18 (BUF)(fraflyttet 1-3-15-) </v>
          </cell>
          <cell r="F30">
            <v>0</v>
          </cell>
          <cell r="H30">
            <v>0</v>
          </cell>
          <cell r="I30">
            <v>62300</v>
          </cell>
          <cell r="J30">
            <v>148</v>
          </cell>
          <cell r="K30">
            <v>42005</v>
          </cell>
          <cell r="L30" t="str">
            <v xml:space="preserve">Remisevej 19, BFCK-Amager vest/nu Lyongade 25                              </v>
          </cell>
          <cell r="N30">
            <v>59243</v>
          </cell>
          <cell r="O30">
            <v>594306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F31">
            <v>0</v>
          </cell>
          <cell r="G31">
            <v>0</v>
          </cell>
          <cell r="H31">
            <v>0</v>
          </cell>
          <cell r="I31">
            <v>40530</v>
          </cell>
          <cell r="J31">
            <v>900</v>
          </cell>
          <cell r="K31">
            <v>38353</v>
          </cell>
          <cell r="L31" t="str">
            <v xml:space="preserve">Miljøkontrollen (tlf. eksp.)                                            </v>
          </cell>
          <cell r="N31">
            <v>4400</v>
          </cell>
          <cell r="O31">
            <v>568740</v>
          </cell>
        </row>
        <row r="32">
          <cell r="A32">
            <v>62200</v>
          </cell>
          <cell r="B32">
            <v>127</v>
          </cell>
          <cell r="C32">
            <v>41275</v>
          </cell>
          <cell r="D32" t="str">
            <v>Matthæusgade 1</v>
          </cell>
          <cell r="F32">
            <v>89099</v>
          </cell>
          <cell r="H32">
            <v>0</v>
          </cell>
          <cell r="I32">
            <v>38400</v>
          </cell>
          <cell r="J32">
            <v>138</v>
          </cell>
          <cell r="K32">
            <v>41640</v>
          </cell>
          <cell r="L32" t="str">
            <v xml:space="preserve">BUF-Linde Alle 40-44                                                  </v>
          </cell>
          <cell r="N32">
            <v>41055</v>
          </cell>
          <cell r="O32">
            <v>568747</v>
          </cell>
        </row>
        <row r="33">
          <cell r="A33">
            <v>39610</v>
          </cell>
          <cell r="B33">
            <v>153</v>
          </cell>
          <cell r="C33">
            <v>41275</v>
          </cell>
          <cell r="D33" t="str">
            <v>BUF Skolesupport</v>
          </cell>
          <cell r="F33">
            <v>165321</v>
          </cell>
          <cell r="H33">
            <v>0</v>
          </cell>
          <cell r="I33">
            <v>51308</v>
          </cell>
          <cell r="J33">
            <v>158</v>
          </cell>
          <cell r="K33">
            <v>41640</v>
          </cell>
          <cell r="L33" t="str">
            <v xml:space="preserve">Lyrskovgade 4                           </v>
          </cell>
          <cell r="N33">
            <v>86231</v>
          </cell>
          <cell r="O33">
            <v>568754</v>
          </cell>
        </row>
        <row r="34">
          <cell r="A34">
            <v>53201</v>
          </cell>
          <cell r="B34">
            <v>154</v>
          </cell>
          <cell r="C34">
            <v>41640</v>
          </cell>
          <cell r="D34" t="str">
            <v>KFF Biblioteket Njalsgade (Jan Henriksen)</v>
          </cell>
          <cell r="F34">
            <v>39599</v>
          </cell>
          <cell r="H34">
            <v>0</v>
          </cell>
          <cell r="I34">
            <v>55020</v>
          </cell>
          <cell r="J34">
            <v>115</v>
          </cell>
          <cell r="K34">
            <v>41456</v>
          </cell>
          <cell r="L34" t="str">
            <v xml:space="preserve">ØK-Borgerservice, Gyldenløvesgade 11                        </v>
          </cell>
          <cell r="N34">
            <v>29698</v>
          </cell>
          <cell r="O34">
            <v>568758</v>
          </cell>
        </row>
        <row r="35">
          <cell r="A35">
            <v>28100</v>
          </cell>
          <cell r="B35">
            <v>728</v>
          </cell>
          <cell r="C35">
            <v>38846</v>
          </cell>
          <cell r="D35" t="str">
            <v>Enghavevej  (Frits Nielsen)</v>
          </cell>
          <cell r="F35">
            <v>77615</v>
          </cell>
          <cell r="H35">
            <v>0</v>
          </cell>
          <cell r="I35">
            <v>17116</v>
          </cell>
          <cell r="J35">
            <v>110</v>
          </cell>
          <cell r="K35">
            <v>41456</v>
          </cell>
          <cell r="L35" t="str">
            <v xml:space="preserve">Konernservice- Fuglebakken, Borups Alle 177               </v>
          </cell>
          <cell r="N35">
            <v>178198</v>
          </cell>
          <cell r="O35">
            <v>568762</v>
          </cell>
        </row>
        <row r="36">
          <cell r="A36">
            <v>82500</v>
          </cell>
          <cell r="B36">
            <v>151</v>
          </cell>
          <cell r="C36">
            <v>40603</v>
          </cell>
          <cell r="D36" t="str">
            <v>BIF-Baldersgade 24  (Thomas D. Waarkjær)</v>
          </cell>
          <cell r="F36">
            <v>99820</v>
          </cell>
          <cell r="H36">
            <v>0</v>
          </cell>
          <cell r="I36">
            <v>20100</v>
          </cell>
          <cell r="J36" t="str">
            <v>Rådhuset</v>
          </cell>
          <cell r="K36">
            <v>40179</v>
          </cell>
          <cell r="L36" t="str">
            <v xml:space="preserve">SUF                  (Tanja K. Lund)                                  </v>
          </cell>
          <cell r="N36">
            <v>593534</v>
          </cell>
          <cell r="O36">
            <v>568792</v>
          </cell>
        </row>
        <row r="37">
          <cell r="A37">
            <v>82505</v>
          </cell>
          <cell r="B37">
            <v>152</v>
          </cell>
          <cell r="C37">
            <v>40603</v>
          </cell>
          <cell r="D37" t="str">
            <v>BIF-Baldersgade 3B, 1. + 3. sal</v>
          </cell>
          <cell r="F37">
            <v>43828</v>
          </cell>
          <cell r="H37">
            <v>0</v>
          </cell>
          <cell r="I37">
            <v>80005</v>
          </cell>
          <cell r="J37" t="str">
            <v>Rådhuset</v>
          </cell>
          <cell r="K37">
            <v>40179</v>
          </cell>
          <cell r="L37" t="str">
            <v xml:space="preserve">BIF                                                                          </v>
          </cell>
          <cell r="N37">
            <v>531920</v>
          </cell>
          <cell r="O37">
            <v>568799</v>
          </cell>
        </row>
        <row r="38">
          <cell r="A38">
            <v>62400</v>
          </cell>
          <cell r="B38">
            <v>141</v>
          </cell>
          <cell r="C38">
            <v>41640</v>
          </cell>
          <cell r="D38" t="str">
            <v>SOF-Nørre Voldgade 15, 1. sal (Avlastenok)</v>
          </cell>
          <cell r="F38">
            <v>24480</v>
          </cell>
          <cell r="H38">
            <v>0</v>
          </cell>
          <cell r="I38">
            <v>39630</v>
          </cell>
          <cell r="J38" t="str">
            <v>Rådhuset</v>
          </cell>
          <cell r="K38">
            <v>40179</v>
          </cell>
          <cell r="L38" t="str">
            <v xml:space="preserve">BUF                                                                          </v>
          </cell>
          <cell r="N38">
            <v>608354</v>
          </cell>
          <cell r="O38">
            <v>568811</v>
          </cell>
        </row>
        <row r="39">
          <cell r="A39">
            <v>37100</v>
          </cell>
          <cell r="B39">
            <v>142</v>
          </cell>
          <cell r="C39">
            <v>41640</v>
          </cell>
          <cell r="D39" t="str">
            <v>BUF-Nørre Voldgade 15, 2.sal (Thuesen)</v>
          </cell>
          <cell r="F39">
            <v>24480</v>
          </cell>
          <cell r="H39">
            <v>0</v>
          </cell>
          <cell r="I39">
            <v>49700</v>
          </cell>
          <cell r="J39" t="str">
            <v>Rådhuset</v>
          </cell>
          <cell r="K39">
            <v>40179</v>
          </cell>
          <cell r="L39" t="str">
            <v xml:space="preserve">TMF                                                                          </v>
          </cell>
          <cell r="N39">
            <v>570342</v>
          </cell>
          <cell r="O39">
            <v>568830</v>
          </cell>
        </row>
        <row r="40">
          <cell r="A40">
            <v>33410</v>
          </cell>
          <cell r="B40">
            <v>143</v>
          </cell>
          <cell r="C40">
            <v>41640</v>
          </cell>
          <cell r="D40" t="str">
            <v>BUF-Nørre Voldgade 15, 3. sal (Thor Larsen)</v>
          </cell>
          <cell r="F40">
            <v>24480</v>
          </cell>
          <cell r="H40">
            <v>0</v>
          </cell>
          <cell r="I40">
            <v>60126</v>
          </cell>
          <cell r="J40" t="str">
            <v>Rådhuset</v>
          </cell>
          <cell r="K40">
            <v>40179</v>
          </cell>
          <cell r="L40" t="str">
            <v xml:space="preserve">SOF                                                                          </v>
          </cell>
          <cell r="N40">
            <v>753911</v>
          </cell>
          <cell r="O40">
            <v>568852</v>
          </cell>
        </row>
        <row r="41">
          <cell r="A41">
            <v>0</v>
          </cell>
          <cell r="B41">
            <v>0</v>
          </cell>
          <cell r="C41">
            <v>40544</v>
          </cell>
          <cell r="D41" t="str">
            <v>SOF-Linne Gade 16, i port 2 (Ophørt Privat Lej)</v>
          </cell>
          <cell r="F41">
            <v>0</v>
          </cell>
          <cell r="G41">
            <v>0</v>
          </cell>
          <cell r="H41">
            <v>0</v>
          </cell>
          <cell r="I41">
            <v>11023</v>
          </cell>
          <cell r="J41" t="str">
            <v>Rådhuset</v>
          </cell>
          <cell r="K41">
            <v>40179</v>
          </cell>
          <cell r="L41" t="str">
            <v xml:space="preserve">ØKF                                                                          </v>
          </cell>
          <cell r="N41">
            <v>4329524</v>
          </cell>
          <cell r="O41">
            <v>568860</v>
          </cell>
        </row>
        <row r="42">
          <cell r="A42">
            <v>39851</v>
          </cell>
          <cell r="B42">
            <v>145</v>
          </cell>
          <cell r="C42">
            <v>41640</v>
          </cell>
          <cell r="D42" t="str">
            <v>BUF-Nørre Voldgade 15, 4.sal (Mikkelsen)</v>
          </cell>
          <cell r="F42">
            <v>24480</v>
          </cell>
          <cell r="H42">
            <v>0</v>
          </cell>
          <cell r="I42">
            <v>11023</v>
          </cell>
          <cell r="J42" t="str">
            <v>Rådhuset</v>
          </cell>
          <cell r="K42">
            <v>40179</v>
          </cell>
          <cell r="L42" t="str">
            <v xml:space="preserve">BR                                                                           </v>
          </cell>
          <cell r="N42">
            <v>1141734</v>
          </cell>
          <cell r="O42">
            <v>568866</v>
          </cell>
        </row>
        <row r="43">
          <cell r="A43">
            <v>69722</v>
          </cell>
          <cell r="B43">
            <v>146</v>
          </cell>
          <cell r="C43">
            <v>41640</v>
          </cell>
          <cell r="D43" t="str">
            <v>SOF-Nørre Voldgade 15, 5. sal (Ann Provis)</v>
          </cell>
          <cell r="F43">
            <v>4080</v>
          </cell>
          <cell r="H43">
            <v>0</v>
          </cell>
          <cell r="I43">
            <v>50000</v>
          </cell>
          <cell r="J43" t="str">
            <v>Rådhuset</v>
          </cell>
          <cell r="K43">
            <v>40179</v>
          </cell>
          <cell r="L43" t="str">
            <v xml:space="preserve">KFF                                                                          </v>
          </cell>
          <cell r="N43">
            <v>1131160</v>
          </cell>
          <cell r="O43">
            <v>568870</v>
          </cell>
        </row>
        <row r="44">
          <cell r="A44">
            <v>31139</v>
          </cell>
          <cell r="B44">
            <v>111</v>
          </cell>
          <cell r="C44">
            <v>40634</v>
          </cell>
          <cell r="D44" t="str">
            <v>BUF-Gasværksvej 22 (skole)</v>
          </cell>
          <cell r="F44">
            <v>61578</v>
          </cell>
          <cell r="H44">
            <v>0</v>
          </cell>
          <cell r="I44">
            <v>0</v>
          </cell>
          <cell r="J44" t="str">
            <v>Rådhuset</v>
          </cell>
          <cell r="K44">
            <v>40179</v>
          </cell>
          <cell r="L44" t="str">
            <v xml:space="preserve">Kejd (posteres) Rådhusservice på Rådhuset  </v>
          </cell>
          <cell r="N44">
            <v>636277</v>
          </cell>
          <cell r="O44">
            <v>0</v>
          </cell>
        </row>
        <row r="45">
          <cell r="A45">
            <v>0</v>
          </cell>
          <cell r="B45" t="str">
            <v>Forsættes i højre side</v>
          </cell>
          <cell r="F45">
            <v>2383140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N45">
            <v>0</v>
          </cell>
          <cell r="O45">
            <v>0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 t="str">
            <v>Årligt</v>
          </cell>
          <cell r="K46">
            <v>0</v>
          </cell>
          <cell r="L46">
            <v>0</v>
          </cell>
          <cell r="M46">
            <v>0</v>
          </cell>
          <cell r="N46">
            <v>13405196</v>
          </cell>
          <cell r="O46">
            <v>0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0</v>
          </cell>
          <cell r="J48" t="str">
            <v>Månedligt</v>
          </cell>
          <cell r="K48">
            <v>0</v>
          </cell>
          <cell r="L48">
            <v>0</v>
          </cell>
          <cell r="M48">
            <v>0</v>
          </cell>
          <cell r="N48">
            <v>1117099.6666666667</v>
          </cell>
        </row>
        <row r="49">
          <cell r="G49">
            <v>0</v>
          </cell>
          <cell r="H49">
            <v>0</v>
          </cell>
        </row>
        <row r="50">
          <cell r="G50">
            <v>0</v>
          </cell>
          <cell r="H50">
            <v>0</v>
          </cell>
        </row>
        <row r="51">
          <cell r="G51">
            <v>0</v>
          </cell>
          <cell r="H51">
            <v>0</v>
          </cell>
        </row>
        <row r="52">
          <cell r="G52">
            <v>0</v>
          </cell>
          <cell r="H52">
            <v>0</v>
          </cell>
        </row>
      </sheetData>
      <sheetData sheetId="1"/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Øvrige Kontrakter 2015"/>
      <sheetName val="Karsten Pøhl (ØKF)"/>
      <sheetName val="Koncern Service"/>
      <sheetName val="Ark2"/>
    </sheetNames>
    <sheetDataSet>
      <sheetData sheetId="0">
        <row r="44">
          <cell r="K44">
            <v>2964528</v>
          </cell>
        </row>
      </sheetData>
      <sheetData sheetId="1"/>
      <sheetData sheetId="2"/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Øvrige Kontrakter 2015"/>
      <sheetName val="Karsten Pøhl (ØKF)"/>
      <sheetName val="Koncern Service"/>
      <sheetName val="Ark2"/>
    </sheetNames>
    <sheetDataSet>
      <sheetData sheetId="0">
        <row r="44">
          <cell r="K44">
            <v>2911020</v>
          </cell>
        </row>
      </sheetData>
      <sheetData sheetId="1"/>
      <sheetData sheetId="2"/>
      <sheetData sheetId="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gt"/>
      <sheetName val="Rådhus"/>
      <sheetName val="Ark3"/>
      <sheetName val="År 2014 priser for Rådhusvagten"/>
    </sheetNames>
    <sheetDataSet>
      <sheetData sheetId="0">
        <row r="4">
          <cell r="A4" t="str">
            <v>Note 1: Fordeling  af intern betalingsordning på Rådhuset</v>
          </cell>
          <cell r="B4">
            <v>0</v>
          </cell>
          <cell r="C4">
            <v>0</v>
          </cell>
          <cell r="D4" t="str">
            <v>Årlig pris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0</v>
          </cell>
          <cell r="B5" t="str">
            <v>SOF</v>
          </cell>
          <cell r="C5">
            <v>0</v>
          </cell>
          <cell r="D5">
            <v>5449940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0</v>
          </cell>
          <cell r="B8">
            <v>0</v>
          </cell>
          <cell r="C8">
            <v>0</v>
          </cell>
          <cell r="D8">
            <v>0</v>
          </cell>
          <cell r="F8">
            <v>0</v>
          </cell>
          <cell r="G8">
            <v>0</v>
          </cell>
        </row>
        <row r="9">
          <cell r="A9">
            <v>0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A10">
            <v>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A11">
            <v>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 t="str">
            <v>Sort = ikke betalt eller genfremsendt</v>
          </cell>
          <cell r="F12">
            <v>0</v>
          </cell>
          <cell r="G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 t="str">
            <v>Grøn = Ikke betalt men genfremsendt</v>
          </cell>
          <cell r="F13">
            <v>0</v>
          </cell>
          <cell r="G13">
            <v>0</v>
          </cell>
        </row>
        <row r="14">
          <cell r="A14" t="str">
            <v>Årligt</v>
          </cell>
          <cell r="B14">
            <v>0</v>
          </cell>
          <cell r="C14">
            <v>0</v>
          </cell>
          <cell r="D14">
            <v>5449940</v>
          </cell>
          <cell r="E14" t="str">
            <v>Når org. Nr. er røde, er de betalt</v>
          </cell>
          <cell r="F14">
            <v>0</v>
          </cell>
          <cell r="G14">
            <v>0</v>
          </cell>
        </row>
        <row r="15">
          <cell r="A15" t="str">
            <v>Månedligt</v>
          </cell>
          <cell r="B15">
            <v>0</v>
          </cell>
          <cell r="C15">
            <v>0</v>
          </cell>
          <cell r="D15">
            <v>454161.66666666669</v>
          </cell>
          <cell r="E15" t="str">
            <v>Der er en pris fremskrivning/stigning på 1.3 % og ingen stigning på timepris påført for 2014</v>
          </cell>
          <cell r="K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</row>
        <row r="17">
          <cell r="A17">
            <v>0</v>
          </cell>
          <cell r="B17" t="str">
            <v xml:space="preserve">Note 2  Kontrakt kunder fast rundering 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 t="str">
            <v xml:space="preserve">Note 2  Kontrakt kunder fast rundering 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Org. Nr.</v>
          </cell>
          <cell r="B18" t="str">
            <v>Kontrakt nr.</v>
          </cell>
          <cell r="C18" t="str">
            <v>Start dato</v>
          </cell>
          <cell r="D18" t="str">
            <v>Adresse</v>
          </cell>
          <cell r="E18">
            <v>0</v>
          </cell>
          <cell r="F18" t="str">
            <v xml:space="preserve">Årlig pris  </v>
          </cell>
          <cell r="G18">
            <v>0</v>
          </cell>
          <cell r="H18">
            <v>0</v>
          </cell>
          <cell r="I18" t="str">
            <v>Org. Nr.</v>
          </cell>
          <cell r="J18" t="str">
            <v>Bygningsnr.</v>
          </cell>
          <cell r="K18" t="str">
            <v>V og I dato</v>
          </cell>
          <cell r="L18" t="str">
            <v>Adresse</v>
          </cell>
          <cell r="M18">
            <v>0</v>
          </cell>
          <cell r="N18" t="str">
            <v xml:space="preserve">Årlig pris  </v>
          </cell>
        </row>
        <row r="19">
          <cell r="A19" t="str">
            <v>64715</v>
          </cell>
          <cell r="B19">
            <v>112</v>
          </cell>
          <cell r="C19">
            <v>37956</v>
          </cell>
          <cell r="D19" t="str">
            <v>Røde Mellemvej 52 (Søren Rasmussen)</v>
          </cell>
          <cell r="F19">
            <v>122161</v>
          </cell>
          <cell r="G19">
            <v>398701</v>
          </cell>
          <cell r="H19">
            <v>0</v>
          </cell>
          <cell r="I19" t="str">
            <v>Fortsat</v>
          </cell>
          <cell r="N19">
            <v>2314515</v>
          </cell>
        </row>
        <row r="20">
          <cell r="A20" t="str">
            <v>37567</v>
          </cell>
          <cell r="B20">
            <v>113</v>
          </cell>
          <cell r="C20">
            <v>38012</v>
          </cell>
          <cell r="D20" t="str">
            <v>Studsgårdsgade 55</v>
          </cell>
          <cell r="F20">
            <v>148969</v>
          </cell>
          <cell r="G20">
            <v>398707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>
            <v>23140</v>
          </cell>
          <cell r="B21">
            <v>116</v>
          </cell>
          <cell r="C21">
            <v>38412</v>
          </cell>
          <cell r="D21" t="str">
            <v>Amagerbrogade 150</v>
          </cell>
          <cell r="F21">
            <v>63443</v>
          </cell>
          <cell r="G21">
            <v>398723</v>
          </cell>
          <cell r="H21">
            <v>0</v>
          </cell>
          <cell r="I21">
            <v>62300</v>
          </cell>
          <cell r="J21">
            <v>150</v>
          </cell>
          <cell r="K21">
            <v>38047</v>
          </cell>
          <cell r="L21" t="str">
            <v>Brønshøjvej 17 - 19, SOF, BFCK-Brønshøj-Husum-Vanløse               (399318)</v>
          </cell>
          <cell r="N21">
            <v>65016</v>
          </cell>
        </row>
        <row r="22">
          <cell r="A22">
            <v>54190</v>
          </cell>
          <cell r="B22">
            <v>119</v>
          </cell>
          <cell r="C22">
            <v>41395</v>
          </cell>
          <cell r="D22" t="str">
            <v>Hvide Kødby(rundering)</v>
          </cell>
          <cell r="F22">
            <v>757052</v>
          </cell>
          <cell r="G22">
            <v>398735</v>
          </cell>
          <cell r="H22">
            <v>0</v>
          </cell>
          <cell r="I22">
            <v>22803</v>
          </cell>
          <cell r="J22" t="str">
            <v>747a</v>
          </cell>
          <cell r="K22">
            <v>38048</v>
          </cell>
          <cell r="L22" t="str">
            <v>Brønshøjvej 17 - 19, Sundhed (Løven)(Opsagt,slut 30-6-14)(399322)</v>
          </cell>
          <cell r="N22">
            <v>10292</v>
          </cell>
        </row>
        <row r="23">
          <cell r="A23">
            <v>62300</v>
          </cell>
          <cell r="B23">
            <v>121</v>
          </cell>
          <cell r="C23">
            <v>39264</v>
          </cell>
          <cell r="D23" t="str">
            <v>Griffenfeldsgade 44</v>
          </cell>
          <cell r="F23">
            <v>103263</v>
          </cell>
          <cell r="G23">
            <v>398760</v>
          </cell>
          <cell r="H23">
            <v>0</v>
          </cell>
          <cell r="I23">
            <v>38910</v>
          </cell>
          <cell r="J23" t="str">
            <v>747b</v>
          </cell>
          <cell r="K23">
            <v>38047</v>
          </cell>
          <cell r="L23" t="str">
            <v>Brønshøjvej 17 - 19, Tandlæge  (Sara Marie Jacobsen)  (437987)</v>
          </cell>
          <cell r="N23">
            <v>20584</v>
          </cell>
        </row>
        <row r="24">
          <cell r="A24">
            <v>38450</v>
          </cell>
          <cell r="B24">
            <v>122</v>
          </cell>
          <cell r="C24">
            <v>39264</v>
          </cell>
          <cell r="D24" t="str">
            <v>Kapelvej 47</v>
          </cell>
          <cell r="F24">
            <v>19459</v>
          </cell>
          <cell r="G24">
            <v>398765</v>
          </cell>
          <cell r="H24">
            <v>0</v>
          </cell>
          <cell r="I24">
            <v>11820</v>
          </cell>
          <cell r="J24">
            <v>147</v>
          </cell>
          <cell r="K24">
            <v>40664</v>
          </cell>
          <cell r="L24" t="str">
            <v>ØK-KBS- Nørre Søgade 35                                         (399335)</v>
          </cell>
          <cell r="N24">
            <v>74275</v>
          </cell>
        </row>
        <row r="25">
          <cell r="A25">
            <v>60109</v>
          </cell>
          <cell r="B25">
            <v>128</v>
          </cell>
          <cell r="C25">
            <v>39815</v>
          </cell>
          <cell r="D25" t="str">
            <v>Bernstorffshus  (Ruth Denise Hansen)</v>
          </cell>
          <cell r="F25">
            <v>184424</v>
          </cell>
          <cell r="G25" t="str">
            <v>437979</v>
          </cell>
          <cell r="H25" t="str">
            <v>Fordeling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N25">
            <v>0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F26">
            <v>0</v>
          </cell>
          <cell r="G26">
            <v>0</v>
          </cell>
          <cell r="H26" t="str">
            <v>43,37 %</v>
          </cell>
          <cell r="I26">
            <v>31404</v>
          </cell>
          <cell r="J26">
            <v>758</v>
          </cell>
          <cell r="K26">
            <v>37500</v>
          </cell>
          <cell r="L26" t="str">
            <v>Jemtelandgade 3 KKU                                                (399342)</v>
          </cell>
          <cell r="N26">
            <v>41394</v>
          </cell>
        </row>
        <row r="27">
          <cell r="A27">
            <v>69707</v>
          </cell>
          <cell r="B27">
            <v>130</v>
          </cell>
          <cell r="C27">
            <v>39918</v>
          </cell>
          <cell r="D27" t="str">
            <v>Rådhuspladsen 77, 1+2. sal (Carsten Pauli Hansen)</v>
          </cell>
          <cell r="F27">
            <v>30735</v>
          </cell>
          <cell r="G27" t="str">
            <v>419415</v>
          </cell>
          <cell r="H27" t="str">
            <v>18,16%</v>
          </cell>
          <cell r="I27">
            <v>51302</v>
          </cell>
          <cell r="J27">
            <v>114</v>
          </cell>
          <cell r="K27">
            <v>40544</v>
          </cell>
          <cell r="L27" t="str">
            <v>Jemtelandgade 3 Kvarterløft                                        (339347)</v>
          </cell>
          <cell r="N27">
            <v>17330</v>
          </cell>
        </row>
        <row r="28">
          <cell r="A28">
            <v>0</v>
          </cell>
          <cell r="B28">
            <v>0</v>
          </cell>
          <cell r="C28">
            <v>0</v>
          </cell>
          <cell r="D28">
            <v>0</v>
          </cell>
          <cell r="F28">
            <v>0</v>
          </cell>
          <cell r="G28">
            <v>0</v>
          </cell>
          <cell r="H28" t="str">
            <v>38,47 %</v>
          </cell>
          <cell r="I28">
            <v>53204</v>
          </cell>
          <cell r="J28">
            <v>114</v>
          </cell>
          <cell r="K28">
            <v>40544</v>
          </cell>
          <cell r="L28" t="str">
            <v>Jemtelandgade 3 bibliotek                                           (399355)</v>
          </cell>
          <cell r="N28">
            <v>36865</v>
          </cell>
        </row>
        <row r="29">
          <cell r="A29">
            <v>54116</v>
          </cell>
          <cell r="B29">
            <v>132</v>
          </cell>
          <cell r="C29">
            <v>40057</v>
          </cell>
          <cell r="D29" t="str">
            <v>Hans Nansens Gård (Kejd)(FM)</v>
          </cell>
          <cell r="F29">
            <v>187854</v>
          </cell>
          <cell r="G29">
            <v>399143</v>
          </cell>
          <cell r="H29">
            <v>0</v>
          </cell>
          <cell r="I29">
            <v>62300</v>
          </cell>
          <cell r="J29">
            <v>149</v>
          </cell>
          <cell r="K29">
            <v>40544</v>
          </cell>
          <cell r="L29" t="str">
            <v>Spaniensgade 25, BFCK-Amager øst                           (399390)</v>
          </cell>
          <cell r="N29">
            <v>51630</v>
          </cell>
        </row>
        <row r="30">
          <cell r="A30">
            <v>38050</v>
          </cell>
          <cell r="B30" t="str">
            <v>724 a</v>
          </cell>
          <cell r="C30">
            <v>39448</v>
          </cell>
          <cell r="D30" t="str">
            <v>Stormgade 18 (BUF)</v>
          </cell>
          <cell r="F30">
            <v>31603</v>
          </cell>
          <cell r="G30" t="str">
            <v>418541</v>
          </cell>
          <cell r="H30">
            <v>0</v>
          </cell>
          <cell r="I30">
            <v>62300</v>
          </cell>
          <cell r="J30">
            <v>148</v>
          </cell>
          <cell r="K30">
            <v>40544</v>
          </cell>
          <cell r="L30" t="str">
            <v>Remisevej 19, BFCK-Amager vest                               (438042)</v>
          </cell>
          <cell r="N30">
            <v>59243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F31">
            <v>0</v>
          </cell>
          <cell r="G31">
            <v>0</v>
          </cell>
          <cell r="H31">
            <v>0</v>
          </cell>
          <cell r="I31">
            <v>40530</v>
          </cell>
          <cell r="J31">
            <v>900</v>
          </cell>
          <cell r="K31">
            <v>38353</v>
          </cell>
          <cell r="L31" t="str">
            <v>Miljøkontrollen (tlf. eksp.)                                            (419762)</v>
          </cell>
          <cell r="N31">
            <v>4306</v>
          </cell>
        </row>
        <row r="32">
          <cell r="A32">
            <v>62200</v>
          </cell>
          <cell r="B32">
            <v>127</v>
          </cell>
          <cell r="C32">
            <v>41275</v>
          </cell>
          <cell r="D32" t="str">
            <v>Matthæusgade 1</v>
          </cell>
          <cell r="F32">
            <v>87352</v>
          </cell>
          <cell r="G32">
            <v>399169</v>
          </cell>
          <cell r="H32">
            <v>0</v>
          </cell>
          <cell r="I32">
            <v>38400</v>
          </cell>
          <cell r="J32">
            <v>138</v>
          </cell>
          <cell r="K32">
            <v>41640</v>
          </cell>
          <cell r="L32" t="str">
            <v>BUF-Linde Alle 40-44                                                  (399520)</v>
          </cell>
          <cell r="N32">
            <v>40250</v>
          </cell>
        </row>
        <row r="33">
          <cell r="A33">
            <v>39610</v>
          </cell>
          <cell r="B33">
            <v>153</v>
          </cell>
          <cell r="C33">
            <v>41275</v>
          </cell>
          <cell r="D33" t="str">
            <v>BUF Skolesupport</v>
          </cell>
          <cell r="F33">
            <v>162080</v>
          </cell>
          <cell r="G33">
            <v>399171</v>
          </cell>
          <cell r="H33">
            <v>0</v>
          </cell>
          <cell r="I33">
            <v>51308</v>
          </cell>
          <cell r="J33">
            <v>158</v>
          </cell>
          <cell r="K33">
            <v>41640</v>
          </cell>
          <cell r="L33" t="str">
            <v>Lyrskovgade 4         Fra 2015. 86.231 årligt                  (399529)</v>
          </cell>
          <cell r="N33">
            <v>79045</v>
          </cell>
        </row>
        <row r="34">
          <cell r="A34">
            <v>53201</v>
          </cell>
          <cell r="B34">
            <v>154</v>
          </cell>
          <cell r="C34">
            <v>41640</v>
          </cell>
          <cell r="D34" t="str">
            <v>KFF Biblioteket Njalsgade (Jan Henriksen)</v>
          </cell>
          <cell r="F34">
            <v>38823</v>
          </cell>
          <cell r="G34">
            <v>399175</v>
          </cell>
          <cell r="H34">
            <v>0</v>
          </cell>
          <cell r="I34">
            <v>55020</v>
          </cell>
          <cell r="J34">
            <v>115</v>
          </cell>
          <cell r="K34">
            <v>41456</v>
          </cell>
          <cell r="L34" t="str">
            <v>ØK-Borgerservice, Gyldenløvesgade 11                        (399533)</v>
          </cell>
          <cell r="N34">
            <v>29116</v>
          </cell>
        </row>
        <row r="35">
          <cell r="A35">
            <v>28100</v>
          </cell>
          <cell r="B35">
            <v>728</v>
          </cell>
          <cell r="C35">
            <v>38846</v>
          </cell>
          <cell r="D35" t="str">
            <v>Enghavevej  (Frits Nielsen)</v>
          </cell>
          <cell r="F35">
            <v>76094</v>
          </cell>
          <cell r="G35">
            <v>399180</v>
          </cell>
          <cell r="H35">
            <v>0</v>
          </cell>
          <cell r="I35">
            <v>54116</v>
          </cell>
          <cell r="J35">
            <v>110</v>
          </cell>
          <cell r="K35">
            <v>41456</v>
          </cell>
          <cell r="L35" t="str">
            <v>Konernservice- Fuglebakken, Borups Alle 177               (399536)</v>
          </cell>
          <cell r="N35">
            <v>174704</v>
          </cell>
        </row>
        <row r="36">
          <cell r="A36">
            <v>82500</v>
          </cell>
          <cell r="B36">
            <v>151</v>
          </cell>
          <cell r="C36">
            <v>40603</v>
          </cell>
          <cell r="D36" t="str">
            <v>BIF-Baldersgade 24  (Thomas D. Waarkjær)</v>
          </cell>
          <cell r="F36">
            <v>97863</v>
          </cell>
          <cell r="G36" t="str">
            <v>418360</v>
          </cell>
          <cell r="H36">
            <v>0</v>
          </cell>
          <cell r="I36">
            <v>20100</v>
          </cell>
          <cell r="J36" t="str">
            <v>Rådhuset</v>
          </cell>
          <cell r="K36">
            <v>40179</v>
          </cell>
          <cell r="L36" t="str">
            <v>SUF                  (Tanja K. Lund)                                  (399639)</v>
          </cell>
          <cell r="N36">
            <v>581897</v>
          </cell>
        </row>
        <row r="37">
          <cell r="A37">
            <v>82505</v>
          </cell>
          <cell r="B37">
            <v>152</v>
          </cell>
          <cell r="C37">
            <v>40603</v>
          </cell>
          <cell r="D37" t="str">
            <v>BIF-Baldersgade 3B, 1. + 3. sal</v>
          </cell>
          <cell r="F37">
            <v>42969</v>
          </cell>
          <cell r="G37" t="str">
            <v>419317</v>
          </cell>
          <cell r="H37">
            <v>0</v>
          </cell>
          <cell r="I37">
            <v>80005</v>
          </cell>
          <cell r="J37" t="str">
            <v>Rådhuset</v>
          </cell>
          <cell r="K37">
            <v>40179</v>
          </cell>
          <cell r="L37" t="str">
            <v>BIF                                                                           (418351)</v>
          </cell>
          <cell r="N37">
            <v>521491</v>
          </cell>
        </row>
        <row r="38">
          <cell r="A38">
            <v>62400</v>
          </cell>
          <cell r="B38">
            <v>141</v>
          </cell>
          <cell r="C38">
            <v>41640</v>
          </cell>
          <cell r="D38" t="str">
            <v>SOF-Nørre Voldgade 15, 1. sal (Avlastenok)</v>
          </cell>
          <cell r="F38">
            <v>24000</v>
          </cell>
          <cell r="G38">
            <v>399218</v>
          </cell>
          <cell r="H38">
            <v>0</v>
          </cell>
          <cell r="I38">
            <v>39630</v>
          </cell>
          <cell r="J38" t="str">
            <v>Rådhuset</v>
          </cell>
          <cell r="K38">
            <v>40179</v>
          </cell>
          <cell r="L38" t="str">
            <v>BUF                                                                          (399651)</v>
          </cell>
          <cell r="N38">
            <v>596426</v>
          </cell>
        </row>
        <row r="39">
          <cell r="A39">
            <v>37100</v>
          </cell>
          <cell r="B39">
            <v>142</v>
          </cell>
          <cell r="C39">
            <v>41640</v>
          </cell>
          <cell r="D39" t="str">
            <v>BUF-Nørre Voldgade 15, 2.sal (Thuesen)</v>
          </cell>
          <cell r="F39">
            <v>24000</v>
          </cell>
          <cell r="G39">
            <v>399221</v>
          </cell>
          <cell r="H39">
            <v>0</v>
          </cell>
          <cell r="I39">
            <v>49700</v>
          </cell>
          <cell r="J39" t="str">
            <v>Rådhuset</v>
          </cell>
          <cell r="K39">
            <v>40179</v>
          </cell>
          <cell r="L39" t="str">
            <v>TMF                                                                          (417654)</v>
          </cell>
          <cell r="N39">
            <v>559159</v>
          </cell>
        </row>
        <row r="40">
          <cell r="A40">
            <v>33410</v>
          </cell>
          <cell r="B40">
            <v>143</v>
          </cell>
          <cell r="C40">
            <v>41640</v>
          </cell>
          <cell r="D40" t="str">
            <v>BUF-Nørre Voldgade 15, 3. sal (Thor Larsen)</v>
          </cell>
          <cell r="F40">
            <v>24000</v>
          </cell>
          <cell r="G40">
            <v>399225</v>
          </cell>
          <cell r="H40">
            <v>0</v>
          </cell>
          <cell r="I40">
            <v>60109</v>
          </cell>
          <cell r="J40" t="str">
            <v>Rådhuset</v>
          </cell>
          <cell r="K40">
            <v>40179</v>
          </cell>
          <cell r="L40" t="str">
            <v>SOF                                                                          (399669)</v>
          </cell>
          <cell r="N40">
            <v>739129</v>
          </cell>
        </row>
        <row r="41">
          <cell r="A41">
            <v>62300</v>
          </cell>
          <cell r="B41">
            <v>144</v>
          </cell>
          <cell r="C41">
            <v>40544</v>
          </cell>
          <cell r="D41" t="str">
            <v>SOF-Linne Gade 16, i port 2 (Ophørt Privat Lej)</v>
          </cell>
          <cell r="F41">
            <v>0</v>
          </cell>
          <cell r="G41">
            <v>0</v>
          </cell>
          <cell r="H41">
            <v>0</v>
          </cell>
          <cell r="I41">
            <v>11023</v>
          </cell>
          <cell r="J41" t="str">
            <v>Rådhuset</v>
          </cell>
          <cell r="K41">
            <v>40179</v>
          </cell>
          <cell r="L41" t="str">
            <v>ØKF                                                                          (399675)</v>
          </cell>
          <cell r="N41">
            <v>4244632</v>
          </cell>
        </row>
        <row r="42">
          <cell r="A42">
            <v>39851</v>
          </cell>
          <cell r="B42">
            <v>145</v>
          </cell>
          <cell r="C42">
            <v>41640</v>
          </cell>
          <cell r="D42" t="str">
            <v>BUF-Nørre Voldgade 15, 4.sal (Mikkelsen)</v>
          </cell>
          <cell r="F42">
            <v>24000</v>
          </cell>
          <cell r="G42">
            <v>399228</v>
          </cell>
          <cell r="H42">
            <v>0</v>
          </cell>
          <cell r="I42">
            <v>11023</v>
          </cell>
          <cell r="J42" t="str">
            <v>Rådhuset</v>
          </cell>
          <cell r="K42">
            <v>40179</v>
          </cell>
          <cell r="L42" t="str">
            <v>BR                                                                            (399679)</v>
          </cell>
          <cell r="N42">
            <v>1119348</v>
          </cell>
        </row>
        <row r="43">
          <cell r="A43">
            <v>69722</v>
          </cell>
          <cell r="B43">
            <v>146</v>
          </cell>
          <cell r="C43">
            <v>41640</v>
          </cell>
          <cell r="D43" t="str">
            <v>SOF-Nørre Voldgade 15, 5. sal (Ann Provis)</v>
          </cell>
          <cell r="F43">
            <v>4000</v>
          </cell>
          <cell r="G43">
            <v>399231</v>
          </cell>
          <cell r="H43">
            <v>0</v>
          </cell>
          <cell r="I43">
            <v>50000</v>
          </cell>
          <cell r="J43" t="str">
            <v>Rådhuset</v>
          </cell>
          <cell r="K43">
            <v>40179</v>
          </cell>
          <cell r="L43" t="str">
            <v>KFF                                                                          (456784)</v>
          </cell>
          <cell r="N43">
            <v>1108980.55</v>
          </cell>
        </row>
        <row r="44">
          <cell r="A44">
            <v>31139</v>
          </cell>
          <cell r="B44">
            <v>111</v>
          </cell>
          <cell r="C44">
            <v>40634</v>
          </cell>
          <cell r="D44" t="str">
            <v>BUF-Gasværksvej 22 (skole)</v>
          </cell>
          <cell r="F44">
            <v>60371</v>
          </cell>
          <cell r="G44" t="str">
            <v>417611</v>
          </cell>
          <cell r="H44">
            <v>0</v>
          </cell>
          <cell r="I44">
            <v>0</v>
          </cell>
          <cell r="J44" t="str">
            <v>Rådhuset</v>
          </cell>
          <cell r="K44">
            <v>40179</v>
          </cell>
          <cell r="L44" t="str">
            <v>Kejd (posteres) Rådhusservice på Rådhuset  (Postering godkendt)</v>
          </cell>
          <cell r="N44">
            <v>623801.44999999995</v>
          </cell>
        </row>
        <row r="45">
          <cell r="A45">
            <v>0</v>
          </cell>
          <cell r="B45" t="str">
            <v>Forsættes i højre side</v>
          </cell>
          <cell r="C45">
            <v>0</v>
          </cell>
          <cell r="D45">
            <v>0</v>
          </cell>
          <cell r="E45">
            <v>0</v>
          </cell>
          <cell r="F45">
            <v>2314515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N45">
            <v>0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 t="str">
            <v>Årligt</v>
          </cell>
          <cell r="K46">
            <v>0</v>
          </cell>
          <cell r="L46">
            <v>0</v>
          </cell>
          <cell r="M46">
            <v>0</v>
          </cell>
          <cell r="N46">
            <v>13113429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H48">
            <v>0</v>
          </cell>
          <cell r="J48" t="str">
            <v>Månedligt</v>
          </cell>
          <cell r="K48">
            <v>0</v>
          </cell>
          <cell r="L48">
            <v>0</v>
          </cell>
          <cell r="M48">
            <v>0</v>
          </cell>
          <cell r="N48">
            <v>1092785.75</v>
          </cell>
        </row>
      </sheetData>
      <sheetData sheetId="1"/>
      <sheetData sheetId="2"/>
      <sheetData sheetId="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Øvrige Kontrakter 2014"/>
      <sheetName val="Karsten Pøhl (ØKF)"/>
      <sheetName val="Koncern Service"/>
      <sheetName val="Ark2"/>
    </sheetNames>
    <sheetDataSet>
      <sheetData sheetId="0">
        <row r="44">
          <cell r="K44">
            <v>2820007</v>
          </cell>
        </row>
      </sheetData>
      <sheetData sheetId="1"/>
      <sheetData sheetId="2"/>
      <sheetData sheetId="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gt"/>
      <sheetName val="Rådhus"/>
      <sheetName val="Ark3"/>
    </sheetNames>
    <sheetDataSet>
      <sheetData sheetId="0">
        <row r="4">
          <cell r="A4" t="str">
            <v>Note 1: Fordeling  af intern betalingsordning på Rådhuset</v>
          </cell>
          <cell r="D4" t="str">
            <v>Årlig pris</v>
          </cell>
          <cell r="J4" t="str">
            <v xml:space="preserve">Note 2  Kontrakt kunder fast rundering </v>
          </cell>
        </row>
        <row r="5">
          <cell r="B5" t="str">
            <v>Rådhuset</v>
          </cell>
          <cell r="D5">
            <v>9775928</v>
          </cell>
          <cell r="I5" t="str">
            <v>Org. Nr.</v>
          </cell>
          <cell r="J5" t="str">
            <v>Bygningsnr.</v>
          </cell>
          <cell r="K5" t="str">
            <v>V og I dato</v>
          </cell>
          <cell r="L5" t="str">
            <v>Adresse</v>
          </cell>
          <cell r="N5" t="str">
            <v xml:space="preserve">Årlig pris  </v>
          </cell>
        </row>
        <row r="6">
          <cell r="I6" t="str">
            <v>Fortsat</v>
          </cell>
          <cell r="N6">
            <v>3332749</v>
          </cell>
        </row>
        <row r="7">
          <cell r="A7" t="str">
            <v>Årligt</v>
          </cell>
          <cell r="D7">
            <v>9775928</v>
          </cell>
        </row>
        <row r="8">
          <cell r="A8" t="str">
            <v>Månedligt</v>
          </cell>
          <cell r="D8">
            <v>814660.66666666663</v>
          </cell>
          <cell r="E8" t="str">
            <v>Når org. Nr. er røde, er de betalt</v>
          </cell>
          <cell r="I8">
            <v>62300</v>
          </cell>
          <cell r="J8">
            <v>150</v>
          </cell>
          <cell r="K8">
            <v>38047</v>
          </cell>
          <cell r="L8" t="str">
            <v>Brønshøjvej 17 - 19, SOF, BFCK-Brønshøj-Husum-Vanløse</v>
          </cell>
          <cell r="N8">
            <v>63079</v>
          </cell>
        </row>
        <row r="9">
          <cell r="E9" t="str">
            <v>Der er den 17. februar 2012 lagt 1.9% på alle</v>
          </cell>
          <cell r="I9">
            <v>22803</v>
          </cell>
          <cell r="J9" t="str">
            <v>747a</v>
          </cell>
          <cell r="K9">
            <v>38048</v>
          </cell>
          <cell r="L9" t="str">
            <v>Brønshøjvej 17 - 19, Sundhed (Løven)</v>
          </cell>
          <cell r="N9">
            <v>19971</v>
          </cell>
        </row>
        <row r="10">
          <cell r="I10">
            <v>38910</v>
          </cell>
          <cell r="J10" t="str">
            <v>747b</v>
          </cell>
          <cell r="K10">
            <v>38047</v>
          </cell>
          <cell r="L10" t="str">
            <v>Brønshøjvej 17 - 19, Tandlæge</v>
          </cell>
          <cell r="N10">
            <v>19971</v>
          </cell>
        </row>
        <row r="11">
          <cell r="B11" t="str">
            <v xml:space="preserve">Note 2  Kontrakt kunder fast rundering </v>
          </cell>
          <cell r="I11">
            <v>11820</v>
          </cell>
          <cell r="J11">
            <v>147</v>
          </cell>
          <cell r="K11">
            <v>40664</v>
          </cell>
          <cell r="L11" t="str">
            <v>ØK-KBS- Nørre Søgade 35</v>
          </cell>
          <cell r="N11">
            <v>72061</v>
          </cell>
        </row>
        <row r="12">
          <cell r="A12" t="str">
            <v>Org. Nr.</v>
          </cell>
          <cell r="B12" t="str">
            <v>Kontrakt nr.</v>
          </cell>
          <cell r="C12" t="str">
            <v>Start dato</v>
          </cell>
          <cell r="D12" t="str">
            <v>Adresse</v>
          </cell>
          <cell r="F12" t="str">
            <v xml:space="preserve">Årlig pris  </v>
          </cell>
          <cell r="H12" t="str">
            <v>Fordeling</v>
          </cell>
        </row>
        <row r="13">
          <cell r="A13" t="str">
            <v>64715</v>
          </cell>
          <cell r="B13">
            <v>112</v>
          </cell>
          <cell r="C13">
            <v>37956</v>
          </cell>
          <cell r="D13" t="str">
            <v>Røde Mellemvej 52</v>
          </cell>
          <cell r="F13">
            <v>118520</v>
          </cell>
          <cell r="H13" t="str">
            <v>43,37 %</v>
          </cell>
          <cell r="I13">
            <v>31404</v>
          </cell>
          <cell r="J13">
            <v>758</v>
          </cell>
          <cell r="K13">
            <v>37500</v>
          </cell>
          <cell r="L13" t="str">
            <v>Jemtelandgade 3 KKU</v>
          </cell>
          <cell r="N13">
            <v>40161</v>
          </cell>
        </row>
        <row r="14">
          <cell r="A14" t="str">
            <v>37567</v>
          </cell>
          <cell r="B14">
            <v>113</v>
          </cell>
          <cell r="C14">
            <v>38012</v>
          </cell>
          <cell r="D14" t="str">
            <v>Studsgårdsgade 55</v>
          </cell>
          <cell r="H14" t="str">
            <v>18,16%</v>
          </cell>
          <cell r="I14">
            <v>51302</v>
          </cell>
          <cell r="J14">
            <v>114</v>
          </cell>
          <cell r="K14">
            <v>40544</v>
          </cell>
          <cell r="L14" t="str">
            <v>Jemtelandgade 3 Kvarterløft</v>
          </cell>
          <cell r="N14">
            <v>16814</v>
          </cell>
        </row>
        <row r="15">
          <cell r="A15">
            <v>23140</v>
          </cell>
          <cell r="B15">
            <v>116</v>
          </cell>
          <cell r="C15">
            <v>38412</v>
          </cell>
          <cell r="D15" t="str">
            <v>Amagerbrogade 150</v>
          </cell>
          <cell r="I15">
            <v>53204</v>
          </cell>
          <cell r="J15">
            <v>114</v>
          </cell>
          <cell r="K15">
            <v>40544</v>
          </cell>
          <cell r="L15" t="str">
            <v>Jemtelandgade 3 bibliotek</v>
          </cell>
          <cell r="N15">
            <v>35767</v>
          </cell>
        </row>
        <row r="16">
          <cell r="A16">
            <v>54100</v>
          </cell>
          <cell r="B16">
            <v>119</v>
          </cell>
          <cell r="C16">
            <v>38808</v>
          </cell>
          <cell r="D16" t="str">
            <v>Hvide Kødby(vagter)</v>
          </cell>
          <cell r="F16">
            <v>1662560</v>
          </cell>
          <cell r="I16">
            <v>62300</v>
          </cell>
          <cell r="J16">
            <v>149</v>
          </cell>
          <cell r="K16">
            <v>40544</v>
          </cell>
          <cell r="L16" t="str">
            <v>Spaniensgade 25, BFCK-Amager øst</v>
          </cell>
          <cell r="N16">
            <v>50092</v>
          </cell>
        </row>
        <row r="17">
          <cell r="A17">
            <v>62300</v>
          </cell>
          <cell r="B17">
            <v>121</v>
          </cell>
          <cell r="I17">
            <v>62300</v>
          </cell>
          <cell r="J17">
            <v>148</v>
          </cell>
          <cell r="K17">
            <v>40544</v>
          </cell>
          <cell r="L17" t="str">
            <v>Remisevej 19, BFCK-Amager vest</v>
          </cell>
          <cell r="N17">
            <v>57478</v>
          </cell>
        </row>
        <row r="18">
          <cell r="A18">
            <v>38450</v>
          </cell>
          <cell r="B18">
            <v>122</v>
          </cell>
          <cell r="C18">
            <v>39264</v>
          </cell>
          <cell r="D18" t="str">
            <v>Kapelvej 47</v>
          </cell>
          <cell r="F18">
            <v>18880</v>
          </cell>
          <cell r="I18">
            <v>40010</v>
          </cell>
          <cell r="J18">
            <v>900</v>
          </cell>
          <cell r="K18">
            <v>38353</v>
          </cell>
          <cell r="L18" t="str">
            <v>Miljøkontrollen (tlf. eksp.)</v>
          </cell>
          <cell r="N18">
            <v>4178</v>
          </cell>
        </row>
        <row r="19">
          <cell r="A19">
            <v>60109</v>
          </cell>
          <cell r="B19">
            <v>128</v>
          </cell>
          <cell r="C19">
            <v>39815</v>
          </cell>
          <cell r="D19" t="str">
            <v>Bernstorffshus</v>
          </cell>
          <cell r="F19">
            <v>178927</v>
          </cell>
          <cell r="I19">
            <v>38400</v>
          </cell>
          <cell r="J19">
            <v>138</v>
          </cell>
          <cell r="K19">
            <v>40544</v>
          </cell>
          <cell r="L19" t="str">
            <v>BUF-Linde Alle 40-44</v>
          </cell>
          <cell r="N19">
            <v>29289</v>
          </cell>
        </row>
        <row r="20">
          <cell r="A20">
            <v>37105</v>
          </cell>
          <cell r="B20">
            <v>129</v>
          </cell>
          <cell r="C20">
            <v>39904</v>
          </cell>
          <cell r="D20" t="str">
            <v>Vester Voldgade 87, 3. sal</v>
          </cell>
          <cell r="F20">
            <v>19252</v>
          </cell>
          <cell r="I20">
            <v>37103</v>
          </cell>
          <cell r="J20">
            <v>139</v>
          </cell>
          <cell r="K20">
            <v>40544</v>
          </cell>
          <cell r="L20" t="str">
            <v>BUF-Linde Alle 40-44 (Dagplejekontor)</v>
          </cell>
          <cell r="N20">
            <v>9763</v>
          </cell>
        </row>
        <row r="21">
          <cell r="A21">
            <v>69725</v>
          </cell>
          <cell r="B21">
            <v>130</v>
          </cell>
          <cell r="C21">
            <v>39918</v>
          </cell>
          <cell r="D21" t="str">
            <v>Rådhuspladsen 77, 1. sal</v>
          </cell>
          <cell r="F21">
            <v>29820</v>
          </cell>
          <cell r="I21">
            <v>20100</v>
          </cell>
          <cell r="J21" t="str">
            <v>Rådhuset</v>
          </cell>
          <cell r="K21">
            <v>40179</v>
          </cell>
          <cell r="L21" t="str">
            <v>SUF</v>
          </cell>
          <cell r="N21">
            <v>546551</v>
          </cell>
        </row>
        <row r="22">
          <cell r="A22">
            <v>19020</v>
          </cell>
          <cell r="B22">
            <v>131</v>
          </cell>
          <cell r="C22">
            <v>40238</v>
          </cell>
          <cell r="D22" t="str">
            <v>Ottiliavej 1</v>
          </cell>
          <cell r="F22">
            <v>210256</v>
          </cell>
          <cell r="I22">
            <v>80005</v>
          </cell>
          <cell r="J22" t="str">
            <v>Rådhuset</v>
          </cell>
          <cell r="K22">
            <v>40179</v>
          </cell>
          <cell r="L22" t="str">
            <v>BIF</v>
          </cell>
          <cell r="N22">
            <v>505945</v>
          </cell>
        </row>
        <row r="23">
          <cell r="A23">
            <v>54116</v>
          </cell>
          <cell r="B23">
            <v>132</v>
          </cell>
          <cell r="C23">
            <v>40057</v>
          </cell>
          <cell r="D23" t="str">
            <v>Hans Nansens Gård (Kejd)(FM)</v>
          </cell>
          <cell r="F23">
            <v>182255</v>
          </cell>
          <cell r="I23">
            <v>39630</v>
          </cell>
          <cell r="J23" t="str">
            <v>Rådhuset</v>
          </cell>
          <cell r="K23">
            <v>40179</v>
          </cell>
          <cell r="L23" t="str">
            <v>BUF</v>
          </cell>
          <cell r="N23">
            <v>578646</v>
          </cell>
        </row>
        <row r="24">
          <cell r="A24">
            <v>38050</v>
          </cell>
          <cell r="B24" t="str">
            <v>724 a</v>
          </cell>
          <cell r="C24">
            <v>39448</v>
          </cell>
          <cell r="D24" t="str">
            <v>Stormgade 18 (BUF)</v>
          </cell>
          <cell r="F24">
            <v>30662</v>
          </cell>
          <cell r="I24">
            <v>49700</v>
          </cell>
          <cell r="J24" t="str">
            <v>Rådhuset</v>
          </cell>
          <cell r="K24">
            <v>40179</v>
          </cell>
          <cell r="L24" t="str">
            <v>TMF</v>
          </cell>
          <cell r="N24">
            <v>542491</v>
          </cell>
        </row>
        <row r="25">
          <cell r="A25">
            <v>54100</v>
          </cell>
          <cell r="B25">
            <v>133</v>
          </cell>
          <cell r="C25">
            <v>40040</v>
          </cell>
          <cell r="D25" t="str">
            <v>Den Hvide Kødby (vagtkørsel)</v>
          </cell>
          <cell r="G25" t="str">
            <v>18.553 pr. måned(Per sender regning hver måned</v>
          </cell>
          <cell r="I25">
            <v>60109</v>
          </cell>
          <cell r="J25" t="str">
            <v>Rådhuset</v>
          </cell>
          <cell r="K25">
            <v>40179</v>
          </cell>
          <cell r="L25" t="str">
            <v>SOF</v>
          </cell>
          <cell r="N25">
            <v>717095</v>
          </cell>
        </row>
        <row r="26">
          <cell r="B26">
            <v>140</v>
          </cell>
          <cell r="C26">
            <v>40575</v>
          </cell>
          <cell r="D26" t="str">
            <v>Hornemanns Vænge 9(slut 1-5-12)</v>
          </cell>
          <cell r="G26" t="str">
            <v>4881 pr. måned(Per sender regning hver måned</v>
          </cell>
          <cell r="I26">
            <v>11023</v>
          </cell>
          <cell r="J26" t="str">
            <v>Rådhuset</v>
          </cell>
          <cell r="K26">
            <v>40179</v>
          </cell>
          <cell r="L26" t="str">
            <v>ØKF</v>
          </cell>
          <cell r="N26">
            <v>4118094</v>
          </cell>
        </row>
        <row r="27">
          <cell r="A27">
            <v>39610</v>
          </cell>
          <cell r="B27">
            <v>153</v>
          </cell>
          <cell r="C27" t="str">
            <v>1-2-12-31-7-12</v>
          </cell>
          <cell r="D27" t="str">
            <v>BUF Skolesupport</v>
          </cell>
          <cell r="F27">
            <v>80000</v>
          </cell>
          <cell r="I27">
            <v>11023</v>
          </cell>
          <cell r="J27" t="str">
            <v>Rådhuset</v>
          </cell>
          <cell r="K27">
            <v>40179</v>
          </cell>
          <cell r="L27" t="str">
            <v>BR</v>
          </cell>
          <cell r="N27">
            <v>1085980</v>
          </cell>
        </row>
        <row r="28">
          <cell r="B28">
            <v>154</v>
          </cell>
          <cell r="C28">
            <v>40967</v>
          </cell>
          <cell r="D28" t="str">
            <v>KFF Biblioteker</v>
          </cell>
          <cell r="F28">
            <v>116943</v>
          </cell>
          <cell r="I28" t="str">
            <v>Posteres</v>
          </cell>
          <cell r="J28" t="str">
            <v>Rådhuset</v>
          </cell>
          <cell r="K28">
            <v>40179</v>
          </cell>
          <cell r="L28" t="str">
            <v>KFF</v>
          </cell>
          <cell r="N28">
            <v>1681126</v>
          </cell>
        </row>
        <row r="29">
          <cell r="A29">
            <v>28100</v>
          </cell>
          <cell r="B29">
            <v>728</v>
          </cell>
          <cell r="C29">
            <v>38846</v>
          </cell>
          <cell r="D29" t="str">
            <v>Enghavevej</v>
          </cell>
          <cell r="F29">
            <v>73827</v>
          </cell>
        </row>
        <row r="30">
          <cell r="A30">
            <v>82500</v>
          </cell>
          <cell r="B30">
            <v>151</v>
          </cell>
          <cell r="C30">
            <v>40603</v>
          </cell>
          <cell r="D30" t="str">
            <v>BIF-Baldersgade 24</v>
          </cell>
          <cell r="F30">
            <v>94947</v>
          </cell>
        </row>
        <row r="31">
          <cell r="A31">
            <v>82505</v>
          </cell>
          <cell r="B31">
            <v>152</v>
          </cell>
          <cell r="C31">
            <v>40603</v>
          </cell>
          <cell r="D31" t="str">
            <v>BIF-Baldersgade 3B, 1. + 3. sal</v>
          </cell>
          <cell r="F31">
            <v>41689</v>
          </cell>
        </row>
        <row r="32">
          <cell r="A32">
            <v>62400</v>
          </cell>
          <cell r="B32">
            <v>141</v>
          </cell>
          <cell r="C32">
            <v>40544</v>
          </cell>
          <cell r="D32" t="str">
            <v>SOF-Nørre Voldgade 15, 1. sal</v>
          </cell>
          <cell r="F32">
            <v>18298</v>
          </cell>
          <cell r="G32" t="str">
            <v>637 m2 af 28,19</v>
          </cell>
        </row>
        <row r="33">
          <cell r="A33">
            <v>60109</v>
          </cell>
          <cell r="B33">
            <v>142</v>
          </cell>
          <cell r="C33">
            <v>40544</v>
          </cell>
          <cell r="D33" t="str">
            <v>SOF-Nørre Voldgade 15, 1.2.4.5.sal</v>
          </cell>
          <cell r="F33">
            <v>54291</v>
          </cell>
          <cell r="G33" t="str">
            <v>1890 m2 af 28,19</v>
          </cell>
          <cell r="J33" t="str">
            <v>Årligt</v>
          </cell>
          <cell r="N33">
            <v>13527301</v>
          </cell>
        </row>
        <row r="34">
          <cell r="A34">
            <v>67004</v>
          </cell>
          <cell r="B34">
            <v>143</v>
          </cell>
          <cell r="C34">
            <v>40544</v>
          </cell>
          <cell r="D34" t="str">
            <v>SOF-Nørre Voldgade 15, 5. sal</v>
          </cell>
          <cell r="F34">
            <v>1666</v>
          </cell>
          <cell r="G34" t="str">
            <v>58 m2 af 28,19</v>
          </cell>
        </row>
        <row r="35">
          <cell r="A35">
            <v>62300</v>
          </cell>
          <cell r="B35">
            <v>144</v>
          </cell>
          <cell r="C35">
            <v>40544</v>
          </cell>
          <cell r="D35" t="str">
            <v>SOF-Linne Gade 16, i port 2</v>
          </cell>
          <cell r="F35">
            <v>3734</v>
          </cell>
          <cell r="G35" t="str">
            <v>130 m2 af 28,19</v>
          </cell>
          <cell r="J35" t="str">
            <v>Månedligt</v>
          </cell>
          <cell r="N35">
            <v>1127275.0833333333</v>
          </cell>
        </row>
        <row r="36">
          <cell r="A36">
            <v>33410</v>
          </cell>
          <cell r="B36">
            <v>145</v>
          </cell>
          <cell r="C36">
            <v>40544</v>
          </cell>
          <cell r="D36" t="str">
            <v>BUF-Nørre Voldgade 15, 3.5. sal</v>
          </cell>
          <cell r="F36">
            <v>16166</v>
          </cell>
          <cell r="G36" t="str">
            <v>60% af 938 m2 af 28,19</v>
          </cell>
        </row>
        <row r="37">
          <cell r="A37">
            <v>39851</v>
          </cell>
          <cell r="B37">
            <v>146</v>
          </cell>
          <cell r="C37">
            <v>40544</v>
          </cell>
          <cell r="D37" t="str">
            <v>BUF-Frederiksborggade 15, 3.5. sal</v>
          </cell>
          <cell r="F37">
            <v>10778</v>
          </cell>
          <cell r="G37" t="str">
            <v>40% af 938 m2 af 28,19</v>
          </cell>
        </row>
        <row r="38">
          <cell r="A38">
            <v>31139</v>
          </cell>
          <cell r="B38">
            <v>111</v>
          </cell>
          <cell r="C38">
            <v>40634</v>
          </cell>
          <cell r="D38" t="str">
            <v>BUF-Gasværksvej 22 (skole)</v>
          </cell>
          <cell r="F38">
            <v>58572</v>
          </cell>
        </row>
        <row r="39">
          <cell r="B39" t="str">
            <v>Forsættes i højre side</v>
          </cell>
          <cell r="F39">
            <v>3332749</v>
          </cell>
        </row>
      </sheetData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Øvrige Kontrakter 2013"/>
      <sheetName val="Karsten Pøhl (ØKF)"/>
      <sheetName val="Koncern Service"/>
      <sheetName val="Ark2"/>
    </sheetNames>
    <sheetDataSet>
      <sheetData sheetId="0">
        <row r="44">
          <cell r="K44">
            <v>2986291</v>
          </cell>
        </row>
      </sheetData>
      <sheetData sheetId="1"/>
      <sheetData sheetId="2"/>
      <sheetData sheetId="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Øvrige Kontrakter 2012"/>
      <sheetName val="Karsten Pøhl (ØKF)"/>
      <sheetName val="Koncern Service"/>
      <sheetName val="Ark2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6"/>
  <dimension ref="A1:D21"/>
  <sheetViews>
    <sheetView zoomScale="67" zoomScaleNormal="67" workbookViewId="0" xr3:uid="{AEA406A1-0E4B-5B11-9CD5-51D6E497D94C}">
      <selection activeCell="B256" sqref="B256"/>
    </sheetView>
  </sheetViews>
  <sheetFormatPr defaultRowHeight="12.75"/>
  <cols>
    <col min="1" max="1" width="92.140625" customWidth="1"/>
    <col min="2" max="3" width="14.5703125" customWidth="1"/>
    <col min="4" max="4" width="15.7109375" customWidth="1"/>
  </cols>
  <sheetData>
    <row r="1" spans="1:4" ht="23.25">
      <c r="A1" s="26" t="s">
        <v>0</v>
      </c>
    </row>
    <row r="3" spans="1:4" ht="48" customHeight="1">
      <c r="A3" s="27" t="s">
        <v>1</v>
      </c>
      <c r="B3" s="675" t="s">
        <v>2</v>
      </c>
      <c r="C3" s="676" t="s">
        <v>3</v>
      </c>
      <c r="D3" s="677" t="s">
        <v>4</v>
      </c>
    </row>
    <row r="4" spans="1:4" ht="45" customHeight="1">
      <c r="A4" s="28" t="s">
        <v>5</v>
      </c>
      <c r="B4" s="679">
        <v>350</v>
      </c>
      <c r="C4" s="679">
        <v>350</v>
      </c>
      <c r="D4" s="679">
        <v>350</v>
      </c>
    </row>
    <row r="5" spans="1:4" ht="45" customHeight="1">
      <c r="A5" s="30" t="s">
        <v>6</v>
      </c>
      <c r="B5" s="679">
        <v>450</v>
      </c>
      <c r="C5" s="680">
        <v>525</v>
      </c>
      <c r="D5" s="680">
        <v>525</v>
      </c>
    </row>
    <row r="6" spans="1:4" ht="45" customHeight="1">
      <c r="A6" s="30" t="s">
        <v>7</v>
      </c>
      <c r="B6" s="679">
        <v>600</v>
      </c>
      <c r="C6" s="680">
        <v>525</v>
      </c>
      <c r="D6" s="680">
        <v>525</v>
      </c>
    </row>
    <row r="7" spans="1:4" ht="48.75" customHeight="1">
      <c r="A7" s="30" t="s">
        <v>8</v>
      </c>
      <c r="B7" s="29">
        <v>375</v>
      </c>
      <c r="C7" s="678"/>
      <c r="D7" s="674"/>
    </row>
    <row r="8" spans="1:4" ht="58.5" customHeight="1">
      <c r="A8" s="30" t="s">
        <v>9</v>
      </c>
      <c r="B8" s="31">
        <v>450</v>
      </c>
      <c r="C8" s="32"/>
    </row>
    <row r="9" spans="1:4" ht="45" customHeight="1">
      <c r="A9" s="33" t="s">
        <v>10</v>
      </c>
      <c r="B9" s="34">
        <v>315</v>
      </c>
      <c r="C9" s="35"/>
    </row>
    <row r="10" spans="1:4" ht="45" customHeight="1">
      <c r="A10" s="36" t="s">
        <v>11</v>
      </c>
      <c r="B10" s="34">
        <v>450</v>
      </c>
      <c r="C10" s="37"/>
    </row>
    <row r="11" spans="1:4" ht="45" customHeight="1">
      <c r="A11" s="36" t="s">
        <v>12</v>
      </c>
      <c r="B11" s="34">
        <v>100</v>
      </c>
    </row>
    <row r="12" spans="1:4" ht="45" customHeight="1">
      <c r="A12" s="36" t="s">
        <v>13</v>
      </c>
      <c r="B12" s="34">
        <v>230</v>
      </c>
    </row>
    <row r="13" spans="1:4" ht="45" customHeight="1">
      <c r="A13" s="38" t="s">
        <v>14</v>
      </c>
      <c r="B13" s="39">
        <v>220</v>
      </c>
    </row>
    <row r="14" spans="1:4" ht="45" customHeight="1">
      <c r="A14" s="40" t="s">
        <v>15</v>
      </c>
      <c r="B14" s="41">
        <v>250</v>
      </c>
    </row>
    <row r="15" spans="1:4" ht="45" customHeight="1">
      <c r="A15" s="40" t="s">
        <v>16</v>
      </c>
      <c r="B15" s="41">
        <v>300</v>
      </c>
    </row>
    <row r="16" spans="1:4" ht="45" customHeight="1">
      <c r="A16" s="40" t="s">
        <v>17</v>
      </c>
      <c r="B16" s="41">
        <v>0.4</v>
      </c>
    </row>
    <row r="17" spans="1:2" ht="45" customHeight="1">
      <c r="A17" s="40" t="s">
        <v>18</v>
      </c>
      <c r="B17" s="41">
        <v>250</v>
      </c>
    </row>
    <row r="18" spans="1:2" ht="45" customHeight="1">
      <c r="A18" s="40" t="s">
        <v>19</v>
      </c>
      <c r="B18" s="41">
        <v>350</v>
      </c>
    </row>
    <row r="19" spans="1:2" ht="45" customHeight="1">
      <c r="A19" s="42" t="s">
        <v>20</v>
      </c>
      <c r="B19" s="43">
        <v>310</v>
      </c>
    </row>
    <row r="20" spans="1:2" ht="45" customHeight="1">
      <c r="A20" s="42" t="s">
        <v>21</v>
      </c>
      <c r="B20" s="43">
        <v>100</v>
      </c>
    </row>
    <row r="21" spans="1:2" ht="45" customHeight="1">
      <c r="A21" s="42"/>
      <c r="B21" s="44"/>
    </row>
  </sheetData>
  <sheetProtection selectLockedCells="1" selectUnlockedCells="1"/>
  <phoneticPr fontId="7" type="noConversion"/>
  <pageMargins left="0" right="0" top="0.39374999999999999" bottom="0.19652777777777777" header="0.51180555555555551" footer="0.51180555555555551"/>
  <pageSetup paperSize="9" scale="85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5">
    <tabColor indexed="35"/>
  </sheetPr>
  <dimension ref="A2:R58"/>
  <sheetViews>
    <sheetView topLeftCell="A37" zoomScale="75" workbookViewId="0" xr3:uid="{958C4451-9541-5A59-BF78-D2F731DF1C81}">
      <selection activeCell="G54" sqref="G54"/>
    </sheetView>
  </sheetViews>
  <sheetFormatPr defaultColWidth="9.140625" defaultRowHeight="12.75"/>
  <cols>
    <col min="1" max="2" width="9.140625" style="226"/>
    <col min="3" max="3" width="17.28515625" style="226" customWidth="1"/>
    <col min="4" max="5" width="9" style="226" customWidth="1"/>
    <col min="6" max="6" width="11" style="226" customWidth="1"/>
    <col min="7" max="7" width="19.42578125" style="226" customWidth="1"/>
    <col min="8" max="8" width="10.5703125" style="226" customWidth="1"/>
    <col min="9" max="9" width="9.85546875" style="226" customWidth="1"/>
    <col min="10" max="10" width="11.85546875" style="226" customWidth="1"/>
    <col min="11" max="11" width="19" style="226" customWidth="1"/>
    <col min="12" max="12" width="9.7109375" style="226" customWidth="1"/>
    <col min="13" max="13" width="9" style="226" customWidth="1"/>
    <col min="14" max="15" width="10.42578125" style="226" customWidth="1"/>
    <col min="16" max="16" width="11" style="226" customWidth="1"/>
    <col min="17" max="17" width="14.7109375" style="226" customWidth="1"/>
    <col min="18" max="18" width="11" style="226" customWidth="1"/>
    <col min="19" max="16384" width="9.140625" style="226"/>
  </cols>
  <sheetData>
    <row r="2" spans="1:17" ht="23.25">
      <c r="G2" s="519" t="s">
        <v>22</v>
      </c>
    </row>
    <row r="3" spans="1:17" ht="13.5" thickBot="1"/>
    <row r="4" spans="1:17" ht="27.95" customHeight="1">
      <c r="A4" s="382"/>
      <c r="B4" s="383"/>
      <c r="C4" s="410" t="s">
        <v>23</v>
      </c>
      <c r="D4" s="411"/>
      <c r="E4" s="412"/>
      <c r="F4" s="413"/>
      <c r="G4" s="410" t="s">
        <v>24</v>
      </c>
      <c r="H4" s="411"/>
      <c r="I4" s="412"/>
      <c r="J4" s="413"/>
      <c r="K4" s="410" t="s">
        <v>25</v>
      </c>
      <c r="L4" s="414"/>
      <c r="M4" s="415"/>
      <c r="N4" s="413"/>
      <c r="O4" s="412"/>
      <c r="P4" s="412"/>
      <c r="Q4" s="416"/>
    </row>
    <row r="5" spans="1:17" ht="27.95" customHeight="1">
      <c r="A5" s="417"/>
      <c r="C5" s="418"/>
      <c r="D5" s="419"/>
      <c r="E5" s="387"/>
      <c r="F5" s="420"/>
      <c r="G5" s="421" t="s">
        <v>26</v>
      </c>
      <c r="H5" s="419"/>
      <c r="I5" s="387"/>
      <c r="J5" s="420"/>
      <c r="K5" s="421" t="s">
        <v>26</v>
      </c>
      <c r="L5" s="422"/>
      <c r="M5" s="423"/>
      <c r="N5" s="420"/>
      <c r="O5" s="387"/>
      <c r="P5" s="424"/>
      <c r="Q5" s="420"/>
    </row>
    <row r="6" spans="1:17" ht="27.95" customHeight="1">
      <c r="A6" s="417"/>
      <c r="C6" s="418"/>
      <c r="D6" s="419"/>
      <c r="E6" s="387"/>
      <c r="F6" s="420"/>
      <c r="G6" s="421" t="s">
        <v>27</v>
      </c>
      <c r="H6" s="419"/>
      <c r="I6" s="387"/>
      <c r="J6" s="420"/>
      <c r="K6" s="421" t="s">
        <v>27</v>
      </c>
      <c r="L6" s="422"/>
      <c r="M6" s="423"/>
      <c r="N6" s="420"/>
      <c r="O6" s="387"/>
      <c r="P6" s="424"/>
      <c r="Q6" s="420"/>
    </row>
    <row r="7" spans="1:17" ht="17.100000000000001" customHeight="1">
      <c r="A7" s="417"/>
      <c r="C7" s="421" t="s">
        <v>28</v>
      </c>
      <c r="D7" s="425"/>
      <c r="E7" s="424"/>
      <c r="F7" s="426"/>
      <c r="G7" s="427" t="s">
        <v>29</v>
      </c>
      <c r="H7" s="425"/>
      <c r="I7" s="424"/>
      <c r="J7" s="426"/>
      <c r="K7" s="427" t="s">
        <v>29</v>
      </c>
      <c r="L7" s="428"/>
      <c r="M7" s="429"/>
      <c r="N7" s="426"/>
      <c r="O7" s="424"/>
      <c r="P7" s="424" t="s">
        <v>30</v>
      </c>
      <c r="Q7" s="420" t="s">
        <v>30</v>
      </c>
    </row>
    <row r="8" spans="1:17" ht="24" customHeight="1">
      <c r="A8" s="417"/>
      <c r="C8" s="421"/>
      <c r="D8" s="430" t="s">
        <v>31</v>
      </c>
      <c r="E8" s="431" t="s">
        <v>32</v>
      </c>
      <c r="F8" s="426" t="s">
        <v>33</v>
      </c>
      <c r="G8" s="421" t="s">
        <v>34</v>
      </c>
      <c r="H8" s="430" t="s">
        <v>31</v>
      </c>
      <c r="I8" s="431" t="s">
        <v>32</v>
      </c>
      <c r="J8" s="426" t="s">
        <v>33</v>
      </c>
      <c r="K8" s="421" t="s">
        <v>34</v>
      </c>
      <c r="L8" s="432" t="s">
        <v>31</v>
      </c>
      <c r="M8" s="431" t="s">
        <v>32</v>
      </c>
      <c r="N8" s="426" t="s">
        <v>33</v>
      </c>
      <c r="O8" s="424"/>
      <c r="P8" s="433" t="s">
        <v>31</v>
      </c>
      <c r="Q8" s="420" t="s">
        <v>35</v>
      </c>
    </row>
    <row r="9" spans="1:17" ht="17.100000000000001" customHeight="1" thickBot="1">
      <c r="A9" s="417"/>
      <c r="C9" s="421"/>
      <c r="D9" s="434" t="s">
        <v>36</v>
      </c>
      <c r="E9" s="431"/>
      <c r="F9" s="426"/>
      <c r="G9" s="435" t="s">
        <v>37</v>
      </c>
      <c r="H9" s="434" t="s">
        <v>36</v>
      </c>
      <c r="I9" s="431"/>
      <c r="J9" s="426"/>
      <c r="K9" s="435" t="s">
        <v>37</v>
      </c>
      <c r="L9" s="436" t="s">
        <v>36</v>
      </c>
      <c r="M9" s="437"/>
      <c r="N9" s="426"/>
      <c r="O9" s="424"/>
      <c r="P9" s="431" t="s">
        <v>36</v>
      </c>
      <c r="Q9" s="438" t="s">
        <v>36</v>
      </c>
    </row>
    <row r="10" spans="1:17" ht="17.100000000000001" customHeight="1">
      <c r="A10" s="439" t="s">
        <v>38</v>
      </c>
      <c r="B10" s="390">
        <v>2007</v>
      </c>
      <c r="C10" s="440"/>
      <c r="D10" s="441"/>
      <c r="E10" s="442"/>
      <c r="F10" s="443"/>
      <c r="G10" s="444"/>
      <c r="H10" s="445"/>
      <c r="I10" s="442"/>
      <c r="J10" s="446"/>
      <c r="K10" s="444"/>
      <c r="L10" s="441"/>
      <c r="M10" s="447"/>
      <c r="N10" s="446"/>
      <c r="O10" s="442"/>
      <c r="P10" s="448"/>
      <c r="Q10" s="449"/>
    </row>
    <row r="11" spans="1:17" ht="17.100000000000001" customHeight="1">
      <c r="A11" s="269" t="s">
        <v>39</v>
      </c>
      <c r="B11" s="286">
        <v>2007</v>
      </c>
      <c r="C11" s="450"/>
      <c r="D11" s="451"/>
      <c r="E11" s="455"/>
      <c r="F11" s="452"/>
      <c r="G11" s="453"/>
      <c r="H11" s="454"/>
      <c r="I11" s="455"/>
      <c r="J11" s="271"/>
      <c r="K11" s="453"/>
      <c r="L11" s="451"/>
      <c r="M11" s="456"/>
      <c r="N11" s="271"/>
      <c r="O11" s="455"/>
      <c r="P11" s="292">
        <v>1380</v>
      </c>
      <c r="Q11" s="457"/>
    </row>
    <row r="12" spans="1:17" ht="17.100000000000001" customHeight="1">
      <c r="A12" s="269" t="s">
        <v>40</v>
      </c>
      <c r="B12" s="286">
        <v>2007</v>
      </c>
      <c r="C12" s="450"/>
      <c r="D12" s="451"/>
      <c r="E12" s="455"/>
      <c r="F12" s="452"/>
      <c r="G12" s="453"/>
      <c r="H12" s="454"/>
      <c r="I12" s="455"/>
      <c r="J12" s="271"/>
      <c r="K12" s="453"/>
      <c r="L12" s="451"/>
      <c r="M12" s="456"/>
      <c r="N12" s="271"/>
      <c r="O12" s="455"/>
      <c r="P12" s="292"/>
      <c r="Q12" s="457"/>
    </row>
    <row r="13" spans="1:17" ht="17.100000000000001" customHeight="1">
      <c r="A13" s="269" t="s">
        <v>41</v>
      </c>
      <c r="B13" s="286">
        <v>2007</v>
      </c>
      <c r="C13" s="450"/>
      <c r="D13" s="451"/>
      <c r="E13" s="455"/>
      <c r="F13" s="452"/>
      <c r="G13" s="453"/>
      <c r="H13" s="454"/>
      <c r="I13" s="455"/>
      <c r="J13" s="271"/>
      <c r="K13" s="453"/>
      <c r="L13" s="451"/>
      <c r="M13" s="456"/>
      <c r="N13" s="271"/>
      <c r="O13" s="455"/>
      <c r="P13" s="292"/>
      <c r="Q13" s="457"/>
    </row>
    <row r="14" spans="1:17" ht="17.100000000000001" customHeight="1">
      <c r="A14" s="269" t="s">
        <v>42</v>
      </c>
      <c r="B14" s="286">
        <v>2007</v>
      </c>
      <c r="C14" s="450"/>
      <c r="D14" s="451"/>
      <c r="E14" s="455"/>
      <c r="F14" s="452"/>
      <c r="G14" s="453"/>
      <c r="H14" s="454"/>
      <c r="I14" s="455"/>
      <c r="J14" s="271"/>
      <c r="K14" s="453"/>
      <c r="L14" s="451"/>
      <c r="M14" s="456"/>
      <c r="N14" s="271"/>
      <c r="O14" s="455"/>
      <c r="P14" s="292"/>
      <c r="Q14" s="457">
        <v>520</v>
      </c>
    </row>
    <row r="15" spans="1:17" ht="17.100000000000001" customHeight="1">
      <c r="A15" s="269" t="s">
        <v>43</v>
      </c>
      <c r="B15" s="286">
        <v>2007</v>
      </c>
      <c r="C15" s="450"/>
      <c r="D15" s="451"/>
      <c r="E15" s="455"/>
      <c r="F15" s="452"/>
      <c r="G15" s="453"/>
      <c r="H15" s="454"/>
      <c r="I15" s="455"/>
      <c r="J15" s="271"/>
      <c r="K15" s="453"/>
      <c r="L15" s="451"/>
      <c r="M15" s="456"/>
      <c r="N15" s="271"/>
      <c r="O15" s="455"/>
      <c r="P15" s="292"/>
      <c r="Q15" s="457">
        <v>99</v>
      </c>
    </row>
    <row r="16" spans="1:17" ht="17.100000000000001" customHeight="1">
      <c r="A16" s="269" t="s">
        <v>44</v>
      </c>
      <c r="B16" s="286">
        <v>2008</v>
      </c>
      <c r="C16" s="450"/>
      <c r="D16" s="451"/>
      <c r="E16" s="455"/>
      <c r="F16" s="452"/>
      <c r="G16" s="453"/>
      <c r="H16" s="454"/>
      <c r="I16" s="455"/>
      <c r="J16" s="271"/>
      <c r="K16" s="453"/>
      <c r="L16" s="451"/>
      <c r="M16" s="456"/>
      <c r="N16" s="271"/>
      <c r="O16" s="455"/>
      <c r="P16" s="292"/>
      <c r="Q16" s="457">
        <v>270</v>
      </c>
    </row>
    <row r="17" spans="1:17" ht="17.100000000000001" customHeight="1">
      <c r="A17" s="269" t="s">
        <v>45</v>
      </c>
      <c r="B17" s="286">
        <v>2008</v>
      </c>
      <c r="C17" s="450"/>
      <c r="D17" s="451"/>
      <c r="E17" s="455"/>
      <c r="F17" s="452"/>
      <c r="G17" s="453"/>
      <c r="H17" s="454"/>
      <c r="I17" s="455"/>
      <c r="J17" s="271"/>
      <c r="K17" s="453"/>
      <c r="L17" s="451"/>
      <c r="M17" s="456"/>
      <c r="N17" s="271"/>
      <c r="O17" s="455"/>
      <c r="P17" s="292"/>
      <c r="Q17" s="457">
        <v>550</v>
      </c>
    </row>
    <row r="18" spans="1:17" ht="17.100000000000001" customHeight="1">
      <c r="A18" s="269" t="s">
        <v>46</v>
      </c>
      <c r="B18" s="286">
        <v>2008</v>
      </c>
      <c r="C18" s="450"/>
      <c r="D18" s="451"/>
      <c r="E18" s="455"/>
      <c r="F18" s="452"/>
      <c r="G18" s="453"/>
      <c r="H18" s="454"/>
      <c r="I18" s="455"/>
      <c r="J18" s="271"/>
      <c r="K18" s="453"/>
      <c r="L18" s="451"/>
      <c r="M18" s="456"/>
      <c r="N18" s="271"/>
      <c r="O18" s="455"/>
      <c r="P18" s="292"/>
      <c r="Q18" s="457">
        <v>200</v>
      </c>
    </row>
    <row r="19" spans="1:17" ht="17.100000000000001" customHeight="1">
      <c r="A19" s="269" t="s">
        <v>47</v>
      </c>
      <c r="B19" s="286">
        <v>2008</v>
      </c>
      <c r="C19" s="450"/>
      <c r="D19" s="451"/>
      <c r="E19" s="455"/>
      <c r="F19" s="452"/>
      <c r="G19" s="453"/>
      <c r="H19" s="454"/>
      <c r="I19" s="455"/>
      <c r="J19" s="271"/>
      <c r="K19" s="453"/>
      <c r="L19" s="451"/>
      <c r="M19" s="456"/>
      <c r="N19" s="271"/>
      <c r="O19" s="455"/>
      <c r="P19" s="292"/>
      <c r="Q19" s="457">
        <v>249</v>
      </c>
    </row>
    <row r="20" spans="1:17" ht="17.100000000000001" customHeight="1">
      <c r="A20" s="269" t="s">
        <v>48</v>
      </c>
      <c r="B20" s="286">
        <v>2008</v>
      </c>
      <c r="C20" s="450"/>
      <c r="D20" s="451"/>
      <c r="E20" s="455"/>
      <c r="F20" s="452" t="e">
        <f>SUM(C20/D20)</f>
        <v>#DIV/0!</v>
      </c>
      <c r="G20" s="450"/>
      <c r="H20" s="451"/>
      <c r="I20" s="455"/>
      <c r="J20" s="458"/>
      <c r="K20" s="453"/>
      <c r="L20" s="451"/>
      <c r="M20" s="456"/>
      <c r="N20" s="458" t="e">
        <f>SUM(K20/L20)</f>
        <v>#DIV/0!</v>
      </c>
      <c r="O20" s="459"/>
      <c r="P20" s="292"/>
      <c r="Q20" s="457">
        <v>129</v>
      </c>
    </row>
    <row r="21" spans="1:17" ht="17.100000000000001" customHeight="1">
      <c r="A21" s="269" t="s">
        <v>49</v>
      </c>
      <c r="B21" s="286">
        <v>2008</v>
      </c>
      <c r="C21" s="450"/>
      <c r="D21" s="451"/>
      <c r="E21" s="455">
        <f>SUM(C21-C20)</f>
        <v>0</v>
      </c>
      <c r="F21" s="452" t="e">
        <f>SUM(D21/E21)</f>
        <v>#DIV/0!</v>
      </c>
      <c r="G21" s="450"/>
      <c r="H21" s="451"/>
      <c r="I21" s="455">
        <f>SUM(G21-G20)</f>
        <v>0</v>
      </c>
      <c r="J21" s="460" t="e">
        <f>SUM(H21/I21)</f>
        <v>#DIV/0!</v>
      </c>
      <c r="K21" s="453"/>
      <c r="L21" s="451"/>
      <c r="M21" s="456"/>
      <c r="N21" s="458" t="e">
        <f>SUM(K21/L21)</f>
        <v>#DIV/0!</v>
      </c>
      <c r="O21" s="459"/>
      <c r="P21" s="292"/>
      <c r="Q21" s="457">
        <v>660</v>
      </c>
    </row>
    <row r="22" spans="1:17" ht="17.100000000000001" customHeight="1">
      <c r="A22" s="269" t="s">
        <v>38</v>
      </c>
      <c r="B22" s="286">
        <v>2008</v>
      </c>
      <c r="C22" s="450"/>
      <c r="D22" s="451"/>
      <c r="E22" s="455">
        <f t="shared" ref="E22:E27" si="0">SUM(C22-C21)</f>
        <v>0</v>
      </c>
      <c r="F22" s="452" t="e">
        <f t="shared" ref="F22:F28" si="1">SUM(D22/E22)</f>
        <v>#DIV/0!</v>
      </c>
      <c r="G22" s="450"/>
      <c r="H22" s="451"/>
      <c r="I22" s="455">
        <f t="shared" ref="I22:I27" si="2">SUM(G22-G21)</f>
        <v>0</v>
      </c>
      <c r="J22" s="460" t="e">
        <f t="shared" ref="J22:J27" si="3">SUM(H22/I22)</f>
        <v>#DIV/0!</v>
      </c>
      <c r="K22" s="450"/>
      <c r="L22" s="451"/>
      <c r="M22" s="456"/>
      <c r="N22" s="458" t="e">
        <f t="shared" ref="N22:N27" si="4">SUM(L22/M22)</f>
        <v>#DIV/0!</v>
      </c>
      <c r="O22" s="459"/>
      <c r="P22" s="292"/>
      <c r="Q22" s="457">
        <v>550</v>
      </c>
    </row>
    <row r="23" spans="1:17" ht="17.100000000000001" customHeight="1">
      <c r="A23" s="269" t="s">
        <v>39</v>
      </c>
      <c r="B23" s="286">
        <v>2008</v>
      </c>
      <c r="C23" s="450"/>
      <c r="D23" s="451"/>
      <c r="E23" s="461">
        <f t="shared" si="0"/>
        <v>0</v>
      </c>
      <c r="F23" s="462" t="e">
        <f t="shared" si="1"/>
        <v>#DIV/0!</v>
      </c>
      <c r="G23" s="450"/>
      <c r="H23" s="451"/>
      <c r="I23" s="455">
        <f t="shared" si="2"/>
        <v>0</v>
      </c>
      <c r="J23" s="460" t="e">
        <f t="shared" si="3"/>
        <v>#DIV/0!</v>
      </c>
      <c r="K23" s="450"/>
      <c r="L23" s="451"/>
      <c r="M23" s="456"/>
      <c r="N23" s="458" t="e">
        <f t="shared" si="4"/>
        <v>#DIV/0!</v>
      </c>
      <c r="O23" s="459"/>
      <c r="P23" s="292"/>
      <c r="Q23" s="457">
        <v>230</v>
      </c>
    </row>
    <row r="24" spans="1:17" ht="17.100000000000001" customHeight="1">
      <c r="A24" s="269" t="s">
        <v>40</v>
      </c>
      <c r="B24" s="286">
        <v>2008</v>
      </c>
      <c r="C24" s="450"/>
      <c r="D24" s="451"/>
      <c r="E24" s="461">
        <f t="shared" si="0"/>
        <v>0</v>
      </c>
      <c r="F24" s="462" t="e">
        <f t="shared" si="1"/>
        <v>#DIV/0!</v>
      </c>
      <c r="G24" s="450"/>
      <c r="H24" s="451"/>
      <c r="I24" s="455">
        <f t="shared" si="2"/>
        <v>0</v>
      </c>
      <c r="J24" s="460" t="e">
        <f t="shared" si="3"/>
        <v>#DIV/0!</v>
      </c>
      <c r="K24" s="450"/>
      <c r="L24" s="451"/>
      <c r="M24" s="456"/>
      <c r="N24" s="458" t="e">
        <f t="shared" si="4"/>
        <v>#DIV/0!</v>
      </c>
      <c r="O24" s="459"/>
      <c r="P24" s="292"/>
      <c r="Q24" s="457">
        <v>290</v>
      </c>
    </row>
    <row r="25" spans="1:17" ht="17.100000000000001" customHeight="1">
      <c r="A25" s="269" t="s">
        <v>41</v>
      </c>
      <c r="B25" s="286">
        <v>2008</v>
      </c>
      <c r="C25" s="450"/>
      <c r="D25" s="451"/>
      <c r="E25" s="461">
        <f t="shared" si="0"/>
        <v>0</v>
      </c>
      <c r="F25" s="462" t="e">
        <f t="shared" si="1"/>
        <v>#DIV/0!</v>
      </c>
      <c r="G25" s="450"/>
      <c r="H25" s="451"/>
      <c r="I25" s="455">
        <f t="shared" si="2"/>
        <v>0</v>
      </c>
      <c r="J25" s="460" t="e">
        <f t="shared" si="3"/>
        <v>#DIV/0!</v>
      </c>
      <c r="K25" s="450"/>
      <c r="L25" s="451"/>
      <c r="M25" s="456"/>
      <c r="N25" s="458" t="e">
        <f t="shared" si="4"/>
        <v>#DIV/0!</v>
      </c>
      <c r="O25" s="459"/>
      <c r="P25" s="292"/>
      <c r="Q25" s="457"/>
    </row>
    <row r="26" spans="1:17" ht="17.100000000000001" customHeight="1">
      <c r="A26" s="269" t="s">
        <v>42</v>
      </c>
      <c r="B26" s="286">
        <v>2008</v>
      </c>
      <c r="C26" s="450"/>
      <c r="D26" s="451"/>
      <c r="E26" s="461">
        <f t="shared" si="0"/>
        <v>0</v>
      </c>
      <c r="F26" s="462" t="e">
        <f t="shared" si="1"/>
        <v>#DIV/0!</v>
      </c>
      <c r="G26" s="450"/>
      <c r="H26" s="451"/>
      <c r="I26" s="455">
        <f t="shared" si="2"/>
        <v>0</v>
      </c>
      <c r="J26" s="460" t="e">
        <f t="shared" si="3"/>
        <v>#DIV/0!</v>
      </c>
      <c r="K26" s="450"/>
      <c r="L26" s="451"/>
      <c r="M26" s="456"/>
      <c r="N26" s="458" t="e">
        <f t="shared" si="4"/>
        <v>#DIV/0!</v>
      </c>
      <c r="O26" s="459"/>
      <c r="P26" s="292"/>
      <c r="Q26" s="457">
        <v>209</v>
      </c>
    </row>
    <row r="27" spans="1:17" ht="17.100000000000001" customHeight="1" thickBot="1">
      <c r="A27" s="463" t="s">
        <v>43</v>
      </c>
      <c r="B27" s="464">
        <v>2008</v>
      </c>
      <c r="C27" s="465"/>
      <c r="D27" s="451"/>
      <c r="E27" s="461">
        <f t="shared" si="0"/>
        <v>0</v>
      </c>
      <c r="F27" s="462" t="e">
        <f t="shared" si="1"/>
        <v>#DIV/0!</v>
      </c>
      <c r="G27" s="465"/>
      <c r="H27" s="451"/>
      <c r="I27" s="455">
        <f t="shared" si="2"/>
        <v>0</v>
      </c>
      <c r="J27" s="460" t="e">
        <f t="shared" si="3"/>
        <v>#DIV/0!</v>
      </c>
      <c r="K27" s="465"/>
      <c r="L27" s="451"/>
      <c r="M27" s="456"/>
      <c r="N27" s="458" t="e">
        <f t="shared" si="4"/>
        <v>#DIV/0!</v>
      </c>
      <c r="O27" s="459"/>
      <c r="P27" s="292"/>
      <c r="Q27" s="466">
        <v>550</v>
      </c>
    </row>
    <row r="28" spans="1:17" ht="13.5" thickBot="1">
      <c r="A28" s="418" t="s">
        <v>50</v>
      </c>
      <c r="C28" s="467"/>
      <c r="D28" s="468">
        <f>SUM(D10:D27)</f>
        <v>0</v>
      </c>
      <c r="E28" s="281"/>
      <c r="F28" s="452" t="e">
        <f t="shared" si="1"/>
        <v>#DIV/0!</v>
      </c>
      <c r="G28" s="467"/>
      <c r="H28" s="469"/>
      <c r="I28" s="470">
        <f>SUM(I20:I27)</f>
        <v>0</v>
      </c>
      <c r="J28" s="471"/>
      <c r="K28" s="467"/>
      <c r="L28" s="469">
        <f>SUM(L10:L27)</f>
        <v>0</v>
      </c>
      <c r="M28" s="472">
        <f>SUM(M27,M25,M23)</f>
        <v>0</v>
      </c>
      <c r="N28" s="473" t="e">
        <f>SUM(N10:N27)</f>
        <v>#DIV/0!</v>
      </c>
      <c r="O28" s="474"/>
      <c r="P28" s="475">
        <f>SUM(P11:P27)</f>
        <v>1380</v>
      </c>
      <c r="Q28" s="299">
        <f>SUM(Q11:Q27)</f>
        <v>4506</v>
      </c>
    </row>
    <row r="30" spans="1:17">
      <c r="A30" s="226" t="s">
        <v>51</v>
      </c>
    </row>
    <row r="31" spans="1:17" ht="13.5" thickBot="1"/>
    <row r="32" spans="1:17" ht="38.25">
      <c r="A32" s="382"/>
      <c r="B32" s="383"/>
      <c r="C32" s="410" t="s">
        <v>52</v>
      </c>
      <c r="D32" s="411"/>
      <c r="E32" s="412"/>
      <c r="F32" s="413"/>
      <c r="G32" s="410" t="s">
        <v>24</v>
      </c>
      <c r="H32" s="411"/>
      <c r="I32" s="412"/>
      <c r="J32" s="413"/>
      <c r="K32" s="410" t="s">
        <v>25</v>
      </c>
      <c r="L32" s="414"/>
      <c r="M32" s="415"/>
      <c r="N32" s="413"/>
      <c r="O32" s="412"/>
      <c r="P32" s="412"/>
      <c r="Q32" s="416"/>
    </row>
    <row r="33" spans="1:18">
      <c r="A33" s="417"/>
      <c r="C33" s="418"/>
      <c r="D33" s="419"/>
      <c r="E33" s="387"/>
      <c r="F33" s="420"/>
      <c r="G33" s="421" t="s">
        <v>26</v>
      </c>
      <c r="H33" s="419"/>
      <c r="I33" s="387"/>
      <c r="J33" s="420"/>
      <c r="K33" s="421" t="s">
        <v>26</v>
      </c>
      <c r="L33" s="422"/>
      <c r="M33" s="423"/>
      <c r="N33" s="420"/>
      <c r="O33" s="387"/>
      <c r="P33" s="424"/>
      <c r="Q33" s="420"/>
    </row>
    <row r="34" spans="1:18">
      <c r="A34" s="417"/>
      <c r="C34" s="418"/>
      <c r="D34" s="419"/>
      <c r="E34" s="387"/>
      <c r="F34" s="420"/>
      <c r="G34" s="421" t="s">
        <v>27</v>
      </c>
      <c r="H34" s="419"/>
      <c r="I34" s="387"/>
      <c r="J34" s="420"/>
      <c r="K34" s="421" t="s">
        <v>27</v>
      </c>
      <c r="L34" s="422"/>
      <c r="M34" s="423"/>
      <c r="N34" s="420"/>
      <c r="O34" s="387"/>
      <c r="P34" s="424"/>
      <c r="Q34" s="420"/>
    </row>
    <row r="35" spans="1:18">
      <c r="A35" s="417"/>
      <c r="C35" s="421" t="s">
        <v>28</v>
      </c>
      <c r="D35" s="425"/>
      <c r="E35" s="424"/>
      <c r="F35" s="426"/>
      <c r="G35" s="427" t="s">
        <v>29</v>
      </c>
      <c r="H35" s="425"/>
      <c r="I35" s="424"/>
      <c r="J35" s="426"/>
      <c r="K35" s="427" t="s">
        <v>29</v>
      </c>
      <c r="L35" s="428"/>
      <c r="M35" s="429"/>
      <c r="N35" s="426"/>
      <c r="O35" s="424"/>
      <c r="P35" s="424"/>
      <c r="Q35" s="420"/>
    </row>
    <row r="36" spans="1:18" ht="38.25">
      <c r="A36" s="417"/>
      <c r="C36" s="421"/>
      <c r="D36" s="430" t="s">
        <v>31</v>
      </c>
      <c r="E36" s="431" t="s">
        <v>32</v>
      </c>
      <c r="F36" s="426" t="s">
        <v>33</v>
      </c>
      <c r="G36" s="421" t="s">
        <v>34</v>
      </c>
      <c r="H36" s="430" t="s">
        <v>31</v>
      </c>
      <c r="I36" s="431" t="s">
        <v>32</v>
      </c>
      <c r="J36" s="426" t="s">
        <v>33</v>
      </c>
      <c r="K36" s="421" t="s">
        <v>34</v>
      </c>
      <c r="L36" s="432" t="s">
        <v>31</v>
      </c>
      <c r="M36" s="431" t="s">
        <v>32</v>
      </c>
      <c r="N36" s="426" t="s">
        <v>33</v>
      </c>
      <c r="O36" s="424" t="s">
        <v>53</v>
      </c>
      <c r="P36" s="433" t="s">
        <v>54</v>
      </c>
      <c r="Q36" s="420" t="s">
        <v>35</v>
      </c>
    </row>
    <row r="37" spans="1:18">
      <c r="A37" s="417"/>
      <c r="C37" s="421"/>
      <c r="D37" s="434" t="s">
        <v>36</v>
      </c>
      <c r="E37" s="431"/>
      <c r="F37" s="426"/>
      <c r="G37" s="435" t="s">
        <v>37</v>
      </c>
      <c r="H37" s="434" t="s">
        <v>36</v>
      </c>
      <c r="I37" s="431"/>
      <c r="J37" s="426"/>
      <c r="K37" s="435" t="s">
        <v>37</v>
      </c>
      <c r="L37" s="436" t="s">
        <v>36</v>
      </c>
      <c r="M37" s="437"/>
      <c r="N37" s="426"/>
      <c r="O37" s="431" t="s">
        <v>36</v>
      </c>
      <c r="P37" s="431" t="s">
        <v>36</v>
      </c>
      <c r="Q37" s="438" t="s">
        <v>36</v>
      </c>
    </row>
    <row r="38" spans="1:18">
      <c r="A38" s="417" t="s">
        <v>55</v>
      </c>
      <c r="C38" s="476" t="s">
        <v>56</v>
      </c>
      <c r="D38" s="434"/>
      <c r="E38" s="431"/>
      <c r="F38" s="426"/>
      <c r="G38" s="476" t="s">
        <v>57</v>
      </c>
      <c r="H38" s="434"/>
      <c r="I38" s="431"/>
      <c r="J38" s="426"/>
      <c r="K38" s="476" t="s">
        <v>58</v>
      </c>
      <c r="L38" s="436"/>
      <c r="M38" s="437"/>
      <c r="N38" s="426"/>
      <c r="O38" s="431"/>
      <c r="P38" s="431"/>
      <c r="Q38" s="438"/>
    </row>
    <row r="39" spans="1:18">
      <c r="A39" s="269" t="s">
        <v>44</v>
      </c>
      <c r="B39" s="286"/>
      <c r="C39" s="450">
        <v>4409</v>
      </c>
      <c r="D39" s="451">
        <v>1327.62</v>
      </c>
      <c r="E39" s="455"/>
      <c r="F39" s="477"/>
      <c r="G39" s="450">
        <v>84969</v>
      </c>
      <c r="H39" s="451">
        <v>550.71</v>
      </c>
      <c r="I39" s="455"/>
      <c r="J39" s="460"/>
      <c r="K39" s="450">
        <v>76733</v>
      </c>
      <c r="L39" s="451">
        <v>2081.21</v>
      </c>
      <c r="M39" s="456"/>
      <c r="N39" s="460"/>
      <c r="O39" s="478"/>
      <c r="P39" s="479">
        <f t="shared" ref="P39:P50" si="5">SUM(D39,H39,L39,O39)</f>
        <v>3959.54</v>
      </c>
      <c r="Q39" s="457">
        <v>79</v>
      </c>
      <c r="R39" s="520">
        <f t="shared" ref="R39:R50" si="6">SUM(P39:Q39)</f>
        <v>4038.54</v>
      </c>
    </row>
    <row r="40" spans="1:18">
      <c r="A40" s="269" t="s">
        <v>45</v>
      </c>
      <c r="B40" s="286"/>
      <c r="C40" s="450"/>
      <c r="D40" s="451">
        <v>1732.94</v>
      </c>
      <c r="E40" s="455"/>
      <c r="F40" s="477"/>
      <c r="G40" s="450"/>
      <c r="H40" s="451">
        <v>2337.4</v>
      </c>
      <c r="I40" s="455"/>
      <c r="J40" s="460"/>
      <c r="K40" s="450"/>
      <c r="L40" s="451">
        <v>2629.78</v>
      </c>
      <c r="M40" s="456"/>
      <c r="N40" s="460"/>
      <c r="O40" s="478"/>
      <c r="P40" s="479">
        <f t="shared" si="5"/>
        <v>6700.1200000000008</v>
      </c>
      <c r="Q40" s="457">
        <v>554.85</v>
      </c>
      <c r="R40" s="520">
        <f t="shared" si="6"/>
        <v>7254.9700000000012</v>
      </c>
    </row>
    <row r="41" spans="1:18">
      <c r="A41" s="269" t="s">
        <v>46</v>
      </c>
      <c r="B41" s="286"/>
      <c r="C41" s="450"/>
      <c r="D41" s="451">
        <v>1232.28</v>
      </c>
      <c r="E41" s="455"/>
      <c r="F41" s="477"/>
      <c r="G41" s="450"/>
      <c r="H41" s="451">
        <v>1406.96</v>
      </c>
      <c r="I41" s="455"/>
      <c r="J41" s="460"/>
      <c r="K41" s="450"/>
      <c r="L41" s="451">
        <v>2154.09</v>
      </c>
      <c r="M41" s="456"/>
      <c r="N41" s="460"/>
      <c r="O41" s="478"/>
      <c r="P41" s="479">
        <f t="shared" si="5"/>
        <v>4793.33</v>
      </c>
      <c r="Q41" s="457">
        <v>445.95</v>
      </c>
      <c r="R41" s="520">
        <f t="shared" si="6"/>
        <v>5239.28</v>
      </c>
    </row>
    <row r="42" spans="1:18">
      <c r="A42" s="269" t="s">
        <v>47</v>
      </c>
      <c r="B42" s="286"/>
      <c r="C42" s="450"/>
      <c r="D42" s="451">
        <v>936.43</v>
      </c>
      <c r="E42" s="455"/>
      <c r="F42" s="477"/>
      <c r="G42" s="450"/>
      <c r="H42" s="451">
        <v>2045.56</v>
      </c>
      <c r="I42" s="455"/>
      <c r="J42" s="460"/>
      <c r="K42" s="450"/>
      <c r="L42" s="451">
        <v>3968.04</v>
      </c>
      <c r="M42" s="456"/>
      <c r="N42" s="460"/>
      <c r="O42" s="478"/>
      <c r="P42" s="479">
        <f t="shared" si="5"/>
        <v>6950.03</v>
      </c>
      <c r="Q42" s="457">
        <v>138.94999999999999</v>
      </c>
      <c r="R42" s="520">
        <f t="shared" si="6"/>
        <v>7088.98</v>
      </c>
    </row>
    <row r="43" spans="1:18">
      <c r="A43" s="269" t="s">
        <v>48</v>
      </c>
      <c r="B43" s="286"/>
      <c r="C43" s="450"/>
      <c r="D43" s="521">
        <v>1079.6400000000001</v>
      </c>
      <c r="E43" s="455">
        <f>C43-C42</f>
        <v>0</v>
      </c>
      <c r="F43" s="477" t="e">
        <f t="shared" ref="F43:F50" si="7">D43/E43</f>
        <v>#DIV/0!</v>
      </c>
      <c r="G43" s="450"/>
      <c r="H43" s="451">
        <v>1591.62</v>
      </c>
      <c r="I43" s="455">
        <f>G43-G42</f>
        <v>0</v>
      </c>
      <c r="J43" s="460" t="e">
        <f t="shared" ref="J43:J50" si="8">H43/I43</f>
        <v>#DIV/0!</v>
      </c>
      <c r="K43" s="450"/>
      <c r="L43" s="451">
        <v>2873.81</v>
      </c>
      <c r="M43" s="456">
        <f>K43-K42</f>
        <v>0</v>
      </c>
      <c r="N43" s="460" t="e">
        <f t="shared" ref="N43:N50" si="9">L43/M43</f>
        <v>#DIV/0!</v>
      </c>
      <c r="O43" s="478">
        <v>175.02</v>
      </c>
      <c r="P43" s="479">
        <f t="shared" si="5"/>
        <v>5720.09</v>
      </c>
      <c r="Q43" s="457">
        <v>375.95</v>
      </c>
      <c r="R43" s="520">
        <f t="shared" si="6"/>
        <v>6096.04</v>
      </c>
    </row>
    <row r="44" spans="1:18">
      <c r="A44" s="269" t="s">
        <v>49</v>
      </c>
      <c r="B44" s="286"/>
      <c r="C44" s="450"/>
      <c r="D44" s="451">
        <v>1262.4100000000001</v>
      </c>
      <c r="E44" s="455">
        <v>21546</v>
      </c>
      <c r="F44" s="477">
        <f t="shared" si="7"/>
        <v>5.8591385872087627E-2</v>
      </c>
      <c r="G44" s="450"/>
      <c r="H44" s="451">
        <v>873.76</v>
      </c>
      <c r="I44" s="455">
        <v>119963</v>
      </c>
      <c r="J44" s="460">
        <f t="shared" si="8"/>
        <v>7.2835791035569296E-3</v>
      </c>
      <c r="K44" s="450"/>
      <c r="L44" s="451">
        <v>3074.18</v>
      </c>
      <c r="M44" s="456">
        <v>131836</v>
      </c>
      <c r="N44" s="460">
        <f t="shared" si="9"/>
        <v>2.3318213538032099E-2</v>
      </c>
      <c r="O44" s="478"/>
      <c r="P44" s="479">
        <f t="shared" si="5"/>
        <v>5210.3500000000004</v>
      </c>
      <c r="Q44" s="457">
        <v>257</v>
      </c>
      <c r="R44" s="520">
        <f t="shared" si="6"/>
        <v>5467.35</v>
      </c>
    </row>
    <row r="45" spans="1:18">
      <c r="A45" s="269" t="s">
        <v>38</v>
      </c>
      <c r="B45" s="286"/>
      <c r="C45" s="450"/>
      <c r="D45" s="451">
        <v>974.5</v>
      </c>
      <c r="E45" s="455">
        <f>C45-C44</f>
        <v>0</v>
      </c>
      <c r="F45" s="477" t="e">
        <f t="shared" si="7"/>
        <v>#DIV/0!</v>
      </c>
      <c r="G45" s="450"/>
      <c r="H45" s="451">
        <v>2184.4899999999998</v>
      </c>
      <c r="I45" s="455">
        <f>G45-G44</f>
        <v>0</v>
      </c>
      <c r="J45" s="460" t="e">
        <f t="shared" si="8"/>
        <v>#DIV/0!</v>
      </c>
      <c r="K45" s="450"/>
      <c r="L45" s="451">
        <v>4361.0200000000004</v>
      </c>
      <c r="M45" s="456"/>
      <c r="N45" s="460" t="e">
        <f t="shared" si="9"/>
        <v>#DIV/0!</v>
      </c>
      <c r="O45" s="478">
        <v>267.95</v>
      </c>
      <c r="P45" s="479">
        <f t="shared" si="5"/>
        <v>7787.96</v>
      </c>
      <c r="Q45" s="457">
        <v>317.89999999999998</v>
      </c>
      <c r="R45" s="520">
        <f t="shared" si="6"/>
        <v>8105.86</v>
      </c>
    </row>
    <row r="46" spans="1:18">
      <c r="A46" s="269" t="s">
        <v>39</v>
      </c>
      <c r="B46" s="286"/>
      <c r="C46" s="450"/>
      <c r="D46" s="451">
        <v>1989</v>
      </c>
      <c r="E46" s="455">
        <f>C46-C45</f>
        <v>0</v>
      </c>
      <c r="F46" s="477" t="e">
        <f t="shared" si="7"/>
        <v>#DIV/0!</v>
      </c>
      <c r="G46" s="450"/>
      <c r="H46" s="451">
        <v>2585.92</v>
      </c>
      <c r="I46" s="455">
        <f>G46-G45</f>
        <v>0</v>
      </c>
      <c r="J46" s="460" t="e">
        <f t="shared" si="8"/>
        <v>#DIV/0!</v>
      </c>
      <c r="K46" s="450"/>
      <c r="L46" s="451">
        <v>4456</v>
      </c>
      <c r="M46" s="456">
        <f>K46-K45</f>
        <v>0</v>
      </c>
      <c r="N46" s="460" t="e">
        <f t="shared" si="9"/>
        <v>#DIV/0!</v>
      </c>
      <c r="O46" s="478"/>
      <c r="P46" s="479">
        <f t="shared" si="5"/>
        <v>9030.92</v>
      </c>
      <c r="Q46" s="457">
        <v>617.79999999999995</v>
      </c>
      <c r="R46" s="520">
        <f t="shared" si="6"/>
        <v>9648.7199999999993</v>
      </c>
    </row>
    <row r="47" spans="1:18">
      <c r="A47" s="269" t="s">
        <v>40</v>
      </c>
      <c r="B47" s="286"/>
      <c r="C47" s="450"/>
      <c r="D47" s="451">
        <v>661.56</v>
      </c>
      <c r="E47" s="455"/>
      <c r="F47" s="477" t="e">
        <f t="shared" si="7"/>
        <v>#DIV/0!</v>
      </c>
      <c r="G47" s="450"/>
      <c r="H47" s="451">
        <v>1976.13</v>
      </c>
      <c r="I47" s="455"/>
      <c r="J47" s="460" t="e">
        <f t="shared" si="8"/>
        <v>#DIV/0!</v>
      </c>
      <c r="K47" s="450"/>
      <c r="L47" s="451">
        <v>2913.91</v>
      </c>
      <c r="M47" s="456"/>
      <c r="N47" s="460" t="e">
        <f t="shared" si="9"/>
        <v>#DIV/0!</v>
      </c>
      <c r="O47" s="478"/>
      <c r="P47" s="479">
        <f t="shared" si="5"/>
        <v>5551.6</v>
      </c>
      <c r="Q47" s="457">
        <v>277.89999999999998</v>
      </c>
      <c r="R47" s="520">
        <f t="shared" si="6"/>
        <v>5829.5</v>
      </c>
    </row>
    <row r="48" spans="1:18">
      <c r="A48" s="269" t="s">
        <v>41</v>
      </c>
      <c r="B48" s="286"/>
      <c r="C48" s="450"/>
      <c r="D48" s="451">
        <v>686.25</v>
      </c>
      <c r="E48" s="455"/>
      <c r="F48" s="477" t="e">
        <f t="shared" si="7"/>
        <v>#DIV/0!</v>
      </c>
      <c r="G48" s="450"/>
      <c r="H48" s="451">
        <v>541.12</v>
      </c>
      <c r="I48" s="455"/>
      <c r="J48" s="460" t="e">
        <f t="shared" si="8"/>
        <v>#DIV/0!</v>
      </c>
      <c r="K48" s="450"/>
      <c r="L48" s="451"/>
      <c r="M48" s="456"/>
      <c r="N48" s="460" t="e">
        <f t="shared" si="9"/>
        <v>#DIV/0!</v>
      </c>
      <c r="O48" s="478"/>
      <c r="P48" s="479">
        <f t="shared" si="5"/>
        <v>1227.3699999999999</v>
      </c>
      <c r="Q48" s="482"/>
      <c r="R48" s="520">
        <f t="shared" si="6"/>
        <v>1227.3699999999999</v>
      </c>
    </row>
    <row r="49" spans="1:18">
      <c r="A49" s="269" t="s">
        <v>42</v>
      </c>
      <c r="B49" s="286"/>
      <c r="C49" s="450"/>
      <c r="D49" s="451"/>
      <c r="E49" s="455"/>
      <c r="F49" s="477" t="e">
        <f t="shared" si="7"/>
        <v>#DIV/0!</v>
      </c>
      <c r="G49" s="450"/>
      <c r="H49" s="451"/>
      <c r="I49" s="455"/>
      <c r="J49" s="460" t="e">
        <f t="shared" si="8"/>
        <v>#DIV/0!</v>
      </c>
      <c r="K49" s="450"/>
      <c r="L49" s="451"/>
      <c r="M49" s="456"/>
      <c r="N49" s="460" t="e">
        <f t="shared" si="9"/>
        <v>#DIV/0!</v>
      </c>
      <c r="O49" s="478"/>
      <c r="P49" s="479">
        <f t="shared" si="5"/>
        <v>0</v>
      </c>
      <c r="Q49" s="457"/>
      <c r="R49" s="520">
        <f t="shared" si="6"/>
        <v>0</v>
      </c>
    </row>
    <row r="50" spans="1:18" ht="13.5" thickBot="1">
      <c r="A50" s="463" t="s">
        <v>43</v>
      </c>
      <c r="B50" s="286"/>
      <c r="C50" s="465"/>
      <c r="D50" s="451"/>
      <c r="E50" s="455"/>
      <c r="F50" s="477" t="e">
        <f t="shared" si="7"/>
        <v>#DIV/0!</v>
      </c>
      <c r="G50" s="465"/>
      <c r="H50" s="451"/>
      <c r="I50" s="455"/>
      <c r="J50" s="460" t="e">
        <f t="shared" si="8"/>
        <v>#DIV/0!</v>
      </c>
      <c r="K50" s="465"/>
      <c r="L50" s="451"/>
      <c r="M50" s="456"/>
      <c r="N50" s="460" t="e">
        <f t="shared" si="9"/>
        <v>#DIV/0!</v>
      </c>
      <c r="O50" s="478"/>
      <c r="P50" s="479">
        <f t="shared" si="5"/>
        <v>0</v>
      </c>
      <c r="Q50" s="466"/>
      <c r="R50" s="520">
        <f t="shared" si="6"/>
        <v>0</v>
      </c>
    </row>
    <row r="51" spans="1:18" ht="13.5" thickBot="1">
      <c r="A51" s="418" t="s">
        <v>50</v>
      </c>
      <c r="C51" s="467"/>
      <c r="D51" s="522">
        <f>SUM(D39:D50)</f>
        <v>11882.63</v>
      </c>
      <c r="E51" s="470">
        <f>SUM(E39:E50)</f>
        <v>21546</v>
      </c>
      <c r="F51" s="477">
        <f>SUM(D51/E51)</f>
        <v>0.55150051053559823</v>
      </c>
      <c r="G51" s="523"/>
      <c r="H51" s="469">
        <f>SUM(H39:H50)</f>
        <v>16093.67</v>
      </c>
      <c r="I51" s="470">
        <f>SUM(I39:I50)</f>
        <v>119963</v>
      </c>
      <c r="J51" s="480" t="e">
        <f>SUM(J39:J50)</f>
        <v>#DIV/0!</v>
      </c>
      <c r="K51" s="523"/>
      <c r="L51" s="469">
        <f>SUM(L39:L50)</f>
        <v>28512.039999999997</v>
      </c>
      <c r="M51" s="481">
        <f>SUM(M39:M50)</f>
        <v>131836</v>
      </c>
      <c r="N51" s="473" t="e">
        <f>SUM(N39:N50)</f>
        <v>#DIV/0!</v>
      </c>
      <c r="O51" s="524"/>
      <c r="P51" s="520">
        <f>SUM(P39:P50)</f>
        <v>56931.31</v>
      </c>
      <c r="Q51" s="520">
        <f t="shared" ref="Q51" si="10">SUM(Q39:Q50)</f>
        <v>3065.2999999999997</v>
      </c>
      <c r="R51" s="520">
        <f>SUM(P51:Q51)</f>
        <v>59996.61</v>
      </c>
    </row>
    <row r="54" spans="1:18">
      <c r="G54" s="525"/>
    </row>
    <row r="58" spans="1:18">
      <c r="J58" s="226">
        <v>59</v>
      </c>
    </row>
  </sheetData>
  <pageMargins left="0" right="0" top="0" bottom="0" header="0" footer="0"/>
  <pageSetup paperSize="9" scale="75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4">
    <tabColor indexed="35"/>
  </sheetPr>
  <dimension ref="A2:M23"/>
  <sheetViews>
    <sheetView zoomScale="90" zoomScaleNormal="90" workbookViewId="0" xr3:uid="{842E5F09-E766-5B8D-85AF-A39847EA96FD}">
      <selection activeCell="F50" sqref="F50"/>
    </sheetView>
  </sheetViews>
  <sheetFormatPr defaultRowHeight="12.75"/>
  <cols>
    <col min="1" max="1" width="7.85546875" customWidth="1"/>
    <col min="2" max="2" width="6.140625" customWidth="1"/>
    <col min="3" max="3" width="16.42578125" customWidth="1"/>
    <col min="4" max="4" width="14.42578125" customWidth="1"/>
    <col min="5" max="6" width="14.7109375" customWidth="1"/>
    <col min="7" max="7" width="13.42578125" customWidth="1"/>
    <col min="8" max="9" width="14.140625" customWidth="1"/>
    <col min="10" max="10" width="14.7109375" customWidth="1"/>
    <col min="11" max="11" width="14.42578125" customWidth="1"/>
    <col min="12" max="12" width="13.42578125" customWidth="1"/>
    <col min="13" max="13" width="14.85546875" customWidth="1"/>
  </cols>
  <sheetData>
    <row r="2" spans="1:13" ht="13.5" thickBot="1"/>
    <row r="3" spans="1:13" ht="38.25">
      <c r="A3" s="382"/>
      <c r="B3" s="383"/>
      <c r="C3" s="410" t="s">
        <v>59</v>
      </c>
      <c r="D3" s="553"/>
      <c r="E3" s="410" t="s">
        <v>60</v>
      </c>
      <c r="F3" s="553"/>
      <c r="G3" s="410" t="s">
        <v>61</v>
      </c>
      <c r="H3" s="552"/>
      <c r="I3" s="551" t="s">
        <v>62</v>
      </c>
      <c r="J3" s="550"/>
      <c r="K3" s="412"/>
      <c r="L3" s="416"/>
      <c r="M3" s="226"/>
    </row>
    <row r="4" spans="1:13">
      <c r="A4" s="417"/>
      <c r="B4" s="226"/>
      <c r="C4" s="418"/>
      <c r="D4" s="549"/>
      <c r="E4" s="421"/>
      <c r="F4" s="549"/>
      <c r="G4" s="421"/>
      <c r="H4" s="548"/>
      <c r="I4" s="387"/>
      <c r="J4" s="547"/>
      <c r="K4" s="424"/>
      <c r="L4" s="420"/>
      <c r="M4" s="226"/>
    </row>
    <row r="5" spans="1:13">
      <c r="A5" s="417"/>
      <c r="B5" s="226"/>
      <c r="C5" s="418"/>
      <c r="D5" s="549"/>
      <c r="E5" s="421"/>
      <c r="F5" s="549"/>
      <c r="G5" s="421"/>
      <c r="H5" s="548"/>
      <c r="I5" s="387"/>
      <c r="J5" s="547"/>
      <c r="K5" s="424"/>
      <c r="L5" s="420"/>
      <c r="M5" s="226"/>
    </row>
    <row r="6" spans="1:13">
      <c r="A6" s="417"/>
      <c r="B6" s="226"/>
      <c r="C6" s="421"/>
      <c r="D6" s="546"/>
      <c r="E6" s="427"/>
      <c r="F6" s="546"/>
      <c r="G6" s="427"/>
      <c r="H6" s="545"/>
      <c r="I6" s="424"/>
      <c r="J6" s="544"/>
      <c r="K6" s="424"/>
      <c r="L6" s="420"/>
      <c r="M6" s="226"/>
    </row>
    <row r="7" spans="1:13" ht="14.25" customHeight="1">
      <c r="A7" s="417"/>
      <c r="B7" s="226"/>
      <c r="C7" s="421"/>
      <c r="D7" s="600" t="str">
        <f>'[1]KM tal på biler 2013'!D9</f>
        <v>Diesel</v>
      </c>
      <c r="E7" s="421"/>
      <c r="F7" s="543" t="str">
        <f>'[1]KM tal på biler 2013'!F9</f>
        <v>Diesel</v>
      </c>
      <c r="G7" s="421"/>
      <c r="H7" s="542" t="str">
        <f>'[1]KM tal på biler 2013'!H9</f>
        <v>Diesel</v>
      </c>
      <c r="I7" s="424"/>
      <c r="J7" s="538" t="str">
        <f>'[1]KM tal på biler 2013'!J9</f>
        <v>Benzin</v>
      </c>
      <c r="K7" s="433" t="str">
        <f>'[1]KM tal på biler 2013'!K9</f>
        <v>Brændstof i alt</v>
      </c>
      <c r="L7" s="420" t="str">
        <f>'[1]KM tal på biler 2013'!L9</f>
        <v>Vask mm.</v>
      </c>
      <c r="M7" s="226"/>
    </row>
    <row r="8" spans="1:13">
      <c r="A8" s="417"/>
      <c r="B8" s="226"/>
      <c r="C8" s="421"/>
      <c r="D8" s="600" t="str">
        <f>'[1]KM tal på biler 2013'!D10</f>
        <v>Kr.</v>
      </c>
      <c r="E8" s="435"/>
      <c r="F8" s="538" t="str">
        <f>'[1]KM tal på biler 2013'!F10</f>
        <v>Kr.</v>
      </c>
      <c r="G8" s="435"/>
      <c r="H8" s="540" t="str">
        <f>'[1]KM tal på biler 2013'!H10</f>
        <v>Kr.</v>
      </c>
      <c r="I8" s="431"/>
      <c r="J8" s="538" t="str">
        <f>'[1]KM tal på biler 2013'!J10</f>
        <v>Kr.</v>
      </c>
      <c r="K8" s="431" t="str">
        <f>'[1]KM tal på biler 2013'!K10</f>
        <v>Kr.</v>
      </c>
      <c r="L8" s="438" t="str">
        <f>'[1]KM tal på biler 2013'!L10</f>
        <v>Kr.</v>
      </c>
      <c r="M8" s="226"/>
    </row>
    <row r="9" spans="1:13">
      <c r="A9" s="417"/>
      <c r="B9" s="226"/>
      <c r="C9" s="541"/>
      <c r="D9" s="600"/>
      <c r="E9" s="541"/>
      <c r="F9" s="538"/>
      <c r="G9" s="541"/>
      <c r="H9" s="540"/>
      <c r="I9" s="539"/>
      <c r="J9" s="538"/>
      <c r="K9" s="431"/>
      <c r="L9" s="438"/>
      <c r="M9" s="226"/>
    </row>
    <row r="10" spans="1:13">
      <c r="A10" s="269" t="str">
        <f>'[1]KM tal på biler 2013'!A12</f>
        <v>Januar</v>
      </c>
      <c r="B10" s="286"/>
      <c r="C10" s="450"/>
      <c r="D10" s="600">
        <f>'[1]KM tal på biler 2013'!D12</f>
        <v>1144.17</v>
      </c>
      <c r="E10" s="601">
        <f>'[1]KM tal på biler 2013'!E12</f>
        <v>0</v>
      </c>
      <c r="F10" s="600">
        <f>'[1]KM tal på biler 2013'!F12</f>
        <v>2081.46</v>
      </c>
      <c r="G10" s="601">
        <f>'[1]KM tal på biler 2013'!G12</f>
        <v>0</v>
      </c>
      <c r="H10" s="600">
        <f>'[1]KM tal på biler 2013'!H12</f>
        <v>4436.5200000000004</v>
      </c>
      <c r="I10" s="602">
        <f>'[1]KM tal på biler 2013'!I12</f>
        <v>0</v>
      </c>
      <c r="J10" s="603">
        <f>'[1]KM tal på biler 2013'!J12</f>
        <v>0</v>
      </c>
      <c r="K10" s="604">
        <f>'[1]KM tal på biler 2013'!K12</f>
        <v>7662.1500000000005</v>
      </c>
      <c r="L10" s="605">
        <f>'[1]KM tal på biler 2013'!L12</f>
        <v>802.46</v>
      </c>
      <c r="M10" s="606">
        <f>'[1]KM tal på biler 2013'!M12</f>
        <v>8464.61</v>
      </c>
    </row>
    <row r="11" spans="1:13">
      <c r="A11" s="269" t="str">
        <f>'[1]KM tal på biler 2013'!A13</f>
        <v>Februar</v>
      </c>
      <c r="B11" s="286"/>
      <c r="C11" s="450"/>
      <c r="D11" s="600">
        <f>'[1]KM tal på biler 2013'!D13</f>
        <v>1405.66</v>
      </c>
      <c r="E11" s="601">
        <f>'[1]KM tal på biler 2013'!E13</f>
        <v>0</v>
      </c>
      <c r="F11" s="600">
        <f>'[1]KM tal på biler 2013'!F13</f>
        <v>1189.3499999999999</v>
      </c>
      <c r="G11" s="601">
        <f>'[1]KM tal på biler 2013'!G13</f>
        <v>0</v>
      </c>
      <c r="H11" s="600">
        <f>'[1]KM tal på biler 2013'!H13</f>
        <v>3161.52</v>
      </c>
      <c r="I11" s="602">
        <f>'[1]KM tal på biler 2013'!I13</f>
        <v>0</v>
      </c>
      <c r="J11" s="603">
        <f>'[1]KM tal på biler 2013'!J13</f>
        <v>0</v>
      </c>
      <c r="K11" s="604">
        <f>'[1]KM tal på biler 2013'!K13</f>
        <v>5756.5300000000007</v>
      </c>
      <c r="L11" s="605">
        <f>'[1]KM tal på biler 2013'!L13</f>
        <v>669.65</v>
      </c>
      <c r="M11" s="606">
        <f>'[1]KM tal på biler 2013'!M13</f>
        <v>6426.18</v>
      </c>
    </row>
    <row r="12" spans="1:13">
      <c r="A12" s="269" t="str">
        <f>'[1]KM tal på biler 2013'!A14</f>
        <v>Marts</v>
      </c>
      <c r="B12" s="286"/>
      <c r="C12" s="450"/>
      <c r="D12" s="600">
        <f>'[1]KM tal på biler 2013'!D14</f>
        <v>1371.46</v>
      </c>
      <c r="E12" s="601">
        <f>'[1]KM tal på biler 2013'!E14</f>
        <v>0</v>
      </c>
      <c r="F12" s="600">
        <f>'[1]KM tal på biler 2013'!F14</f>
        <v>2078.42</v>
      </c>
      <c r="G12" s="601">
        <f>'[1]KM tal på biler 2013'!G14</f>
        <v>0</v>
      </c>
      <c r="H12" s="600">
        <f>'[1]KM tal på biler 2013'!H14</f>
        <v>4959.1499999999996</v>
      </c>
      <c r="I12" s="602">
        <f>'[1]KM tal på biler 2013'!I14</f>
        <v>0</v>
      </c>
      <c r="J12" s="603">
        <f>'[1]KM tal på biler 2013'!J14</f>
        <v>860</v>
      </c>
      <c r="K12" s="604">
        <f>'[1]KM tal på biler 2013'!K14</f>
        <v>9269.0299999999988</v>
      </c>
      <c r="L12" s="605">
        <f>'[1]KM tal på biler 2013'!L14</f>
        <v>1238.45</v>
      </c>
      <c r="M12" s="606">
        <f>'[1]KM tal på biler 2013'!M14</f>
        <v>10507.48</v>
      </c>
    </row>
    <row r="13" spans="1:13">
      <c r="A13" s="269" t="str">
        <f>'[1]KM tal på biler 2013'!A15</f>
        <v>April</v>
      </c>
      <c r="B13" s="286"/>
      <c r="C13" s="450"/>
      <c r="D13" s="600">
        <f>'[1]KM tal på biler 2013'!D15</f>
        <v>615.72</v>
      </c>
      <c r="E13" s="601">
        <f>'[1]KM tal på biler 2013'!E15</f>
        <v>0</v>
      </c>
      <c r="F13" s="600">
        <f>'[1]KM tal på biler 2013'!F15</f>
        <v>1846.98</v>
      </c>
      <c r="G13" s="601">
        <f>'[1]KM tal på biler 2013'!G15</f>
        <v>0</v>
      </c>
      <c r="H13" s="600">
        <f>'[1]KM tal på biler 2013'!H15</f>
        <v>2603.65</v>
      </c>
      <c r="I13" s="602">
        <f>'[1]KM tal på biler 2013'!I15</f>
        <v>0</v>
      </c>
      <c r="J13" s="603">
        <f>'[1]KM tal på biler 2013'!J15</f>
        <v>0</v>
      </c>
      <c r="K13" s="604">
        <f>'[1]KM tal på biler 2013'!K15</f>
        <v>5066.3500000000004</v>
      </c>
      <c r="L13" s="605">
        <f>'[1]KM tal på biler 2013'!L15</f>
        <v>489.7</v>
      </c>
      <c r="M13" s="606">
        <f>'[1]KM tal på biler 2013'!M15</f>
        <v>5556.05</v>
      </c>
    </row>
    <row r="14" spans="1:13" ht="15">
      <c r="A14" s="269" t="str">
        <f>'[1]KM tal på biler 2013'!A16</f>
        <v>Maj</v>
      </c>
      <c r="B14" s="286"/>
      <c r="C14" s="450"/>
      <c r="D14" s="600">
        <f>'[1]KM tal på biler 2013'!D16</f>
        <v>563.91999999999996</v>
      </c>
      <c r="E14" s="607">
        <f>'[1]KM tal på biler 2013'!E16</f>
        <v>0</v>
      </c>
      <c r="F14" s="600">
        <f>'[1]KM tal på biler 2013'!F16</f>
        <v>2408.64</v>
      </c>
      <c r="G14" s="607">
        <f>'[1]KM tal på biler 2013'!G16</f>
        <v>0</v>
      </c>
      <c r="H14" s="600">
        <f>'[1]KM tal på biler 2013'!H16</f>
        <v>3100.91</v>
      </c>
      <c r="I14" s="602">
        <f>'[1]KM tal på biler 2013'!I16</f>
        <v>0</v>
      </c>
      <c r="J14" s="837">
        <f>'[1]KM tal på biler 2013'!J16</f>
        <v>910.12</v>
      </c>
      <c r="K14" s="604">
        <f>'[1]KM tal på biler 2013'!K16</f>
        <v>6983.5899999999992</v>
      </c>
      <c r="L14" s="605">
        <f>'[1]KM tal på biler 2013'!L16</f>
        <v>359.83</v>
      </c>
      <c r="M14" s="606">
        <f>'[1]KM tal på biler 2013'!M16</f>
        <v>7343.4199999999992</v>
      </c>
    </row>
    <row r="15" spans="1:13" ht="15">
      <c r="A15" s="269" t="str">
        <f>'[1]KM tal på biler 2013'!A17</f>
        <v>Juni</v>
      </c>
      <c r="B15" s="286"/>
      <c r="C15" s="450"/>
      <c r="D15" s="600">
        <f>'[1]KM tal på biler 2013'!D17</f>
        <v>2163.13</v>
      </c>
      <c r="E15" s="608">
        <f>'[1]KM tal på biler 2013'!E17</f>
        <v>0</v>
      </c>
      <c r="F15" s="600">
        <f>'[1]KM tal på biler 2013'!F17</f>
        <v>3065.5</v>
      </c>
      <c r="G15" s="608">
        <f>'[1]KM tal på biler 2013'!G17</f>
        <v>0</v>
      </c>
      <c r="H15" s="600">
        <f>'[1]KM tal på biler 2013'!H17</f>
        <v>932.53</v>
      </c>
      <c r="I15" s="602">
        <f>'[1]KM tal på biler 2013'!I17</f>
        <v>0</v>
      </c>
      <c r="J15" s="837">
        <f>'[1]KM tal på biler 2013'!J17</f>
        <v>707</v>
      </c>
      <c r="K15" s="604">
        <f>'[1]KM tal på biler 2013'!K17</f>
        <v>6868.16</v>
      </c>
      <c r="L15" s="605">
        <f>'[1]KM tal på biler 2013'!L17</f>
        <v>259.85000000000002</v>
      </c>
      <c r="M15" s="606">
        <f>'[1]KM tal på biler 2013'!M17</f>
        <v>7128.01</v>
      </c>
    </row>
    <row r="16" spans="1:13" ht="15">
      <c r="A16" s="269" t="str">
        <f>'[1]KM tal på biler 2013'!A18</f>
        <v>Juli</v>
      </c>
      <c r="B16" s="286"/>
      <c r="C16" s="450"/>
      <c r="D16" s="600">
        <f>'[1]KM tal på biler 2013'!D18</f>
        <v>709.48</v>
      </c>
      <c r="E16" s="608">
        <f>'[1]KM tal på biler 2013'!E18</f>
        <v>0</v>
      </c>
      <c r="F16" s="600">
        <f>'[1]KM tal på biler 2013'!F18</f>
        <v>2092.9299999999998</v>
      </c>
      <c r="G16" s="608">
        <f>'[1]KM tal på biler 2013'!G18</f>
        <v>0</v>
      </c>
      <c r="H16" s="600">
        <f>'[1]KM tal på biler 2013'!H18</f>
        <v>3153.76</v>
      </c>
      <c r="I16" s="602">
        <f>'[1]KM tal på biler 2013'!I18</f>
        <v>0</v>
      </c>
      <c r="J16" s="837">
        <f>'[1]KM tal på biler 2013'!J18</f>
        <v>614.08000000000004</v>
      </c>
      <c r="K16" s="604">
        <f>'[1]KM tal på biler 2013'!K18</f>
        <v>6570.25</v>
      </c>
      <c r="L16" s="605">
        <f>'[1]KM tal på biler 2013'!L18</f>
        <v>284.83</v>
      </c>
      <c r="M16" s="606">
        <f>'[1]KM tal på biler 2013'!M18</f>
        <v>6855.08</v>
      </c>
    </row>
    <row r="17" spans="1:13" ht="15">
      <c r="A17" s="269" t="str">
        <f>'[1]KM tal på biler 2013'!A19</f>
        <v>August</v>
      </c>
      <c r="B17" s="286"/>
      <c r="C17" s="450"/>
      <c r="D17" s="600">
        <f>'[1]KM tal på biler 2013'!D19</f>
        <v>626.01</v>
      </c>
      <c r="E17" s="608">
        <f>'[1]KM tal på biler 2013'!E19</f>
        <v>0</v>
      </c>
      <c r="F17" s="600">
        <f>'[1]KM tal på biler 2013'!F19</f>
        <v>397.7</v>
      </c>
      <c r="G17" s="608">
        <f>'[1]KM tal på biler 2013'!G19</f>
        <v>0</v>
      </c>
      <c r="H17" s="600">
        <f>'[1]KM tal på biler 2013'!H19</f>
        <v>2105.67</v>
      </c>
      <c r="I17" s="602">
        <f>'[1]KM tal på biler 2013'!I19</f>
        <v>0</v>
      </c>
      <c r="J17" s="837">
        <f>'[1]KM tal på biler 2013'!J19</f>
        <v>0</v>
      </c>
      <c r="K17" s="604">
        <f>'[1]KM tal på biler 2013'!K19</f>
        <v>3129.38</v>
      </c>
      <c r="L17" s="605">
        <f>'[1]KM tal på biler 2013'!L19</f>
        <v>294.83</v>
      </c>
      <c r="M17" s="606">
        <f>'[1]KM tal på biler 2013'!M19</f>
        <v>3424.21</v>
      </c>
    </row>
    <row r="18" spans="1:13" ht="15">
      <c r="A18" s="269" t="str">
        <f>'[1]KM tal på biler 2013'!A20</f>
        <v>September</v>
      </c>
      <c r="B18" s="286"/>
      <c r="C18" s="450"/>
      <c r="D18" s="600">
        <f>'[1]KM tal på biler 2013'!D20</f>
        <v>2202.42</v>
      </c>
      <c r="E18" s="608">
        <f>'[1]KM tal på biler 2013'!E20</f>
        <v>0</v>
      </c>
      <c r="F18" s="600">
        <f>'[1]KM tal på biler 2013'!F20</f>
        <v>2117.2800000000002</v>
      </c>
      <c r="G18" s="608">
        <f>'[1]KM tal på biler 2013'!G20</f>
        <v>0</v>
      </c>
      <c r="H18" s="600">
        <f>'[1]KM tal på biler 2013'!H20</f>
        <v>2529.5100000000002</v>
      </c>
      <c r="I18" s="602">
        <f>'[1]KM tal på biler 2013'!I20</f>
        <v>0</v>
      </c>
      <c r="J18" s="837">
        <f>'[1]KM tal på biler 2013'!J20</f>
        <v>1803.03</v>
      </c>
      <c r="K18" s="604">
        <f>'[1]KM tal på biler 2013'!K20</f>
        <v>8652.2400000000016</v>
      </c>
      <c r="L18" s="605">
        <f>'[1]KM tal på biler 2013'!L20</f>
        <v>399.75</v>
      </c>
      <c r="M18" s="606">
        <f>'[1]KM tal på biler 2013'!M20</f>
        <v>9051.9900000000016</v>
      </c>
    </row>
    <row r="19" spans="1:13" ht="15">
      <c r="A19" s="269" t="str">
        <f>'[1]KM tal på biler 2013'!A21</f>
        <v>Oktober</v>
      </c>
      <c r="B19" s="286"/>
      <c r="C19" s="450"/>
      <c r="D19" s="600">
        <f>'[1]KM tal på biler 2013'!D21</f>
        <v>1927.37</v>
      </c>
      <c r="E19" s="608">
        <f>'[1]KM tal på biler 2013'!E21</f>
        <v>0</v>
      </c>
      <c r="F19" s="600">
        <f>'[1]KM tal på biler 2013'!F21</f>
        <v>0</v>
      </c>
      <c r="G19" s="608">
        <f>'[1]KM tal på biler 2013'!G21</f>
        <v>0</v>
      </c>
      <c r="H19" s="600">
        <f>'[1]KM tal på biler 2013'!H21</f>
        <v>4416.78</v>
      </c>
      <c r="I19" s="602">
        <f>'[1]KM tal på biler 2013'!I21</f>
        <v>0</v>
      </c>
      <c r="J19" s="837">
        <f>'[1]KM tal på biler 2013'!J21</f>
        <v>767.05</v>
      </c>
      <c r="K19" s="604">
        <f>'[1]KM tal på biler 2013'!K21</f>
        <v>7111.2</v>
      </c>
      <c r="L19" s="609">
        <f>'[1]KM tal på biler 2013'!L21</f>
        <v>319.8</v>
      </c>
      <c r="M19" s="606">
        <f>'[1]KM tal på biler 2013'!M21</f>
        <v>7431</v>
      </c>
    </row>
    <row r="20" spans="1:13" ht="15">
      <c r="A20" s="269" t="str">
        <f>'[1]KM tal på biler 2013'!A22</f>
        <v>November</v>
      </c>
      <c r="B20" s="286"/>
      <c r="C20" s="450"/>
      <c r="D20" s="600">
        <f>'[1]KM tal på biler 2013'!D22</f>
        <v>1777.57</v>
      </c>
      <c r="E20" s="608">
        <f>'[1]KM tal på biler 2013'!E22</f>
        <v>0</v>
      </c>
      <c r="F20" s="600">
        <f>'[1]KM tal på biler 2013'!F22</f>
        <v>2589.11</v>
      </c>
      <c r="G20" s="608">
        <f>'[1]KM tal på biler 2013'!G22</f>
        <v>0</v>
      </c>
      <c r="H20" s="600">
        <f>'[1]KM tal på biler 2013'!H22</f>
        <v>3619.28</v>
      </c>
      <c r="I20" s="602">
        <f>'[1]KM tal på biler 2013'!I22</f>
        <v>0</v>
      </c>
      <c r="J20" s="837">
        <f>'[1]KM tal på biler 2013'!J22</f>
        <v>2052.0700000000002</v>
      </c>
      <c r="K20" s="604">
        <f>'[1]KM tal på biler 2013'!K22</f>
        <v>10038.030000000001</v>
      </c>
      <c r="L20" s="605">
        <f>'[1]KM tal på biler 2013'!L22</f>
        <v>459.8</v>
      </c>
      <c r="M20" s="606">
        <f>'[1]KM tal på biler 2013'!M22</f>
        <v>10497.83</v>
      </c>
    </row>
    <row r="21" spans="1:13" ht="15.75" thickBot="1">
      <c r="A21" s="534" t="str">
        <f>'[1]KM tal på biler 2013'!A23</f>
        <v>December</v>
      </c>
      <c r="B21" s="309"/>
      <c r="C21" s="533"/>
      <c r="D21" s="610">
        <f>'[1]KM tal på biler 2013'!D23</f>
        <v>1142.05</v>
      </c>
      <c r="E21" s="611">
        <f>'[1]KM tal på biler 2013'!E23</f>
        <v>0</v>
      </c>
      <c r="F21" s="610">
        <f>'[1]KM tal på biler 2013'!F23</f>
        <v>0</v>
      </c>
      <c r="G21" s="611">
        <f>'[1]KM tal på biler 2013'!G23</f>
        <v>0</v>
      </c>
      <c r="H21" s="610">
        <f>'[1]KM tal på biler 2013'!H23</f>
        <v>0</v>
      </c>
      <c r="I21" s="602">
        <f>'[1]KM tal på biler 2013'!I23</f>
        <v>0</v>
      </c>
      <c r="J21" s="837">
        <f>'[1]KM tal på biler 2013'!J23</f>
        <v>0</v>
      </c>
      <c r="K21" s="612">
        <f>'[1]KM tal på biler 2013'!K23</f>
        <v>1142.05</v>
      </c>
      <c r="L21" s="613">
        <f>'[1]KM tal på biler 2013'!L23</f>
        <v>2013</v>
      </c>
      <c r="M21" s="614">
        <f>'[1]KM tal på biler 2013'!M23</f>
        <v>3155.05</v>
      </c>
    </row>
    <row r="22" spans="1:13" ht="13.5" thickBot="1">
      <c r="A22" s="523" t="str">
        <f>'[1]KM tal på biler 2013'!A24</f>
        <v>Total</v>
      </c>
      <c r="B22" s="296"/>
      <c r="C22" s="294"/>
      <c r="D22" s="615">
        <f>'[1]KM tal på biler 2013'!D24</f>
        <v>15648.96</v>
      </c>
      <c r="E22" s="616">
        <f>'[1]KM tal på biler 2013'!E24</f>
        <v>0</v>
      </c>
      <c r="F22" s="617">
        <f>'[1]KM tal på biler 2013'!F24</f>
        <v>19867.37</v>
      </c>
      <c r="G22" s="616">
        <f>'[1]KM tal på biler 2013'!G24</f>
        <v>0</v>
      </c>
      <c r="H22" s="617">
        <f>'[1]KM tal på biler 2013'!H24</f>
        <v>35019.279999999999</v>
      </c>
      <c r="I22" s="616">
        <f>'[1]KM tal på biler 2013'!I24</f>
        <v>0</v>
      </c>
      <c r="J22" s="617">
        <f>'[1]KM tal på biler 2013'!J24</f>
        <v>7713.35</v>
      </c>
      <c r="K22" s="618">
        <f>'[1]KM tal på biler 2013'!K24</f>
        <v>78248.959999999992</v>
      </c>
      <c r="L22" s="618">
        <f>'[1]KM tal på biler 2013'!L24</f>
        <v>7591.9500000000007</v>
      </c>
      <c r="M22" s="619">
        <f>'[1]KM tal på biler 2013'!M24</f>
        <v>85840.909999999989</v>
      </c>
    </row>
    <row r="23" spans="1:13">
      <c r="A23" s="226"/>
      <c r="B23" s="226"/>
      <c r="C23" s="226"/>
      <c r="D23" s="226"/>
      <c r="E23" s="226"/>
      <c r="F23" s="226"/>
      <c r="G23" s="226"/>
      <c r="H23" s="226"/>
      <c r="I23" s="226"/>
      <c r="J23" s="226"/>
      <c r="K23" s="226"/>
      <c r="L23" s="226"/>
      <c r="M23" s="2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8">
    <tabColor indexed="35"/>
  </sheetPr>
  <dimension ref="A2:M23"/>
  <sheetViews>
    <sheetView zoomScale="90" zoomScaleNormal="90" workbookViewId="0" xr3:uid="{51F8DEE0-4D01-5F28-A812-FC0BD7CAC4A5}">
      <selection activeCell="B256" sqref="B256"/>
    </sheetView>
  </sheetViews>
  <sheetFormatPr defaultColWidth="9.140625" defaultRowHeight="12.75"/>
  <cols>
    <col min="1" max="1" width="7.85546875" customWidth="1"/>
    <col min="2" max="2" width="6.140625" customWidth="1"/>
    <col min="3" max="3" width="16.42578125" customWidth="1"/>
    <col min="4" max="4" width="14.42578125" customWidth="1"/>
    <col min="5" max="6" width="14.7109375" customWidth="1"/>
    <col min="7" max="7" width="13.42578125" customWidth="1"/>
    <col min="8" max="9" width="14.140625" customWidth="1"/>
    <col min="10" max="10" width="14.7109375" customWidth="1"/>
    <col min="11" max="11" width="14.42578125" customWidth="1"/>
    <col min="12" max="12" width="13.42578125" customWidth="1"/>
    <col min="13" max="13" width="14.85546875" customWidth="1"/>
  </cols>
  <sheetData>
    <row r="2" spans="1:13" ht="13.5" thickBot="1"/>
    <row r="3" spans="1:13" ht="38.25">
      <c r="A3" s="382"/>
      <c r="B3" s="383"/>
      <c r="C3" s="410" t="s">
        <v>59</v>
      </c>
      <c r="D3" s="553"/>
      <c r="E3" s="410" t="s">
        <v>60</v>
      </c>
      <c r="F3" s="553"/>
      <c r="G3" s="410" t="s">
        <v>61</v>
      </c>
      <c r="H3" s="552"/>
      <c r="I3" s="551" t="s">
        <v>62</v>
      </c>
      <c r="J3" s="550"/>
      <c r="K3" s="412"/>
      <c r="L3" s="416"/>
      <c r="M3" s="226"/>
    </row>
    <row r="4" spans="1:13">
      <c r="A4" s="417"/>
      <c r="B4" s="226"/>
      <c r="C4" s="418"/>
      <c r="D4" s="549"/>
      <c r="E4" s="421"/>
      <c r="F4" s="549"/>
      <c r="G4" s="421"/>
      <c r="H4" s="548"/>
      <c r="I4" s="387"/>
      <c r="J4" s="547"/>
      <c r="K4" s="424"/>
      <c r="L4" s="420"/>
      <c r="M4" s="226"/>
    </row>
    <row r="5" spans="1:13">
      <c r="A5" s="417"/>
      <c r="B5" s="226"/>
      <c r="C5" s="418"/>
      <c r="D5" s="549"/>
      <c r="E5" s="421"/>
      <c r="F5" s="549"/>
      <c r="G5" s="421"/>
      <c r="H5" s="548"/>
      <c r="I5" s="387"/>
      <c r="J5" s="547"/>
      <c r="K5" s="424"/>
      <c r="L5" s="420"/>
      <c r="M5" s="226"/>
    </row>
    <row r="6" spans="1:13">
      <c r="A6" s="417"/>
      <c r="B6" s="226"/>
      <c r="C6" s="421"/>
      <c r="D6" s="546"/>
      <c r="E6" s="427"/>
      <c r="F6" s="546"/>
      <c r="G6" s="427"/>
      <c r="H6" s="545"/>
      <c r="I6" s="424"/>
      <c r="J6" s="544"/>
      <c r="K6" s="424"/>
      <c r="L6" s="420"/>
      <c r="M6" s="226"/>
    </row>
    <row r="7" spans="1:13" ht="14.25" customHeight="1">
      <c r="A7" s="417"/>
      <c r="B7" s="226"/>
      <c r="C7" s="421"/>
      <c r="D7" s="543" t="str">
        <f>'[2]KM tal på biler 2014'!D9</f>
        <v>Diesel</v>
      </c>
      <c r="E7" s="421"/>
      <c r="F7" s="543" t="str">
        <f>'[2]KM tal på biler 2014'!F9</f>
        <v>Diesel</v>
      </c>
      <c r="G7" s="421"/>
      <c r="H7" s="542" t="str">
        <f>'[2]KM tal på biler 2014'!H9</f>
        <v>Diesel</v>
      </c>
      <c r="I7" s="424"/>
      <c r="J7" s="538" t="str">
        <f>'[2]KM tal på biler 2014'!J9</f>
        <v>Benzin</v>
      </c>
      <c r="K7" s="433" t="str">
        <f>'[2]KM tal på biler 2014'!K9</f>
        <v>Brændstof i alt</v>
      </c>
      <c r="L7" s="420" t="str">
        <f>'[2]KM tal på biler 2014'!L9</f>
        <v>Vask mm.</v>
      </c>
      <c r="M7" s="226"/>
    </row>
    <row r="8" spans="1:13">
      <c r="A8" s="417"/>
      <c r="B8" s="226"/>
      <c r="C8" s="421"/>
      <c r="D8" s="538" t="str">
        <f>'[2]KM tal på biler 2014'!D10</f>
        <v>Kr.</v>
      </c>
      <c r="E8" s="435"/>
      <c r="F8" s="538" t="str">
        <f>'[2]KM tal på biler 2014'!F10</f>
        <v>Kr.</v>
      </c>
      <c r="G8" s="435"/>
      <c r="H8" s="540" t="str">
        <f>'[2]KM tal på biler 2014'!H10</f>
        <v>Kr.</v>
      </c>
      <c r="I8" s="431"/>
      <c r="J8" s="538" t="str">
        <f>'[2]KM tal på biler 2014'!J10</f>
        <v>Kr.</v>
      </c>
      <c r="K8" s="431" t="str">
        <f>'[2]KM tal på biler 2014'!K10</f>
        <v>Kr.</v>
      </c>
      <c r="L8" s="438" t="str">
        <f>'[2]KM tal på biler 2014'!L10</f>
        <v>Kr.</v>
      </c>
      <c r="M8" s="226"/>
    </row>
    <row r="9" spans="1:13">
      <c r="A9" s="417"/>
      <c r="B9" s="226"/>
      <c r="C9" s="541">
        <v>82001</v>
      </c>
      <c r="D9" s="538"/>
      <c r="E9" s="541">
        <v>82002</v>
      </c>
      <c r="F9" s="538"/>
      <c r="G9" s="541">
        <v>82003</v>
      </c>
      <c r="H9" s="540"/>
      <c r="I9" s="539">
        <v>82004</v>
      </c>
      <c r="J9" s="538"/>
      <c r="K9" s="431"/>
      <c r="L9" s="438"/>
      <c r="M9" s="226"/>
    </row>
    <row r="10" spans="1:13">
      <c r="A10" s="269" t="str">
        <f>'[2]KM tal på biler 2014'!A12</f>
        <v>Januar</v>
      </c>
      <c r="B10" s="286"/>
      <c r="C10" s="450"/>
      <c r="D10" s="659">
        <f>'[2]KM tal på biler 2014'!D12</f>
        <v>2993.64</v>
      </c>
      <c r="E10" s="450"/>
      <c r="F10" s="659">
        <f>'[2]KM tal på biler 2014'!F12</f>
        <v>3277.87</v>
      </c>
      <c r="G10" s="450"/>
      <c r="H10" s="659">
        <f>'[2]KM tal på biler 2014'!H12</f>
        <v>4164.6499999999996</v>
      </c>
      <c r="I10" s="478"/>
      <c r="J10" s="662">
        <f>'[2]KM tal på biler 2014'!J12</f>
        <v>1319.61</v>
      </c>
      <c r="K10" s="665">
        <f>'[2]KM tal på biler 2014'!K12</f>
        <v>11755.77</v>
      </c>
      <c r="L10" s="666">
        <f>'[2]KM tal på biler 2014'!L12</f>
        <v>754.5</v>
      </c>
      <c r="M10" s="667">
        <f>'[2]KM tal på biler 2014'!M12</f>
        <v>12510.27</v>
      </c>
    </row>
    <row r="11" spans="1:13">
      <c r="A11" s="269" t="str">
        <f>'[2]KM tal på biler 2014'!A13</f>
        <v>Februar</v>
      </c>
      <c r="B11" s="286"/>
      <c r="C11" s="450"/>
      <c r="D11" s="659">
        <f>'[2]KM tal på biler 2014'!D13</f>
        <v>1964.69</v>
      </c>
      <c r="E11" s="450"/>
      <c r="F11" s="659">
        <f>'[2]KM tal på biler 2014'!F13</f>
        <v>1906.99</v>
      </c>
      <c r="G11" s="450"/>
      <c r="H11" s="659">
        <f>'[2]KM tal på biler 2014'!H13</f>
        <v>3334.18</v>
      </c>
      <c r="I11" s="478"/>
      <c r="J11" s="662">
        <f>'[2]KM tal på biler 2014'!J13</f>
        <v>0</v>
      </c>
      <c r="K11" s="665">
        <f>'[2]KM tal på biler 2014'!K13</f>
        <v>7205.8600000000006</v>
      </c>
      <c r="L11" s="666">
        <f>'[2]KM tal på biler 2014'!L13</f>
        <v>913.65</v>
      </c>
      <c r="M11" s="667">
        <f>'[2]KM tal på biler 2014'!M13</f>
        <v>8119.51</v>
      </c>
    </row>
    <row r="12" spans="1:13">
      <c r="A12" s="269" t="str">
        <f>'[2]KM tal på biler 2014'!A14</f>
        <v>Marts</v>
      </c>
      <c r="B12" s="286"/>
      <c r="C12" s="450"/>
      <c r="D12" s="659">
        <f>'[2]KM tal på biler 2014'!D14</f>
        <v>1469.95</v>
      </c>
      <c r="E12" s="450"/>
      <c r="F12" s="659">
        <f>'[2]KM tal på biler 2014'!F14</f>
        <v>1997.71</v>
      </c>
      <c r="G12" s="450"/>
      <c r="H12" s="659">
        <f>'[2]KM tal på biler 2014'!H14</f>
        <v>3376.17</v>
      </c>
      <c r="I12" s="478"/>
      <c r="J12" s="662">
        <f>'[2]KM tal på biler 2014'!J14</f>
        <v>684.25</v>
      </c>
      <c r="K12" s="665">
        <f>'[2]KM tal på biler 2014'!K14</f>
        <v>7528.08</v>
      </c>
      <c r="L12" s="666">
        <f>'[2]KM tal på biler 2014'!L14</f>
        <v>699.6</v>
      </c>
      <c r="M12" s="667">
        <f>'[2]KM tal på biler 2014'!M14</f>
        <v>8227.68</v>
      </c>
    </row>
    <row r="13" spans="1:13">
      <c r="A13" s="269" t="str">
        <f>'[2]KM tal på biler 2014'!A15</f>
        <v>April</v>
      </c>
      <c r="B13" s="286"/>
      <c r="C13" s="450"/>
      <c r="D13" s="659">
        <f>'[2]KM tal på biler 2014'!D15</f>
        <v>1556.55</v>
      </c>
      <c r="E13" s="450"/>
      <c r="F13" s="659">
        <f>'[2]KM tal på biler 2014'!F15</f>
        <v>1042.03</v>
      </c>
      <c r="G13" s="450"/>
      <c r="H13" s="659">
        <f>'[2]KM tal på biler 2014'!H15</f>
        <v>2596.75</v>
      </c>
      <c r="I13" s="478"/>
      <c r="J13" s="662">
        <f>'[2]KM tal på biler 2014'!J15</f>
        <v>956.63</v>
      </c>
      <c r="K13" s="665">
        <f>'[2]KM tal på biler 2014'!K15</f>
        <v>6151.96</v>
      </c>
      <c r="L13" s="666">
        <f>'[2]KM tal på biler 2014'!L15</f>
        <v>419.75</v>
      </c>
      <c r="M13" s="667">
        <f>'[2]KM tal på biler 2014'!M15</f>
        <v>6571.71</v>
      </c>
    </row>
    <row r="14" spans="1:13" ht="15">
      <c r="A14" s="269" t="str">
        <f>'[2]KM tal på biler 2014'!A16</f>
        <v>Maj</v>
      </c>
      <c r="B14" s="286"/>
      <c r="C14" s="450"/>
      <c r="D14" s="659">
        <f>'[2]KM tal på biler 2014'!D16</f>
        <v>1263.75</v>
      </c>
      <c r="E14" s="537"/>
      <c r="F14" s="659">
        <f>'[2]KM tal på biler 2014'!F16</f>
        <v>1785.79</v>
      </c>
      <c r="G14" s="537"/>
      <c r="H14" s="659">
        <f>'[2]KM tal på biler 2014'!H16</f>
        <v>2852.54</v>
      </c>
      <c r="I14" s="478"/>
      <c r="J14" s="662">
        <f>'[2]KM tal på biler 2014'!J16</f>
        <v>0</v>
      </c>
      <c r="K14" s="665">
        <f>'[2]KM tal på biler 2014'!K16</f>
        <v>5902.08</v>
      </c>
      <c r="L14" s="666">
        <f>'[2]KM tal på biler 2014'!L16</f>
        <v>509.7</v>
      </c>
      <c r="M14" s="667">
        <f>'[2]KM tal på biler 2014'!M16</f>
        <v>6411.78</v>
      </c>
    </row>
    <row r="15" spans="1:13" ht="15">
      <c r="A15" s="269" t="str">
        <f>'[2]KM tal på biler 2014'!A17</f>
        <v>Juni</v>
      </c>
      <c r="B15" s="286"/>
      <c r="C15" s="450"/>
      <c r="D15" s="659">
        <f>'[2]KM tal på biler 2014'!D17</f>
        <v>1617.13</v>
      </c>
      <c r="E15" s="536"/>
      <c r="F15" s="659">
        <f>'[2]KM tal på biler 2014'!F17</f>
        <v>2541.31</v>
      </c>
      <c r="G15" s="536"/>
      <c r="H15" s="659">
        <f>'[2]KM tal på biler 2014'!H17</f>
        <v>2167.5500000000002</v>
      </c>
      <c r="I15" s="478"/>
      <c r="J15" s="662">
        <f>'[2]KM tal på biler 2014'!J17</f>
        <v>1327.87</v>
      </c>
      <c r="K15" s="665">
        <f>'[2]KM tal på biler 2014'!K17</f>
        <v>7653.8600000000006</v>
      </c>
      <c r="L15" s="666">
        <f>'[2]KM tal på biler 2014'!L17</f>
        <v>249.85</v>
      </c>
      <c r="M15" s="667">
        <f>'[2]KM tal på biler 2014'!M17</f>
        <v>7903.7100000000009</v>
      </c>
    </row>
    <row r="16" spans="1:13" ht="15">
      <c r="A16" s="269" t="str">
        <f>'[2]KM tal på biler 2014'!A18</f>
        <v>Juli</v>
      </c>
      <c r="B16" s="286"/>
      <c r="C16" s="450"/>
      <c r="D16" s="659">
        <f>'[2]KM tal på biler 2014'!D18</f>
        <v>2269.2600000000002</v>
      </c>
      <c r="E16" s="535"/>
      <c r="F16" s="659">
        <f>'[2]KM tal på biler 2014'!F18</f>
        <v>2430.59</v>
      </c>
      <c r="G16" s="535"/>
      <c r="H16" s="659">
        <f>'[2]KM tal på biler 2014'!H18</f>
        <v>2203.46</v>
      </c>
      <c r="I16" s="478"/>
      <c r="J16" s="662">
        <f>'[2]KM tal på biler 2014'!J18</f>
        <v>686.19</v>
      </c>
      <c r="K16" s="665">
        <f>'[2]KM tal på biler 2014'!K18</f>
        <v>7589.5</v>
      </c>
      <c r="L16" s="666">
        <f>'[2]KM tal på biler 2014'!L18</f>
        <v>349.8</v>
      </c>
      <c r="M16" s="667">
        <f>'[2]KM tal på biler 2014'!M18</f>
        <v>7939.3</v>
      </c>
    </row>
    <row r="17" spans="1:13" ht="15">
      <c r="A17" s="269" t="str">
        <f>'[2]KM tal på biler 2014'!A19</f>
        <v>August</v>
      </c>
      <c r="B17" s="286"/>
      <c r="C17" s="450"/>
      <c r="D17" s="659">
        <f>'[2]KM tal på biler 2014'!D19</f>
        <v>1627.61</v>
      </c>
      <c r="E17" s="536"/>
      <c r="F17" s="659">
        <f>'[2]KM tal på biler 2014'!F19</f>
        <v>2151.13</v>
      </c>
      <c r="G17" s="536"/>
      <c r="H17" s="659">
        <f>'[2]KM tal på biler 2014'!H19</f>
        <v>2711.72</v>
      </c>
      <c r="I17" s="478"/>
      <c r="J17" s="662">
        <f>'[2]KM tal på biler 2014'!J19</f>
        <v>0</v>
      </c>
      <c r="K17" s="665">
        <f>'[2]KM tal på biler 2014'!K19</f>
        <v>6490.4599999999991</v>
      </c>
      <c r="L17" s="666">
        <f>'[2]KM tal på biler 2014'!L19</f>
        <v>194.85</v>
      </c>
      <c r="M17" s="667">
        <f>'[2]KM tal på biler 2014'!M19</f>
        <v>6685.3099999999995</v>
      </c>
    </row>
    <row r="18" spans="1:13" ht="15">
      <c r="A18" s="269" t="str">
        <f>'[2]KM tal på biler 2014'!A20</f>
        <v>September</v>
      </c>
      <c r="B18" s="286"/>
      <c r="C18" s="450"/>
      <c r="D18" s="659">
        <f>'[2]KM tal på biler 2014'!D20</f>
        <v>2440.31</v>
      </c>
      <c r="E18" s="536"/>
      <c r="F18" s="659">
        <f>'[2]KM tal på biler 2014'!F20</f>
        <v>1761.04</v>
      </c>
      <c r="G18" s="535"/>
      <c r="H18" s="659">
        <f>'[2]KM tal på biler 2014'!H20</f>
        <v>1225.53</v>
      </c>
      <c r="I18" s="478"/>
      <c r="J18" s="662">
        <f>'[2]KM tal på biler 2014'!J20</f>
        <v>1921.22</v>
      </c>
      <c r="K18" s="665">
        <f>'[2]KM tal på biler 2014'!K20</f>
        <v>7348.1</v>
      </c>
      <c r="L18" s="666">
        <f>'[2]KM tal på biler 2014'!L20</f>
        <v>629.70000000000005</v>
      </c>
      <c r="M18" s="667">
        <f>'[2]KM tal på biler 2014'!M20</f>
        <v>7977.8</v>
      </c>
    </row>
    <row r="19" spans="1:13" ht="15">
      <c r="A19" s="269" t="str">
        <f>'[2]KM tal på biler 2014'!A21</f>
        <v>Oktober</v>
      </c>
      <c r="B19" s="286"/>
      <c r="C19" s="450"/>
      <c r="D19" s="659">
        <f>'[2]KM tal på biler 2014'!D21</f>
        <v>1955.04</v>
      </c>
      <c r="E19" s="536"/>
      <c r="F19" s="659">
        <f>'[2]KM tal på biler 2014'!F21</f>
        <v>1750.17</v>
      </c>
      <c r="G19" s="535"/>
      <c r="H19" s="659">
        <f>'[2]KM tal på biler 2014'!H21</f>
        <v>2006.08</v>
      </c>
      <c r="I19" s="478"/>
      <c r="J19" s="662">
        <f>'[2]KM tal på biler 2014'!J21</f>
        <v>869.02</v>
      </c>
      <c r="K19" s="665">
        <f>'[2]KM tal på biler 2014'!K21</f>
        <v>6580.3099999999995</v>
      </c>
      <c r="L19" s="666">
        <f>'[2]KM tal på biler 2014'!L21</f>
        <v>359.7</v>
      </c>
      <c r="M19" s="667">
        <f>'[2]KM tal på biler 2014'!M21</f>
        <v>6940.0099999999993</v>
      </c>
    </row>
    <row r="20" spans="1:13" ht="15">
      <c r="A20" s="269" t="str">
        <f>'[2]KM tal på biler 2014'!A22</f>
        <v>November</v>
      </c>
      <c r="B20" s="286"/>
      <c r="C20" s="450"/>
      <c r="D20" s="659">
        <f>'[2]KM tal på biler 2014'!D22</f>
        <v>2199.23</v>
      </c>
      <c r="E20" s="536"/>
      <c r="F20" s="659">
        <f>'[2]KM tal på biler 2014'!F22</f>
        <v>2051.75</v>
      </c>
      <c r="G20" s="535"/>
      <c r="H20" s="659">
        <f>'[2]KM tal på biler 2014'!H22</f>
        <v>1619.37</v>
      </c>
      <c r="I20" s="478"/>
      <c r="J20" s="662">
        <f>'[2]KM tal på biler 2014'!J22</f>
        <v>1492.91</v>
      </c>
      <c r="K20" s="665">
        <f>'[2]KM tal på biler 2014'!K22</f>
        <v>7363.2599999999993</v>
      </c>
      <c r="L20" s="666">
        <f>'[2]KM tal på biler 2014'!L22</f>
        <v>149.9</v>
      </c>
      <c r="M20" s="667">
        <f>'[2]KM tal på biler 2014'!M22</f>
        <v>7513.1599999999989</v>
      </c>
    </row>
    <row r="21" spans="1:13" ht="15.75" thickBot="1">
      <c r="A21" s="534" t="str">
        <f>'[2]KM tal på biler 2014'!A23</f>
        <v>December</v>
      </c>
      <c r="B21" s="309"/>
      <c r="C21" s="533"/>
      <c r="D21" s="659">
        <f>'[2]KM tal på biler 2014'!D23</f>
        <v>1043.5</v>
      </c>
      <c r="E21" s="532"/>
      <c r="F21" s="660">
        <f>'[2]KM tal på biler 2014'!F23</f>
        <v>1718.2</v>
      </c>
      <c r="G21" s="531"/>
      <c r="H21" s="660">
        <f>'[2]KM tal på biler 2014'!H23</f>
        <v>2421.94</v>
      </c>
      <c r="I21" s="655"/>
      <c r="J21" s="663">
        <f>'[2]KM tal på biler 2014'!J23</f>
        <v>150.44999999999999</v>
      </c>
      <c r="K21" s="668">
        <f>'[2]KM tal på biler 2014'!K23</f>
        <v>5334.0899999999992</v>
      </c>
      <c r="L21" s="666">
        <f>'[2]KM tal på biler 2014'!L23</f>
        <v>189.85</v>
      </c>
      <c r="M21" s="669">
        <f>'[2]KM tal på biler 2014'!M23</f>
        <v>5523.94</v>
      </c>
    </row>
    <row r="22" spans="1:13" ht="14.25" thickTop="1" thickBot="1">
      <c r="A22" s="523" t="str">
        <f>'[2]KM tal på biler 2014'!A24</f>
        <v>Total</v>
      </c>
      <c r="B22" s="296"/>
      <c r="C22" s="656"/>
      <c r="D22" s="661">
        <f>'[2]KM tal på biler 2014'!D24</f>
        <v>22400.66</v>
      </c>
      <c r="E22" s="657">
        <f>'[2]KM tal på biler 2014'!E24</f>
        <v>0</v>
      </c>
      <c r="F22" s="661">
        <f>'[2]KM tal på biler 2014'!F24</f>
        <v>24414.579999999998</v>
      </c>
      <c r="G22" s="657"/>
      <c r="H22" s="661">
        <f>'[2]KM tal på biler 2014'!H24</f>
        <v>30679.939999999995</v>
      </c>
      <c r="I22" s="658"/>
      <c r="J22" s="664">
        <f>'[2]KM tal på biler 2014'!J24</f>
        <v>9408.15</v>
      </c>
      <c r="K22" s="670">
        <f>'[2]KM tal på biler 2014'!K24</f>
        <v>86903.329999999987</v>
      </c>
      <c r="L22" s="671">
        <f>'[2]KM tal på biler 2014'!L24</f>
        <v>5420.8499999999995</v>
      </c>
      <c r="M22" s="672">
        <f>'[2]KM tal på biler 2014'!M24</f>
        <v>92324.18</v>
      </c>
    </row>
    <row r="23" spans="1:13">
      <c r="A23" s="226"/>
      <c r="B23" s="226"/>
      <c r="C23" s="226"/>
      <c r="D23" s="226"/>
      <c r="E23" s="226"/>
      <c r="F23" s="226"/>
      <c r="G23" s="226"/>
      <c r="H23" s="226"/>
      <c r="I23" s="226"/>
      <c r="J23" s="226"/>
      <c r="K23" s="226"/>
      <c r="L23" s="226"/>
      <c r="M23" s="22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9">
    <tabColor indexed="35"/>
  </sheetPr>
  <dimension ref="A2:M22"/>
  <sheetViews>
    <sheetView zoomScale="90" zoomScaleNormal="90" workbookViewId="0" xr3:uid="{F9CF3CF3-643B-5BE6-8B46-32C596A47465}">
      <selection activeCell="H16" sqref="H16"/>
    </sheetView>
  </sheetViews>
  <sheetFormatPr defaultColWidth="9.140625" defaultRowHeight="12"/>
  <cols>
    <col min="1" max="1" width="7.85546875" style="714" customWidth="1"/>
    <col min="2" max="2" width="6.140625" style="714" customWidth="1"/>
    <col min="3" max="3" width="16.42578125" style="714" customWidth="1"/>
    <col min="4" max="4" width="14.42578125" style="714" customWidth="1"/>
    <col min="5" max="6" width="14.7109375" style="714" customWidth="1"/>
    <col min="7" max="7" width="13.42578125" style="714" customWidth="1"/>
    <col min="8" max="9" width="14.140625" style="714" customWidth="1"/>
    <col min="10" max="10" width="14.7109375" style="714" customWidth="1"/>
    <col min="11" max="11" width="14.42578125" style="714" customWidth="1"/>
    <col min="12" max="12" width="13.42578125" style="714" customWidth="1"/>
    <col min="13" max="13" width="14.85546875" style="714" customWidth="1"/>
    <col min="14" max="16384" width="9.140625" style="714"/>
  </cols>
  <sheetData>
    <row r="2" spans="1:13" ht="12.75" thickBot="1"/>
    <row r="3" spans="1:13" ht="38.25">
      <c r="A3" s="770"/>
      <c r="B3" s="769"/>
      <c r="C3" s="768" t="s">
        <v>59</v>
      </c>
      <c r="D3" s="767"/>
      <c r="E3" s="766" t="s">
        <v>60</v>
      </c>
      <c r="F3" s="767"/>
      <c r="G3" s="766" t="s">
        <v>61</v>
      </c>
      <c r="H3" s="765"/>
      <c r="I3" s="764" t="s">
        <v>62</v>
      </c>
      <c r="J3" s="763"/>
      <c r="K3" s="762"/>
      <c r="L3" s="761"/>
    </row>
    <row r="4" spans="1:13">
      <c r="A4" s="743"/>
      <c r="C4" s="760"/>
      <c r="D4" s="759"/>
      <c r="E4" s="751"/>
      <c r="F4" s="759"/>
      <c r="G4" s="751"/>
      <c r="H4" s="758"/>
      <c r="I4" s="757"/>
      <c r="J4" s="756"/>
      <c r="K4" s="749"/>
      <c r="L4" s="746"/>
    </row>
    <row r="5" spans="1:13">
      <c r="A5" s="743"/>
      <c r="C5" s="760"/>
      <c r="D5" s="759"/>
      <c r="E5" s="751"/>
      <c r="F5" s="759"/>
      <c r="G5" s="751"/>
      <c r="H5" s="758"/>
      <c r="I5" s="757"/>
      <c r="J5" s="756"/>
      <c r="K5" s="749"/>
      <c r="L5" s="746"/>
    </row>
    <row r="6" spans="1:13">
      <c r="A6" s="743"/>
      <c r="C6" s="745"/>
      <c r="D6" s="755"/>
      <c r="E6" s="754"/>
      <c r="F6" s="755"/>
      <c r="G6" s="754"/>
      <c r="H6" s="753"/>
      <c r="I6" s="749"/>
      <c r="J6" s="752"/>
      <c r="K6" s="749"/>
      <c r="L6" s="746"/>
    </row>
    <row r="7" spans="1:13" ht="14.25" customHeight="1">
      <c r="A7" s="743"/>
      <c r="C7" s="745"/>
      <c r="D7" s="741" t="str">
        <f>'[2]KM tal på biler 2014'!D9</f>
        <v>Diesel</v>
      </c>
      <c r="E7" s="751"/>
      <c r="F7" s="741" t="str">
        <f>'[2]KM tal på biler 2014'!F9</f>
        <v>Diesel</v>
      </c>
      <c r="G7" s="751"/>
      <c r="H7" s="750" t="str">
        <f>'[2]KM tal på biler 2014'!H9</f>
        <v>Diesel</v>
      </c>
      <c r="I7" s="749"/>
      <c r="J7" s="748" t="str">
        <f>'[2]KM tal på biler 2014'!J9</f>
        <v>Benzin</v>
      </c>
      <c r="K7" s="747" t="str">
        <f>'[2]KM tal på biler 2014'!K9</f>
        <v>Brændstof i alt</v>
      </c>
      <c r="L7" s="746" t="str">
        <f>'[2]KM tal på biler 2014'!L9</f>
        <v>Vask mm.</v>
      </c>
    </row>
    <row r="8" spans="1:13">
      <c r="A8" s="743"/>
      <c r="C8" s="745"/>
      <c r="D8" s="741" t="str">
        <f>'[2]KM tal på biler 2014'!D10</f>
        <v>Kr.</v>
      </c>
      <c r="E8" s="744"/>
      <c r="F8" s="741" t="str">
        <f>'[2]KM tal på biler 2014'!F10</f>
        <v>Kr.</v>
      </c>
      <c r="G8" s="744"/>
      <c r="H8" s="739" t="str">
        <f>'[2]KM tal på biler 2014'!H10</f>
        <v>Kr.</v>
      </c>
      <c r="I8" s="736"/>
      <c r="J8" s="737" t="str">
        <f>'[2]KM tal på biler 2014'!J10</f>
        <v>Kr.</v>
      </c>
      <c r="K8" s="736" t="str">
        <f>'[2]KM tal på biler 2014'!K10</f>
        <v>Kr.</v>
      </c>
      <c r="L8" s="735" t="str">
        <f>'[2]KM tal på biler 2014'!L10</f>
        <v>Kr.</v>
      </c>
    </row>
    <row r="9" spans="1:13" ht="12.75">
      <c r="A9" s="743"/>
      <c r="C9" s="742">
        <v>82001</v>
      </c>
      <c r="D9" s="741"/>
      <c r="E9" s="740">
        <v>82002</v>
      </c>
      <c r="F9" s="741"/>
      <c r="G9" s="740">
        <v>82003</v>
      </c>
      <c r="H9" s="739"/>
      <c r="I9" s="738">
        <v>82004</v>
      </c>
      <c r="J9" s="737"/>
      <c r="K9" s="736"/>
      <c r="L9" s="735"/>
    </row>
    <row r="10" spans="1:13" ht="12.75">
      <c r="A10" s="731" t="str">
        <f>'[2]KM tal på biler 2014'!A12</f>
        <v>Januar</v>
      </c>
      <c r="B10" s="730"/>
      <c r="C10" s="729"/>
      <c r="D10" s="659">
        <f>'[3]KM tal på biler 2015'!D12</f>
        <v>1498.69</v>
      </c>
      <c r="E10" s="733"/>
      <c r="F10" s="659">
        <f>'[3]KM tal på biler 2015'!F12</f>
        <v>1900.78</v>
      </c>
      <c r="G10" s="733"/>
      <c r="H10" s="659">
        <f>'[3]KM tal på biler 2015'!H12</f>
        <v>1540.01</v>
      </c>
      <c r="I10" s="726"/>
      <c r="J10" s="662">
        <f>'[3]KM tal på biler 2015'!J12</f>
        <v>750.02</v>
      </c>
      <c r="K10" s="665">
        <f>'[3]KM tal på biler 2015'!K12</f>
        <v>5689.5</v>
      </c>
      <c r="L10" s="666">
        <f>'[3]KM tal på biler 2015'!L12</f>
        <v>639.75</v>
      </c>
      <c r="M10" s="667">
        <f>'[3]KM tal på biler 2015'!M12</f>
        <v>6329.25</v>
      </c>
    </row>
    <row r="11" spans="1:13" ht="12.75">
      <c r="A11" s="731" t="str">
        <f>'[2]KM tal på biler 2014'!A13</f>
        <v>Februar</v>
      </c>
      <c r="B11" s="730"/>
      <c r="C11" s="729"/>
      <c r="D11" s="659">
        <f>'[3]KM tal på biler 2015'!D13</f>
        <v>1521.35</v>
      </c>
      <c r="E11" s="733"/>
      <c r="F11" s="659">
        <f>'[3]KM tal på biler 2015'!F13</f>
        <v>1606.06</v>
      </c>
      <c r="G11" s="733"/>
      <c r="H11" s="659">
        <f>'[3]KM tal på biler 2015'!H13</f>
        <v>2718.49</v>
      </c>
      <c r="I11" s="726"/>
      <c r="J11" s="662">
        <f>'[3]KM tal på biler 2015'!J13</f>
        <v>0</v>
      </c>
      <c r="K11" s="665">
        <f>'[3]KM tal på biler 2015'!K13</f>
        <v>5845.9</v>
      </c>
      <c r="L11" s="666">
        <f>'[3]KM tal på biler 2015'!L13</f>
        <v>599.70000000000005</v>
      </c>
      <c r="M11" s="667">
        <f>'[3]KM tal på biler 2015'!M13</f>
        <v>6445.5999999999995</v>
      </c>
    </row>
    <row r="12" spans="1:13" ht="12.75">
      <c r="A12" s="731" t="str">
        <f>'[2]KM tal på biler 2014'!A14</f>
        <v>Marts</v>
      </c>
      <c r="B12" s="730"/>
      <c r="C12" s="729"/>
      <c r="D12" s="659">
        <f>'[3]KM tal på biler 2015'!D14</f>
        <v>1935.35</v>
      </c>
      <c r="E12" s="733"/>
      <c r="F12" s="659">
        <f>'[3]KM tal på biler 2015'!F14</f>
        <v>2132.6999999999998</v>
      </c>
      <c r="G12" s="734"/>
      <c r="H12" s="659">
        <f>'[3]KM tal på biler 2015'!H14</f>
        <v>2052.46</v>
      </c>
      <c r="I12" s="726"/>
      <c r="J12" s="662">
        <f>'[3]KM tal på biler 2015'!J14</f>
        <v>704.4</v>
      </c>
      <c r="K12" s="665">
        <f>'[3]KM tal på biler 2015'!K14</f>
        <v>6824.91</v>
      </c>
      <c r="L12" s="666">
        <f>'[3]KM tal på biler 2015'!L14</f>
        <v>919.75</v>
      </c>
      <c r="M12" s="667">
        <f>'[3]KM tal på biler 2015'!M14</f>
        <v>7744.66</v>
      </c>
    </row>
    <row r="13" spans="1:13" ht="12.75">
      <c r="A13" s="731" t="str">
        <f>'[2]KM tal på biler 2014'!A15</f>
        <v>April</v>
      </c>
      <c r="B13" s="730"/>
      <c r="C13" s="729"/>
      <c r="D13" s="659">
        <f>'[3]KM tal på biler 2015'!D15</f>
        <v>1592.89</v>
      </c>
      <c r="E13" s="733"/>
      <c r="F13" s="659">
        <f>'[3]KM tal på biler 2015'!F15</f>
        <v>2123.84</v>
      </c>
      <c r="G13" s="733"/>
      <c r="H13" s="659">
        <f>'[3]KM tal på biler 2015'!H15</f>
        <v>2672.62</v>
      </c>
      <c r="I13" s="726"/>
      <c r="J13" s="662">
        <f>'[3]KM tal på biler 2015'!J15</f>
        <v>736.57</v>
      </c>
      <c r="K13" s="665">
        <f>'[3]KM tal på biler 2015'!K15</f>
        <v>7125.92</v>
      </c>
      <c r="L13" s="666">
        <f>'[3]KM tal på biler 2015'!L15</f>
        <v>219.7</v>
      </c>
      <c r="M13" s="667">
        <f>'[3]KM tal på biler 2015'!M15</f>
        <v>7345.62</v>
      </c>
    </row>
    <row r="14" spans="1:13" ht="15">
      <c r="A14" s="731" t="str">
        <f>'[2]KM tal på biler 2014'!A16</f>
        <v>Maj</v>
      </c>
      <c r="B14" s="730"/>
      <c r="C14" s="729"/>
      <c r="D14" s="659">
        <f>'[3]KM tal på biler 2015'!D16</f>
        <v>1240.6600000000001</v>
      </c>
      <c r="E14" s="732"/>
      <c r="F14" s="659">
        <f>'[3]KM tal på biler 2015'!F16</f>
        <v>1631.15</v>
      </c>
      <c r="G14" s="732"/>
      <c r="H14" s="659">
        <f>'[3]KM tal på biler 2015'!H16</f>
        <v>1281.43</v>
      </c>
      <c r="I14" s="726"/>
      <c r="J14" s="662">
        <f>'[3]KM tal på biler 2015'!J16</f>
        <v>2130.98</v>
      </c>
      <c r="K14" s="665">
        <f>'[3]KM tal på biler 2015'!K16</f>
        <v>6284.2200000000012</v>
      </c>
      <c r="L14" s="666">
        <f>'[3]KM tal på biler 2015'!L16</f>
        <v>339.85</v>
      </c>
      <c r="M14" s="667">
        <f>'[3]KM tal på biler 2015'!M16</f>
        <v>6624.0700000000015</v>
      </c>
    </row>
    <row r="15" spans="1:13" ht="15">
      <c r="A15" s="731" t="str">
        <f>'[2]KM tal på biler 2014'!A17</f>
        <v>Juni</v>
      </c>
      <c r="B15" s="730"/>
      <c r="C15" s="729"/>
      <c r="D15" s="659">
        <f>'[3]KM tal på biler 2015'!D17</f>
        <v>1540.47</v>
      </c>
      <c r="E15" s="728"/>
      <c r="F15" s="659">
        <f>'[3]KM tal på biler 2015'!F17</f>
        <v>2692.59</v>
      </c>
      <c r="G15" s="728"/>
      <c r="H15" s="659">
        <f>'[3]KM tal på biler 2015'!H17</f>
        <v>1651.86</v>
      </c>
      <c r="I15" s="726"/>
      <c r="J15" s="662">
        <f>'[3]KM tal på biler 2015'!J17</f>
        <v>664.69</v>
      </c>
      <c r="K15" s="665">
        <f>'[3]KM tal på biler 2015'!K17</f>
        <v>6549.6100000000006</v>
      </c>
      <c r="L15" s="666">
        <f>'[3]KM tal på biler 2015'!L17</f>
        <v>299.8</v>
      </c>
      <c r="M15" s="667">
        <f>'[3]KM tal på biler 2015'!M17</f>
        <v>6849.4100000000008</v>
      </c>
    </row>
    <row r="16" spans="1:13" ht="15">
      <c r="A16" s="731" t="str">
        <f>'[2]KM tal på biler 2014'!A18</f>
        <v>Juli</v>
      </c>
      <c r="B16" s="730"/>
      <c r="C16" s="729"/>
      <c r="D16" s="659">
        <f>'[3]KM tal på biler 2015'!D18</f>
        <v>2071.3000000000002</v>
      </c>
      <c r="E16" s="727"/>
      <c r="F16" s="659">
        <f>'[3]KM tal på biler 2015'!F18</f>
        <v>1715.97</v>
      </c>
      <c r="G16" s="727"/>
      <c r="H16" s="659">
        <f>'[3]KM tal på biler 2015'!H18</f>
        <v>439</v>
      </c>
      <c r="I16" s="726"/>
      <c r="J16" s="662">
        <f>'[3]KM tal på biler 2015'!J18</f>
        <v>1061.9100000000001</v>
      </c>
      <c r="K16" s="665">
        <f>'[3]KM tal på biler 2015'!K18</f>
        <v>5288.18</v>
      </c>
      <c r="L16" s="666">
        <f>'[3]KM tal på biler 2015'!L18</f>
        <v>734.65</v>
      </c>
      <c r="M16" s="667">
        <f>'[3]KM tal på biler 2015'!M18</f>
        <v>6022.83</v>
      </c>
    </row>
    <row r="17" spans="1:13" ht="15">
      <c r="A17" s="731" t="str">
        <f>'[2]KM tal på biler 2014'!A19</f>
        <v>August</v>
      </c>
      <c r="B17" s="730"/>
      <c r="C17" s="729"/>
      <c r="D17" s="659">
        <f>'[3]KM tal på biler 2015'!D19</f>
        <v>1844.71</v>
      </c>
      <c r="E17" s="728"/>
      <c r="F17" s="659">
        <f>'[3]KM tal på biler 2015'!F19</f>
        <v>2244.1999999999998</v>
      </c>
      <c r="G17" s="728"/>
      <c r="H17" s="659">
        <f>'[3]KM tal på biler 2015'!H19</f>
        <v>0</v>
      </c>
      <c r="I17" s="726"/>
      <c r="J17" s="662">
        <f>'[3]KM tal på biler 2015'!J19</f>
        <v>683.16</v>
      </c>
      <c r="K17" s="665">
        <f>'[3]KM tal på biler 2015'!K19</f>
        <v>4772.07</v>
      </c>
      <c r="L17" s="666">
        <f>'[3]KM tal på biler 2015'!L19</f>
        <v>739.65</v>
      </c>
      <c r="M17" s="667">
        <f>'[3]KM tal på biler 2015'!M19</f>
        <v>5511.7199999999993</v>
      </c>
    </row>
    <row r="18" spans="1:13" ht="15">
      <c r="A18" s="731" t="str">
        <f>'[2]KM tal på biler 2014'!A20</f>
        <v>September</v>
      </c>
      <c r="B18" s="730"/>
      <c r="C18" s="729"/>
      <c r="D18" s="659">
        <f>'[3]KM tal på biler 2015'!D20</f>
        <v>1253.74</v>
      </c>
      <c r="E18" s="728"/>
      <c r="F18" s="659">
        <f>'[3]KM tal på biler 2015'!F20</f>
        <v>1726.38</v>
      </c>
      <c r="G18" s="727"/>
      <c r="H18" s="659">
        <f>'[3]KM tal på biler 2015'!H20</f>
        <v>0</v>
      </c>
      <c r="I18" s="726"/>
      <c r="J18" s="662">
        <f>'[3]KM tal på biler 2015'!J20</f>
        <v>770.07</v>
      </c>
      <c r="K18" s="665">
        <f>'[3]KM tal på biler 2015'!K20</f>
        <v>3750.19</v>
      </c>
      <c r="L18" s="666">
        <f>'[3]KM tal på biler 2015'!L20</f>
        <v>0</v>
      </c>
      <c r="M18" s="667">
        <f>'[3]KM tal på biler 2015'!M20</f>
        <v>3750.19</v>
      </c>
    </row>
    <row r="19" spans="1:13" ht="15">
      <c r="A19" s="731" t="str">
        <f>'[2]KM tal på biler 2014'!A21</f>
        <v>Oktober</v>
      </c>
      <c r="B19" s="730"/>
      <c r="C19" s="729"/>
      <c r="D19" s="659">
        <f>'[3]KM tal på biler 2015'!D21</f>
        <v>1648.98</v>
      </c>
      <c r="E19" s="728"/>
      <c r="F19" s="659">
        <f>'[3]KM tal på biler 2015'!F21</f>
        <v>2129.8200000000002</v>
      </c>
      <c r="G19" s="727"/>
      <c r="H19" s="659">
        <f>'[3]KM tal på biler 2015'!H21</f>
        <v>0</v>
      </c>
      <c r="I19" s="726"/>
      <c r="J19" s="662">
        <f>'[3]KM tal på biler 2015'!J21</f>
        <v>393.71</v>
      </c>
      <c r="K19" s="665">
        <f>'[3]KM tal på biler 2015'!K21</f>
        <v>4172.51</v>
      </c>
      <c r="L19" s="666">
        <f>'[3]KM tal på biler 2015'!L21</f>
        <v>579.70000000000005</v>
      </c>
      <c r="M19" s="667">
        <f>'[3]KM tal på biler 2015'!M21</f>
        <v>4752.21</v>
      </c>
    </row>
    <row r="20" spans="1:13" ht="15">
      <c r="A20" s="731" t="str">
        <f>'[2]KM tal på biler 2014'!A22</f>
        <v>November</v>
      </c>
      <c r="B20" s="730"/>
      <c r="C20" s="729"/>
      <c r="D20" s="659">
        <f>'[3]KM tal på biler 2015'!D22</f>
        <v>1808.37</v>
      </c>
      <c r="E20" s="728"/>
      <c r="F20" s="659">
        <f>'[3]KM tal på biler 2015'!F22</f>
        <v>1839.7</v>
      </c>
      <c r="G20" s="727"/>
      <c r="H20" s="659">
        <f>'[3]KM tal på biler 2015'!H22</f>
        <v>0</v>
      </c>
      <c r="I20" s="726"/>
      <c r="J20" s="662">
        <f>'[3]KM tal på biler 2015'!J22</f>
        <v>1267.73</v>
      </c>
      <c r="K20" s="665">
        <f>'[3]KM tal på biler 2015'!K22</f>
        <v>4915.7999999999993</v>
      </c>
      <c r="L20" s="666">
        <f>'[3]KM tal på biler 2015'!L22</f>
        <v>813.8</v>
      </c>
      <c r="M20" s="667">
        <f>'[3]KM tal på biler 2015'!M22</f>
        <v>5729.5999999999995</v>
      </c>
    </row>
    <row r="21" spans="1:13" ht="15.75" thickBot="1">
      <c r="A21" s="725" t="str">
        <f>'[2]KM tal på biler 2014'!A23</f>
        <v>December</v>
      </c>
      <c r="B21" s="724"/>
      <c r="C21" s="723"/>
      <c r="D21" s="659">
        <f>'[3]KM tal på biler 2015'!D23</f>
        <v>1489.26</v>
      </c>
      <c r="E21" s="722"/>
      <c r="F21" s="660">
        <f>'[3]KM tal på biler 2015'!F23</f>
        <v>1009.54</v>
      </c>
      <c r="G21" s="721"/>
      <c r="H21" s="660">
        <f>'[3]KM tal på biler 2015'!H23</f>
        <v>141.88</v>
      </c>
      <c r="I21" s="720"/>
      <c r="J21" s="663">
        <f>'[3]KM tal på biler 2015'!J23</f>
        <v>0</v>
      </c>
      <c r="K21" s="668">
        <f>'[3]KM tal på biler 2015'!K23</f>
        <v>2640.6800000000003</v>
      </c>
      <c r="L21" s="666">
        <f>'[3]KM tal på biler 2015'!L23</f>
        <v>239.9</v>
      </c>
      <c r="M21" s="669">
        <f>'[3]KM tal på biler 2015'!M23</f>
        <v>2880.5800000000004</v>
      </c>
    </row>
    <row r="22" spans="1:13" ht="14.25" thickTop="1" thickBot="1">
      <c r="A22" s="719" t="str">
        <f>'[2]KM tal på biler 2014'!A24</f>
        <v>Total</v>
      </c>
      <c r="B22" s="718"/>
      <c r="C22" s="717"/>
      <c r="D22" s="661">
        <f>'[3]KM tal på biler 2015'!D24</f>
        <v>19445.769999999997</v>
      </c>
      <c r="E22" s="716">
        <f>'[2]KM tal på biler 2014'!E24</f>
        <v>0</v>
      </c>
      <c r="F22" s="661">
        <f>'[3]KM tal på biler 2015'!F24</f>
        <v>22752.730000000003</v>
      </c>
      <c r="G22" s="716"/>
      <c r="H22" s="661">
        <f>'[3]KM tal på biler 2015'!H24</f>
        <v>12497.75</v>
      </c>
      <c r="I22" s="715"/>
      <c r="J22" s="661">
        <f>'[3]KM tal på biler 2015'!J24</f>
        <v>9163.24</v>
      </c>
      <c r="K22" s="670">
        <f>'[3]KM tal på biler 2015'!K24</f>
        <v>63859.49</v>
      </c>
      <c r="L22" s="671" t="b">
        <f>'[3]KM tal på biler 2015'!L24</f>
        <v>0</v>
      </c>
      <c r="M22" s="672">
        <f>'[3]KM tal på biler 2015'!M24</f>
        <v>63859.49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10">
    <tabColor indexed="35"/>
  </sheetPr>
  <dimension ref="A2:L22"/>
  <sheetViews>
    <sheetView zoomScale="90" zoomScaleNormal="90" workbookViewId="0" xr3:uid="{78B4E459-6924-5F8B-B7BA-2DD04133E49E}">
      <selection activeCell="T15" sqref="T15"/>
    </sheetView>
  </sheetViews>
  <sheetFormatPr defaultColWidth="9.140625" defaultRowHeight="12"/>
  <cols>
    <col min="1" max="1" width="7.85546875" style="714" customWidth="1"/>
    <col min="2" max="2" width="16.42578125" style="714" customWidth="1"/>
    <col min="3" max="3" width="14.42578125" style="714" customWidth="1"/>
    <col min="4" max="5" width="14.7109375" style="714" customWidth="1"/>
    <col min="6" max="6" width="13.42578125" style="714" customWidth="1"/>
    <col min="7" max="8" width="14.140625" style="714" customWidth="1"/>
    <col min="9" max="9" width="14.7109375" style="714" customWidth="1"/>
    <col min="10" max="10" width="14.42578125" style="714" customWidth="1"/>
    <col min="11" max="11" width="13.42578125" style="714" customWidth="1"/>
    <col min="12" max="12" width="14.85546875" style="714" customWidth="1"/>
    <col min="13" max="16384" width="9.140625" style="714"/>
  </cols>
  <sheetData>
    <row r="2" spans="1:12" ht="12.75" thickBot="1"/>
    <row r="3" spans="1:12" ht="38.25">
      <c r="A3" s="770"/>
      <c r="B3" s="768" t="s">
        <v>59</v>
      </c>
      <c r="C3" s="767"/>
      <c r="D3" s="766" t="s">
        <v>60</v>
      </c>
      <c r="E3" s="767"/>
      <c r="F3" s="766" t="s">
        <v>61</v>
      </c>
      <c r="G3" s="765"/>
      <c r="H3" s="764" t="s">
        <v>62</v>
      </c>
      <c r="I3" s="763"/>
      <c r="J3" s="762"/>
      <c r="K3" s="761"/>
    </row>
    <row r="4" spans="1:12">
      <c r="A4" s="743"/>
      <c r="B4" s="760"/>
      <c r="C4" s="759"/>
      <c r="D4" s="751"/>
      <c r="E4" s="759"/>
      <c r="F4" s="751"/>
      <c r="G4" s="758"/>
      <c r="H4" s="757"/>
      <c r="I4" s="756"/>
      <c r="J4" s="749"/>
      <c r="K4" s="746"/>
    </row>
    <row r="5" spans="1:12">
      <c r="A5" s="743"/>
      <c r="B5" s="760"/>
      <c r="C5" s="759"/>
      <c r="D5" s="751"/>
      <c r="E5" s="759"/>
      <c r="F5" s="751"/>
      <c r="G5" s="758"/>
      <c r="H5" s="757"/>
      <c r="I5" s="756"/>
      <c r="J5" s="749"/>
      <c r="K5" s="746"/>
    </row>
    <row r="6" spans="1:12">
      <c r="A6" s="743"/>
      <c r="B6" s="745"/>
      <c r="C6" s="755"/>
      <c r="D6" s="754"/>
      <c r="E6" s="755"/>
      <c r="F6" s="754"/>
      <c r="G6" s="753"/>
      <c r="H6" s="749"/>
      <c r="I6" s="752"/>
      <c r="J6" s="749"/>
      <c r="K6" s="746"/>
    </row>
    <row r="7" spans="1:12" ht="14.25" customHeight="1">
      <c r="A7" s="743"/>
      <c r="B7" s="745"/>
      <c r="C7" s="741" t="str">
        <f>'[2]KM tal på biler 2014'!D9</f>
        <v>Diesel</v>
      </c>
      <c r="D7" s="751"/>
      <c r="E7" s="741" t="str">
        <f>'[2]KM tal på biler 2014'!F9</f>
        <v>Diesel</v>
      </c>
      <c r="F7" s="751"/>
      <c r="G7" s="750" t="str">
        <f>'[2]KM tal på biler 2014'!H9</f>
        <v>Diesel</v>
      </c>
      <c r="H7" s="749"/>
      <c r="I7" s="748" t="str">
        <f>'[2]KM tal på biler 2014'!J9</f>
        <v>Benzin</v>
      </c>
      <c r="J7" s="747" t="str">
        <f>'[2]KM tal på biler 2014'!K9</f>
        <v>Brændstof i alt</v>
      </c>
      <c r="K7" s="746" t="str">
        <f>'[2]KM tal på biler 2014'!L9</f>
        <v>Vask mm.</v>
      </c>
    </row>
    <row r="8" spans="1:12">
      <c r="A8" s="743"/>
      <c r="B8" s="745"/>
      <c r="C8" s="741" t="str">
        <f>'[2]KM tal på biler 2014'!D10</f>
        <v>Kr.</v>
      </c>
      <c r="D8" s="744"/>
      <c r="E8" s="741" t="str">
        <f>'[2]KM tal på biler 2014'!F10</f>
        <v>Kr.</v>
      </c>
      <c r="F8" s="744"/>
      <c r="G8" s="739" t="str">
        <f>'[2]KM tal på biler 2014'!H10</f>
        <v>Kr.</v>
      </c>
      <c r="H8" s="736"/>
      <c r="I8" s="737" t="str">
        <f>'[2]KM tal på biler 2014'!J10</f>
        <v>Kr.</v>
      </c>
      <c r="J8" s="736" t="str">
        <f>'[2]KM tal på biler 2014'!K10</f>
        <v>Kr.</v>
      </c>
      <c r="K8" s="735" t="str">
        <f>'[2]KM tal på biler 2014'!L10</f>
        <v>Kr.</v>
      </c>
    </row>
    <row r="9" spans="1:12" ht="12.75">
      <c r="A9" s="743"/>
      <c r="B9" s="742">
        <v>82001</v>
      </c>
      <c r="C9" s="741"/>
      <c r="D9" s="740">
        <v>82002</v>
      </c>
      <c r="E9" s="741"/>
      <c r="F9" s="740">
        <v>82003</v>
      </c>
      <c r="G9" s="739"/>
      <c r="H9" s="738">
        <v>82004</v>
      </c>
      <c r="I9" s="737"/>
      <c r="J9" s="736"/>
      <c r="K9" s="735"/>
    </row>
    <row r="10" spans="1:12" ht="12.75">
      <c r="A10" s="731" t="str">
        <f>'[4]KM tal på biler 2016'!A12</f>
        <v>Januar</v>
      </c>
      <c r="B10" s="729"/>
      <c r="C10" s="659">
        <f>'[4]KM tal på biler 2016'!C12</f>
        <v>2138.96</v>
      </c>
      <c r="D10" s="733"/>
      <c r="E10" s="659">
        <f>'[4]KM tal på biler 2016'!E12</f>
        <v>3029.91</v>
      </c>
      <c r="F10" s="733"/>
      <c r="G10" s="659">
        <f>'[4]KM tal på biler 2016'!G12</f>
        <v>0</v>
      </c>
      <c r="H10" s="726"/>
      <c r="I10" s="662">
        <f>'[4]KM tal på biler 2016'!I12</f>
        <v>2173.25</v>
      </c>
      <c r="J10" s="665">
        <f>'[4]KM tal på biler 2016'!J12</f>
        <v>7342.12</v>
      </c>
      <c r="K10" s="666">
        <f>'[4]KM tal på biler 2016'!K12</f>
        <v>914.3</v>
      </c>
      <c r="L10" s="667">
        <f>'[4]KM tal på biler 2016'!L12</f>
        <v>8256.42</v>
      </c>
    </row>
    <row r="11" spans="1:12" ht="12.75">
      <c r="A11" s="731" t="str">
        <f>'[4]KM tal på biler 2016'!A13</f>
        <v>Februar</v>
      </c>
      <c r="B11" s="729"/>
      <c r="C11" s="659">
        <f>'[4]KM tal på biler 2016'!C13</f>
        <v>1507.71</v>
      </c>
      <c r="D11" s="733"/>
      <c r="E11" s="659">
        <f>'[4]KM tal på biler 2016'!E13</f>
        <v>1590.44</v>
      </c>
      <c r="F11" s="733"/>
      <c r="G11" s="659">
        <f>'[4]KM tal på biler 2016'!G13</f>
        <v>0</v>
      </c>
      <c r="H11" s="726"/>
      <c r="I11" s="662">
        <f>'[4]KM tal på biler 2016'!I13</f>
        <v>1286.58</v>
      </c>
      <c r="J11" s="665">
        <f>'[4]KM tal på biler 2016'!J13</f>
        <v>4384.7299999999996</v>
      </c>
      <c r="K11" s="666">
        <f>'[4]KM tal på biler 2016'!K13</f>
        <v>429.75</v>
      </c>
      <c r="L11" s="667">
        <f>'[4]KM tal på biler 2016'!L13</f>
        <v>4814.4799999999996</v>
      </c>
    </row>
    <row r="12" spans="1:12" ht="12.75">
      <c r="A12" s="731" t="str">
        <f>'[4]KM tal på biler 2016'!A14</f>
        <v>Marts</v>
      </c>
      <c r="B12" s="729"/>
      <c r="C12" s="659">
        <f>'[4]KM tal på biler 2016'!C14</f>
        <v>1347.54</v>
      </c>
      <c r="D12" s="733"/>
      <c r="E12" s="659">
        <f>'[4]KM tal på biler 2016'!E14</f>
        <v>579.14</v>
      </c>
      <c r="F12" s="734"/>
      <c r="G12" s="659">
        <f>'[4]KM tal på biler 2016'!G14</f>
        <v>0</v>
      </c>
      <c r="H12" s="726"/>
      <c r="I12" s="662">
        <f>'[4]KM tal på biler 2016'!I14</f>
        <v>1081.02</v>
      </c>
      <c r="J12" s="665">
        <f>'[4]KM tal på biler 2016'!J14</f>
        <v>3007.7</v>
      </c>
      <c r="K12" s="666">
        <f>'[4]KM tal på biler 2016'!K14</f>
        <v>728.8</v>
      </c>
      <c r="L12" s="667">
        <f>'[4]KM tal på biler 2016'!L14</f>
        <v>3736.5</v>
      </c>
    </row>
    <row r="13" spans="1:12" ht="12.75">
      <c r="A13" s="731" t="str">
        <f>'[4]KM tal på biler 2016'!A15</f>
        <v>April</v>
      </c>
      <c r="B13" s="729"/>
      <c r="C13" s="659">
        <f>'[4]KM tal på biler 2016'!C15</f>
        <v>0</v>
      </c>
      <c r="D13" s="733"/>
      <c r="E13" s="659">
        <f>'[4]KM tal på biler 2016'!E15</f>
        <v>0</v>
      </c>
      <c r="F13" s="733"/>
      <c r="G13" s="659">
        <f>'[4]KM tal på biler 2016'!G15</f>
        <v>0</v>
      </c>
      <c r="H13" s="726"/>
      <c r="I13" s="662">
        <f>'[4]KM tal på biler 2016'!I15</f>
        <v>744.34</v>
      </c>
      <c r="J13" s="665">
        <f>'[4]KM tal på biler 2016'!J15</f>
        <v>744.34</v>
      </c>
      <c r="K13" s="666">
        <f>'[4]KM tal på biler 2016'!K15</f>
        <v>119.95</v>
      </c>
      <c r="L13" s="667">
        <f>'[4]KM tal på biler 2016'!L15</f>
        <v>864.29000000000008</v>
      </c>
    </row>
    <row r="14" spans="1:12" ht="15">
      <c r="A14" s="731" t="str">
        <f>'[4]KM tal på biler 2016'!A16</f>
        <v>Maj</v>
      </c>
      <c r="B14" s="729"/>
      <c r="C14" s="659">
        <f>'[4]KM tal på biler 2016'!C16</f>
        <v>0</v>
      </c>
      <c r="D14" s="732"/>
      <c r="E14" s="659">
        <f>'[4]KM tal på biler 2016'!E16</f>
        <v>0</v>
      </c>
      <c r="F14" s="732"/>
      <c r="G14" s="659">
        <f>'[4]KM tal på biler 2016'!G16</f>
        <v>0</v>
      </c>
      <c r="H14" s="726"/>
      <c r="I14" s="662">
        <f>'[4]KM tal på biler 2016'!I16</f>
        <v>0</v>
      </c>
      <c r="J14" s="665">
        <f>'[4]KM tal på biler 2016'!J16</f>
        <v>0</v>
      </c>
      <c r="K14" s="666">
        <f>'[4]KM tal på biler 2016'!K16</f>
        <v>0</v>
      </c>
      <c r="L14" s="667">
        <f>'[4]KM tal på biler 2016'!L16</f>
        <v>0</v>
      </c>
    </row>
    <row r="15" spans="1:12" ht="15">
      <c r="A15" s="731" t="str">
        <f>'[4]KM tal på biler 2016'!A17</f>
        <v>Juni</v>
      </c>
      <c r="B15" s="729"/>
      <c r="C15" s="659">
        <f>'[4]KM tal på biler 2016'!C17</f>
        <v>0</v>
      </c>
      <c r="D15" s="728"/>
      <c r="E15" s="659">
        <f>'[4]KM tal på biler 2016'!E17</f>
        <v>0</v>
      </c>
      <c r="F15" s="728"/>
      <c r="G15" s="659">
        <f>'[4]KM tal på biler 2016'!G17</f>
        <v>0</v>
      </c>
      <c r="H15" s="726"/>
      <c r="I15" s="662">
        <f>'[4]KM tal på biler 2016'!I17</f>
        <v>0</v>
      </c>
      <c r="J15" s="665">
        <f>'[4]KM tal på biler 2016'!J17</f>
        <v>0</v>
      </c>
      <c r="K15" s="666">
        <f>'[4]KM tal på biler 2016'!K17</f>
        <v>0</v>
      </c>
      <c r="L15" s="667">
        <f>'[4]KM tal på biler 2016'!L17</f>
        <v>0</v>
      </c>
    </row>
    <row r="16" spans="1:12" ht="15">
      <c r="A16" s="731" t="str">
        <f>'[4]KM tal på biler 2016'!A18</f>
        <v>Juli</v>
      </c>
      <c r="B16" s="729"/>
      <c r="C16" s="659">
        <f>'[4]KM tal på biler 2016'!C18</f>
        <v>0</v>
      </c>
      <c r="D16" s="727"/>
      <c r="E16" s="659">
        <f>'[4]KM tal på biler 2016'!E18</f>
        <v>0</v>
      </c>
      <c r="F16" s="727"/>
      <c r="G16" s="659">
        <f>'[4]KM tal på biler 2016'!G18</f>
        <v>0</v>
      </c>
      <c r="H16" s="726"/>
      <c r="I16" s="662">
        <f>'[4]KM tal på biler 2016'!I18</f>
        <v>0</v>
      </c>
      <c r="J16" s="665">
        <f>'[4]KM tal på biler 2016'!J18</f>
        <v>0</v>
      </c>
      <c r="K16" s="666">
        <f>'[4]KM tal på biler 2016'!K18</f>
        <v>0</v>
      </c>
      <c r="L16" s="667">
        <f>'[4]KM tal på biler 2016'!L18</f>
        <v>0</v>
      </c>
    </row>
    <row r="17" spans="1:12" ht="15">
      <c r="A17" s="731" t="str">
        <f>'[4]KM tal på biler 2016'!A19</f>
        <v>August</v>
      </c>
      <c r="B17" s="729"/>
      <c r="C17" s="659">
        <f>'[4]KM tal på biler 2016'!C19</f>
        <v>0</v>
      </c>
      <c r="D17" s="728"/>
      <c r="E17" s="659">
        <f>'[4]KM tal på biler 2016'!E19</f>
        <v>0</v>
      </c>
      <c r="F17" s="728"/>
      <c r="G17" s="659">
        <f>'[4]KM tal på biler 2016'!G19</f>
        <v>0</v>
      </c>
      <c r="H17" s="726"/>
      <c r="I17" s="662">
        <f>'[4]KM tal på biler 2016'!I19</f>
        <v>0</v>
      </c>
      <c r="J17" s="665">
        <f>'[4]KM tal på biler 2016'!J19</f>
        <v>0</v>
      </c>
      <c r="K17" s="666">
        <f>'[4]KM tal på biler 2016'!K19</f>
        <v>0</v>
      </c>
      <c r="L17" s="667">
        <f>'[4]KM tal på biler 2016'!L19</f>
        <v>0</v>
      </c>
    </row>
    <row r="18" spans="1:12" ht="15">
      <c r="A18" s="731" t="str">
        <f>'[4]KM tal på biler 2016'!A20</f>
        <v>September</v>
      </c>
      <c r="B18" s="729"/>
      <c r="C18" s="659">
        <f>'[4]KM tal på biler 2016'!C20</f>
        <v>0</v>
      </c>
      <c r="D18" s="728"/>
      <c r="E18" s="659">
        <f>'[4]KM tal på biler 2016'!E20</f>
        <v>0</v>
      </c>
      <c r="F18" s="727"/>
      <c r="G18" s="659">
        <f>'[4]KM tal på biler 2016'!G20</f>
        <v>0</v>
      </c>
      <c r="H18" s="726"/>
      <c r="I18" s="662">
        <f>'[4]KM tal på biler 2016'!I20</f>
        <v>0</v>
      </c>
      <c r="J18" s="665">
        <f>'[4]KM tal på biler 2016'!J20</f>
        <v>0</v>
      </c>
      <c r="K18" s="666">
        <f>'[4]KM tal på biler 2016'!K20</f>
        <v>0</v>
      </c>
      <c r="L18" s="667">
        <f>'[4]KM tal på biler 2016'!L20</f>
        <v>0</v>
      </c>
    </row>
    <row r="19" spans="1:12" ht="15">
      <c r="A19" s="731" t="str">
        <f>'[4]KM tal på biler 2016'!A21</f>
        <v>Oktober</v>
      </c>
      <c r="B19" s="729"/>
      <c r="C19" s="659">
        <f>'[4]KM tal på biler 2016'!C21</f>
        <v>0</v>
      </c>
      <c r="D19" s="728"/>
      <c r="E19" s="659">
        <f>'[4]KM tal på biler 2016'!E21</f>
        <v>0</v>
      </c>
      <c r="F19" s="727"/>
      <c r="G19" s="659">
        <f>'[4]KM tal på biler 2016'!G21</f>
        <v>0</v>
      </c>
      <c r="H19" s="726"/>
      <c r="I19" s="662">
        <f>'[4]KM tal på biler 2016'!I21</f>
        <v>0</v>
      </c>
      <c r="J19" s="665">
        <f>'[4]KM tal på biler 2016'!J21</f>
        <v>0</v>
      </c>
      <c r="K19" s="666">
        <f>'[4]KM tal på biler 2016'!K21</f>
        <v>0</v>
      </c>
      <c r="L19" s="667">
        <f>'[4]KM tal på biler 2016'!L21</f>
        <v>0</v>
      </c>
    </row>
    <row r="20" spans="1:12" ht="15">
      <c r="A20" s="731" t="str">
        <f>'[4]KM tal på biler 2016'!A22</f>
        <v>November</v>
      </c>
      <c r="B20" s="729"/>
      <c r="C20" s="659">
        <f>'[4]KM tal på biler 2016'!C22</f>
        <v>0</v>
      </c>
      <c r="D20" s="728"/>
      <c r="E20" s="659">
        <f>'[4]KM tal på biler 2016'!E22</f>
        <v>0</v>
      </c>
      <c r="F20" s="727"/>
      <c r="G20" s="659">
        <f>'[4]KM tal på biler 2016'!G22</f>
        <v>0</v>
      </c>
      <c r="H20" s="726"/>
      <c r="I20" s="662">
        <f>'[4]KM tal på biler 2016'!I22</f>
        <v>0</v>
      </c>
      <c r="J20" s="665">
        <f>'[4]KM tal på biler 2016'!J22</f>
        <v>0</v>
      </c>
      <c r="K20" s="666">
        <f>'[4]KM tal på biler 2016'!K22</f>
        <v>0</v>
      </c>
      <c r="L20" s="667">
        <f>'[4]KM tal på biler 2016'!L22</f>
        <v>0</v>
      </c>
    </row>
    <row r="21" spans="1:12" ht="15.75" thickBot="1">
      <c r="A21" s="725" t="str">
        <f>'[4]KM tal på biler 2016'!A23</f>
        <v>December</v>
      </c>
      <c r="B21" s="723"/>
      <c r="C21" s="659">
        <f>'[4]KM tal på biler 2016'!C23</f>
        <v>0</v>
      </c>
      <c r="D21" s="722"/>
      <c r="E21" s="660">
        <f>'[4]KM tal på biler 2016'!E23</f>
        <v>0</v>
      </c>
      <c r="F21" s="721"/>
      <c r="G21" s="660">
        <f>'[4]KM tal på biler 2016'!G23</f>
        <v>0</v>
      </c>
      <c r="H21" s="720"/>
      <c r="I21" s="663">
        <f>'[4]KM tal på biler 2016'!I23</f>
        <v>0</v>
      </c>
      <c r="J21" s="668">
        <f>'[4]KM tal på biler 2016'!J23</f>
        <v>0</v>
      </c>
      <c r="K21" s="666">
        <f>'[4]KM tal på biler 2016'!K23</f>
        <v>0</v>
      </c>
      <c r="L21" s="669">
        <f>'[4]KM tal på biler 2016'!L23</f>
        <v>0</v>
      </c>
    </row>
    <row r="22" spans="1:12" ht="14.25" thickTop="1" thickBot="1">
      <c r="A22" s="719" t="str">
        <f>'[4]KM tal på biler 2016'!A24</f>
        <v>Total</v>
      </c>
      <c r="B22" s="717"/>
      <c r="C22" s="661">
        <f>'[4]KM tal på biler 2016'!C24</f>
        <v>4994.21</v>
      </c>
      <c r="D22" s="716"/>
      <c r="E22" s="661">
        <f>'[4]KM tal på biler 2016'!E24</f>
        <v>5199.4900000000007</v>
      </c>
      <c r="F22" s="716"/>
      <c r="G22" s="661">
        <f>'[4]KM tal på biler 2016'!G24</f>
        <v>0</v>
      </c>
      <c r="H22" s="715"/>
      <c r="I22" s="661">
        <f>'[4]KM tal på biler 2016'!I24</f>
        <v>5285.1900000000005</v>
      </c>
      <c r="J22" s="670">
        <f>'[4]KM tal på biler 2016'!J24</f>
        <v>15478.89</v>
      </c>
      <c r="K22" s="671">
        <f>'[4]KM tal på biler 2016'!K24</f>
        <v>2192.7999999999997</v>
      </c>
      <c r="L22" s="672">
        <f>'[4]KM tal på biler 2016'!L24</f>
        <v>17671.689999999999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49">
    <tabColor indexed="39"/>
    <pageSetUpPr fitToPage="1"/>
  </sheetPr>
  <dimension ref="A1:T442"/>
  <sheetViews>
    <sheetView tabSelected="1" topLeftCell="A232" zoomScale="77" zoomScaleNormal="77" workbookViewId="0" xr3:uid="{9B253EF2-77E0-53E3-AE26-4D66ECD923F3}">
      <selection activeCell="G250" sqref="G250"/>
    </sheetView>
  </sheetViews>
  <sheetFormatPr defaultColWidth="9.140625" defaultRowHeight="12.75"/>
  <cols>
    <col min="1" max="1" width="18.7109375" style="226" customWidth="1"/>
    <col min="2" max="2" width="14.28515625" style="226" customWidth="1"/>
    <col min="3" max="3" width="11.7109375" style="226" customWidth="1"/>
    <col min="4" max="4" width="14.140625" style="226" customWidth="1"/>
    <col min="5" max="5" width="11.7109375" style="226" customWidth="1"/>
    <col min="6" max="6" width="14" style="226" customWidth="1"/>
    <col min="7" max="7" width="11.140625" style="226" customWidth="1"/>
    <col min="8" max="8" width="12.28515625" style="226" customWidth="1"/>
    <col min="9" max="9" width="13" style="226" customWidth="1"/>
    <col min="10" max="10" width="12.5703125" style="226" customWidth="1"/>
    <col min="11" max="11" width="12.140625" style="226" customWidth="1"/>
    <col min="12" max="12" width="13" style="226" customWidth="1"/>
    <col min="13" max="13" width="15.42578125" style="226" customWidth="1"/>
    <col min="14" max="14" width="15.5703125" style="226" customWidth="1"/>
    <col min="15" max="15" width="15.28515625" style="226" customWidth="1"/>
    <col min="16" max="16" width="14.140625" style="226" customWidth="1"/>
    <col min="17" max="17" width="9.85546875" style="226" bestFit="1" customWidth="1"/>
    <col min="18" max="18" width="10.85546875" style="226" bestFit="1" customWidth="1"/>
    <col min="19" max="19" width="11.140625" style="226" bestFit="1" customWidth="1"/>
    <col min="20" max="20" width="10.7109375" style="226" bestFit="1" customWidth="1"/>
    <col min="21" max="16384" width="9.140625" style="226"/>
  </cols>
  <sheetData>
    <row r="1" spans="1:14" ht="20.25">
      <c r="A1" s="822" t="s">
        <v>63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</row>
    <row r="2" spans="1:14">
      <c r="A2" s="227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</row>
    <row r="3" spans="1:14">
      <c r="A3" s="228"/>
      <c r="B3" s="229" t="s">
        <v>44</v>
      </c>
      <c r="C3" s="229" t="s">
        <v>45</v>
      </c>
      <c r="D3" s="230" t="s">
        <v>46</v>
      </c>
      <c r="E3" s="229" t="s">
        <v>47</v>
      </c>
      <c r="F3" s="229" t="s">
        <v>48</v>
      </c>
      <c r="G3" s="230" t="s">
        <v>49</v>
      </c>
      <c r="H3" s="229" t="s">
        <v>38</v>
      </c>
      <c r="I3" s="229" t="s">
        <v>39</v>
      </c>
      <c r="J3" s="229" t="s">
        <v>40</v>
      </c>
      <c r="K3" s="229" t="s">
        <v>41</v>
      </c>
      <c r="L3" s="229" t="s">
        <v>42</v>
      </c>
      <c r="M3" s="229" t="s">
        <v>43</v>
      </c>
      <c r="N3" s="228" t="s">
        <v>64</v>
      </c>
    </row>
    <row r="4" spans="1:14">
      <c r="A4" s="231" t="s">
        <v>65</v>
      </c>
      <c r="B4" s="620"/>
      <c r="C4" s="620"/>
      <c r="D4" s="620"/>
      <c r="E4" s="620"/>
      <c r="F4" s="620"/>
      <c r="G4" s="620"/>
      <c r="H4" s="620"/>
      <c r="I4" s="620"/>
      <c r="J4" s="620"/>
      <c r="K4" s="620"/>
      <c r="L4" s="620"/>
      <c r="M4" s="620"/>
      <c r="N4" s="620">
        <f t="shared" ref="N4:N16" si="0">SUM(B4:M4)</f>
        <v>0</v>
      </c>
    </row>
    <row r="5" spans="1:14">
      <c r="A5" s="231" t="s">
        <v>66</v>
      </c>
      <c r="B5" s="620"/>
      <c r="C5" s="620"/>
      <c r="D5" s="620"/>
      <c r="E5" s="620"/>
      <c r="F5" s="620"/>
      <c r="G5" s="621"/>
      <c r="H5" s="620"/>
      <c r="I5" s="620"/>
      <c r="J5" s="622"/>
      <c r="K5" s="620"/>
      <c r="L5" s="620"/>
      <c r="M5" s="620"/>
      <c r="N5" s="620">
        <f t="shared" si="0"/>
        <v>0</v>
      </c>
    </row>
    <row r="6" spans="1:14">
      <c r="A6" s="231" t="s">
        <v>67</v>
      </c>
      <c r="B6" s="620"/>
      <c r="C6" s="620"/>
      <c r="D6" s="620"/>
      <c r="E6" s="620"/>
      <c r="F6" s="620"/>
      <c r="G6" s="621"/>
      <c r="H6" s="620"/>
      <c r="I6" s="620"/>
      <c r="J6" s="620"/>
      <c r="K6" s="620"/>
      <c r="L6" s="620"/>
      <c r="M6" s="620"/>
      <c r="N6" s="620">
        <f t="shared" si="0"/>
        <v>0</v>
      </c>
    </row>
    <row r="7" spans="1:14">
      <c r="A7" s="231" t="s">
        <v>68</v>
      </c>
      <c r="B7" s="620"/>
      <c r="C7" s="620"/>
      <c r="D7" s="620"/>
      <c r="E7" s="620"/>
      <c r="F7" s="620"/>
      <c r="G7" s="621"/>
      <c r="H7" s="620"/>
      <c r="I7" s="620"/>
      <c r="J7" s="620"/>
      <c r="K7" s="620"/>
      <c r="L7" s="620"/>
      <c r="M7" s="620"/>
      <c r="N7" s="620">
        <f t="shared" si="0"/>
        <v>0</v>
      </c>
    </row>
    <row r="8" spans="1:14">
      <c r="A8" s="231" t="s">
        <v>69</v>
      </c>
      <c r="B8" s="620"/>
      <c r="C8" s="620"/>
      <c r="D8" s="620"/>
      <c r="E8" s="620"/>
      <c r="F8" s="620"/>
      <c r="G8" s="621"/>
      <c r="H8" s="620"/>
      <c r="I8" s="620"/>
      <c r="J8" s="620"/>
      <c r="K8" s="620"/>
      <c r="L8" s="620"/>
      <c r="M8" s="620"/>
      <c r="N8" s="620">
        <f t="shared" si="0"/>
        <v>0</v>
      </c>
    </row>
    <row r="9" spans="1:14">
      <c r="A9" s="231" t="s">
        <v>70</v>
      </c>
      <c r="B9" s="620"/>
      <c r="C9" s="620"/>
      <c r="D9" s="620"/>
      <c r="E9" s="620"/>
      <c r="F9" s="620"/>
      <c r="G9" s="621"/>
      <c r="H9" s="620"/>
      <c r="I9" s="620"/>
      <c r="J9" s="620"/>
      <c r="K9" s="620"/>
      <c r="L9" s="620"/>
      <c r="M9" s="620"/>
      <c r="N9" s="620">
        <f t="shared" si="0"/>
        <v>0</v>
      </c>
    </row>
    <row r="10" spans="1:14">
      <c r="A10" s="231" t="s">
        <v>71</v>
      </c>
      <c r="B10" s="620"/>
      <c r="C10" s="620"/>
      <c r="D10" s="620"/>
      <c r="E10" s="620"/>
      <c r="F10" s="620"/>
      <c r="G10" s="621"/>
      <c r="H10" s="620"/>
      <c r="I10" s="620"/>
      <c r="J10" s="620"/>
      <c r="K10" s="620"/>
      <c r="L10" s="620"/>
      <c r="M10" s="620"/>
      <c r="N10" s="620">
        <f t="shared" si="0"/>
        <v>0</v>
      </c>
    </row>
    <row r="11" spans="1:14">
      <c r="A11" s="231" t="s">
        <v>72</v>
      </c>
      <c r="B11" s="620"/>
      <c r="C11" s="620"/>
      <c r="D11" s="620"/>
      <c r="E11" s="620"/>
      <c r="F11" s="620"/>
      <c r="G11" s="621"/>
      <c r="H11" s="620"/>
      <c r="I11" s="620"/>
      <c r="J11" s="620"/>
      <c r="K11" s="620"/>
      <c r="L11" s="620"/>
      <c r="M11" s="620"/>
      <c r="N11" s="620">
        <f t="shared" si="0"/>
        <v>0</v>
      </c>
    </row>
    <row r="12" spans="1:14">
      <c r="A12" s="231" t="s">
        <v>73</v>
      </c>
      <c r="B12" s="620"/>
      <c r="C12" s="620"/>
      <c r="D12" s="620"/>
      <c r="E12" s="620"/>
      <c r="F12" s="620"/>
      <c r="G12" s="621"/>
      <c r="H12" s="620"/>
      <c r="I12" s="620"/>
      <c r="J12" s="620"/>
      <c r="K12" s="620"/>
      <c r="L12" s="620"/>
      <c r="M12" s="620"/>
      <c r="N12" s="620">
        <f t="shared" si="0"/>
        <v>0</v>
      </c>
    </row>
    <row r="13" spans="1:14">
      <c r="A13" s="231" t="s">
        <v>74</v>
      </c>
      <c r="B13" s="620"/>
      <c r="C13" s="620"/>
      <c r="D13" s="620"/>
      <c r="E13" s="620"/>
      <c r="F13" s="620"/>
      <c r="G13" s="621"/>
      <c r="H13" s="620"/>
      <c r="I13" s="620"/>
      <c r="J13" s="620"/>
      <c r="K13" s="620"/>
      <c r="L13" s="620"/>
      <c r="M13" s="620"/>
      <c r="N13" s="620">
        <f t="shared" si="0"/>
        <v>0</v>
      </c>
    </row>
    <row r="14" spans="1:14">
      <c r="A14" s="231" t="s">
        <v>75</v>
      </c>
      <c r="B14" s="620"/>
      <c r="C14" s="620"/>
      <c r="D14" s="620"/>
      <c r="E14" s="620"/>
      <c r="F14" s="620"/>
      <c r="G14" s="621"/>
      <c r="H14" s="620"/>
      <c r="I14" s="620"/>
      <c r="J14" s="620"/>
      <c r="K14" s="620"/>
      <c r="L14" s="620"/>
      <c r="M14" s="620"/>
      <c r="N14" s="620">
        <f t="shared" si="0"/>
        <v>0</v>
      </c>
    </row>
    <row r="15" spans="1:14" ht="13.5" thickBot="1">
      <c r="A15" s="235" t="s">
        <v>76</v>
      </c>
      <c r="B15" s="623"/>
      <c r="C15" s="623"/>
      <c r="D15" s="623"/>
      <c r="E15" s="623"/>
      <c r="F15" s="623"/>
      <c r="G15" s="624"/>
      <c r="H15" s="623"/>
      <c r="I15" s="623"/>
      <c r="J15" s="623"/>
      <c r="K15" s="623"/>
      <c r="L15" s="623"/>
      <c r="M15" s="623"/>
      <c r="N15" s="625">
        <f t="shared" si="0"/>
        <v>0</v>
      </c>
    </row>
    <row r="16" spans="1:14" ht="13.5" thickBot="1">
      <c r="A16" s="239" t="s">
        <v>77</v>
      </c>
      <c r="B16" s="626">
        <f>SUM(B4+B5+B6-B7-B8-B9-B10-B12-B13-B14-B15)</f>
        <v>0</v>
      </c>
      <c r="C16" s="626">
        <f t="shared" ref="C16:M16" si="1">SUM(C4+C5+C6+C7-C8-C9-C10-C12-C13-C14-C15)</f>
        <v>0</v>
      </c>
      <c r="D16" s="626">
        <f t="shared" si="1"/>
        <v>0</v>
      </c>
      <c r="E16" s="626">
        <f t="shared" si="1"/>
        <v>0</v>
      </c>
      <c r="F16" s="626">
        <f t="shared" si="1"/>
        <v>0</v>
      </c>
      <c r="G16" s="626">
        <f t="shared" si="1"/>
        <v>0</v>
      </c>
      <c r="H16" s="626">
        <f t="shared" si="1"/>
        <v>0</v>
      </c>
      <c r="I16" s="626">
        <f t="shared" si="1"/>
        <v>0</v>
      </c>
      <c r="J16" s="626">
        <f t="shared" si="1"/>
        <v>0</v>
      </c>
      <c r="K16" s="626">
        <f t="shared" si="1"/>
        <v>0</v>
      </c>
      <c r="L16" s="626">
        <f t="shared" si="1"/>
        <v>0</v>
      </c>
      <c r="M16" s="627">
        <f t="shared" si="1"/>
        <v>0</v>
      </c>
      <c r="N16" s="628">
        <f t="shared" si="0"/>
        <v>0</v>
      </c>
    </row>
    <row r="17" spans="1:14">
      <c r="A17" s="243"/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</row>
    <row r="18" spans="1:14">
      <c r="A18" s="243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629" t="s">
        <v>78</v>
      </c>
    </row>
    <row r="19" spans="1:14">
      <c r="A19" s="231" t="s">
        <v>79</v>
      </c>
      <c r="B19" s="620">
        <f>IF(B16&lt;&gt;0,SUM(B5*100/B16),0)</f>
        <v>0</v>
      </c>
      <c r="C19" s="620">
        <f t="shared" ref="C19:M19" si="2">IF(C16&lt;&gt;0,SUM(C5*100/C16),0)</f>
        <v>0</v>
      </c>
      <c r="D19" s="620">
        <f t="shared" si="2"/>
        <v>0</v>
      </c>
      <c r="E19" s="620">
        <f t="shared" si="2"/>
        <v>0</v>
      </c>
      <c r="F19" s="620">
        <f t="shared" si="2"/>
        <v>0</v>
      </c>
      <c r="G19" s="620">
        <f t="shared" si="2"/>
        <v>0</v>
      </c>
      <c r="H19" s="620">
        <f t="shared" si="2"/>
        <v>0</v>
      </c>
      <c r="I19" s="620">
        <f t="shared" si="2"/>
        <v>0</v>
      </c>
      <c r="J19" s="620">
        <f t="shared" si="2"/>
        <v>0</v>
      </c>
      <c r="K19" s="620">
        <f t="shared" si="2"/>
        <v>0</v>
      </c>
      <c r="L19" s="620">
        <f t="shared" si="2"/>
        <v>0</v>
      </c>
      <c r="M19" s="620">
        <f t="shared" si="2"/>
        <v>0</v>
      </c>
      <c r="N19" s="630">
        <f>SUM(B19:M19)/12</f>
        <v>0</v>
      </c>
    </row>
    <row r="20" spans="1:14">
      <c r="A20" s="243"/>
      <c r="B20" s="261"/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261"/>
      <c r="N20" s="261"/>
    </row>
    <row r="21" spans="1:14">
      <c r="A21" s="231" t="s">
        <v>80</v>
      </c>
      <c r="B21" s="620">
        <f>IF(B1&lt;&gt;0,SUM(B10*100/B16),0)</f>
        <v>0</v>
      </c>
      <c r="C21" s="620">
        <f t="shared" ref="C21:M21" si="3">IF(C1&lt;&gt;0,SUM(C10*100/C16),0)</f>
        <v>0</v>
      </c>
      <c r="D21" s="620">
        <f t="shared" si="3"/>
        <v>0</v>
      </c>
      <c r="E21" s="620">
        <f t="shared" si="3"/>
        <v>0</v>
      </c>
      <c r="F21" s="620">
        <f t="shared" si="3"/>
        <v>0</v>
      </c>
      <c r="G21" s="620">
        <f t="shared" si="3"/>
        <v>0</v>
      </c>
      <c r="H21" s="620">
        <f t="shared" si="3"/>
        <v>0</v>
      </c>
      <c r="I21" s="620">
        <f t="shared" si="3"/>
        <v>0</v>
      </c>
      <c r="J21" s="620">
        <f t="shared" si="3"/>
        <v>0</v>
      </c>
      <c r="K21" s="620">
        <f t="shared" si="3"/>
        <v>0</v>
      </c>
      <c r="L21" s="620">
        <f t="shared" si="3"/>
        <v>0</v>
      </c>
      <c r="M21" s="620">
        <f t="shared" si="3"/>
        <v>0</v>
      </c>
      <c r="N21" s="630">
        <f>SUM(B21:M21)/12</f>
        <v>0</v>
      </c>
    </row>
    <row r="22" spans="1:14" ht="13.5" thickBot="1">
      <c r="A22" s="247" t="s">
        <v>81</v>
      </c>
      <c r="B22" s="625">
        <f>IF(B16&lt;&gt;0,SUM(B11*100/B16),0)</f>
        <v>0</v>
      </c>
      <c r="C22" s="625">
        <f t="shared" ref="C22:M22" si="4">IF(C16&lt;&gt;0,SUM(C11*100/C16),0)</f>
        <v>0</v>
      </c>
      <c r="D22" s="625">
        <f t="shared" si="4"/>
        <v>0</v>
      </c>
      <c r="E22" s="625">
        <f t="shared" si="4"/>
        <v>0</v>
      </c>
      <c r="F22" s="625">
        <f t="shared" si="4"/>
        <v>0</v>
      </c>
      <c r="G22" s="625">
        <f t="shared" si="4"/>
        <v>0</v>
      </c>
      <c r="H22" s="625">
        <f t="shared" si="4"/>
        <v>0</v>
      </c>
      <c r="I22" s="625">
        <f t="shared" si="4"/>
        <v>0</v>
      </c>
      <c r="J22" s="625">
        <f t="shared" si="4"/>
        <v>0</v>
      </c>
      <c r="K22" s="625">
        <f t="shared" si="4"/>
        <v>0</v>
      </c>
      <c r="L22" s="625">
        <f t="shared" si="4"/>
        <v>0</v>
      </c>
      <c r="M22" s="625">
        <f t="shared" si="4"/>
        <v>0</v>
      </c>
      <c r="N22" s="631">
        <f>SUM(B22:M22)/12</f>
        <v>0</v>
      </c>
    </row>
    <row r="23" spans="1:14" ht="13.5" thickBot="1">
      <c r="A23" s="249" t="s">
        <v>82</v>
      </c>
      <c r="B23" s="632">
        <f t="shared" ref="B23:M23" si="5">SUM(B21:B21)</f>
        <v>0</v>
      </c>
      <c r="C23" s="632">
        <f t="shared" si="5"/>
        <v>0</v>
      </c>
      <c r="D23" s="632">
        <f t="shared" si="5"/>
        <v>0</v>
      </c>
      <c r="E23" s="632">
        <f t="shared" si="5"/>
        <v>0</v>
      </c>
      <c r="F23" s="632">
        <f t="shared" si="5"/>
        <v>0</v>
      </c>
      <c r="G23" s="632">
        <f t="shared" si="5"/>
        <v>0</v>
      </c>
      <c r="H23" s="632">
        <f t="shared" si="5"/>
        <v>0</v>
      </c>
      <c r="I23" s="632">
        <f t="shared" si="5"/>
        <v>0</v>
      </c>
      <c r="J23" s="632">
        <f t="shared" si="5"/>
        <v>0</v>
      </c>
      <c r="K23" s="632">
        <f t="shared" si="5"/>
        <v>0</v>
      </c>
      <c r="L23" s="632">
        <f t="shared" si="5"/>
        <v>0</v>
      </c>
      <c r="M23" s="632">
        <f t="shared" si="5"/>
        <v>0</v>
      </c>
      <c r="N23" s="633">
        <f>SUM(N21:N22)</f>
        <v>0</v>
      </c>
    </row>
    <row r="24" spans="1:14">
      <c r="A24" s="243" t="s">
        <v>83</v>
      </c>
      <c r="B24" s="261"/>
      <c r="C24" s="261"/>
      <c r="D24" s="634">
        <f>SUM(B23:D23)/3</f>
        <v>0</v>
      </c>
      <c r="E24" s="261"/>
      <c r="F24" s="261"/>
      <c r="G24" s="634">
        <f>SUM(E23,F23,G23)/3</f>
        <v>0</v>
      </c>
      <c r="H24" s="261"/>
      <c r="I24" s="261"/>
      <c r="J24" s="634">
        <f>SUM(H23,I23,J23)/3</f>
        <v>0</v>
      </c>
      <c r="K24" s="261"/>
      <c r="L24" s="261"/>
      <c r="M24" s="634">
        <f>SUM(K23,L23,M23)/3</f>
        <v>0</v>
      </c>
      <c r="N24" s="635">
        <f>SUM(D24:M24)/4</f>
        <v>0</v>
      </c>
    </row>
    <row r="25" spans="1:14">
      <c r="A25" s="243" t="s">
        <v>84</v>
      </c>
      <c r="B25" s="261"/>
      <c r="C25" s="261"/>
      <c r="D25" s="262"/>
      <c r="E25" s="261"/>
      <c r="F25" s="261"/>
      <c r="G25" s="262"/>
      <c r="H25" s="261"/>
      <c r="I25" s="261"/>
      <c r="J25" s="262"/>
      <c r="K25" s="261"/>
      <c r="L25" s="261"/>
      <c r="M25" s="262"/>
      <c r="N25" s="630">
        <f>SUM(D25:G25,J25,M25)/4</f>
        <v>0</v>
      </c>
    </row>
    <row r="26" spans="1:14">
      <c r="A26" s="243"/>
      <c r="B26" s="261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</row>
    <row r="27" spans="1:14">
      <c r="A27" s="231" t="s">
        <v>85</v>
      </c>
      <c r="B27" s="620">
        <f>IF(B16&lt;&gt;0,B14*100/B16,0)</f>
        <v>0</v>
      </c>
      <c r="C27" s="620">
        <f t="shared" ref="C27:M27" si="6">IF(C16&lt;&gt;0,C14*100/C16,0)</f>
        <v>0</v>
      </c>
      <c r="D27" s="620">
        <f t="shared" si="6"/>
        <v>0</v>
      </c>
      <c r="E27" s="620">
        <f t="shared" si="6"/>
        <v>0</v>
      </c>
      <c r="F27" s="620">
        <f t="shared" si="6"/>
        <v>0</v>
      </c>
      <c r="G27" s="620">
        <f t="shared" si="6"/>
        <v>0</v>
      </c>
      <c r="H27" s="620">
        <f t="shared" si="6"/>
        <v>0</v>
      </c>
      <c r="I27" s="620">
        <f t="shared" si="6"/>
        <v>0</v>
      </c>
      <c r="J27" s="620">
        <f t="shared" si="6"/>
        <v>0</v>
      </c>
      <c r="K27" s="620">
        <f t="shared" si="6"/>
        <v>0</v>
      </c>
      <c r="L27" s="620">
        <f t="shared" si="6"/>
        <v>0</v>
      </c>
      <c r="M27" s="620">
        <f t="shared" si="6"/>
        <v>0</v>
      </c>
      <c r="N27" s="630">
        <f>SUM(B27:M27)/12</f>
        <v>0</v>
      </c>
    </row>
    <row r="28" spans="1:14">
      <c r="A28" s="231" t="s">
        <v>86</v>
      </c>
      <c r="B28" s="620">
        <f>IF(B16&lt;&gt;0,B12*100/B16,0)</f>
        <v>0</v>
      </c>
      <c r="C28" s="620">
        <f t="shared" ref="C28:M28" si="7">IF(C16&lt;&gt;0,C12*100/C16,0)</f>
        <v>0</v>
      </c>
      <c r="D28" s="620">
        <f t="shared" si="7"/>
        <v>0</v>
      </c>
      <c r="E28" s="620">
        <f t="shared" si="7"/>
        <v>0</v>
      </c>
      <c r="F28" s="620">
        <f t="shared" si="7"/>
        <v>0</v>
      </c>
      <c r="G28" s="620">
        <f t="shared" si="7"/>
        <v>0</v>
      </c>
      <c r="H28" s="620">
        <f t="shared" si="7"/>
        <v>0</v>
      </c>
      <c r="I28" s="620">
        <f t="shared" si="7"/>
        <v>0</v>
      </c>
      <c r="J28" s="620">
        <f t="shared" si="7"/>
        <v>0</v>
      </c>
      <c r="K28" s="620">
        <f t="shared" si="7"/>
        <v>0</v>
      </c>
      <c r="L28" s="620">
        <f t="shared" si="7"/>
        <v>0</v>
      </c>
      <c r="M28" s="620">
        <f t="shared" si="7"/>
        <v>0</v>
      </c>
      <c r="N28" s="630">
        <f>SUM(B28:M28)/12</f>
        <v>0</v>
      </c>
    </row>
    <row r="29" spans="1:14" ht="13.5" thickBot="1">
      <c r="A29" s="231" t="s">
        <v>87</v>
      </c>
      <c r="B29" s="620">
        <f>IF(B16&lt;&gt;0,B8*100/B16,0)</f>
        <v>0</v>
      </c>
      <c r="C29" s="620">
        <f t="shared" ref="C29:M29" si="8">IF(C16&lt;&gt;0,C8*100/C16,0)</f>
        <v>0</v>
      </c>
      <c r="D29" s="620">
        <f t="shared" si="8"/>
        <v>0</v>
      </c>
      <c r="E29" s="620">
        <f t="shared" si="8"/>
        <v>0</v>
      </c>
      <c r="F29" s="620">
        <f t="shared" si="8"/>
        <v>0</v>
      </c>
      <c r="G29" s="620">
        <f t="shared" si="8"/>
        <v>0</v>
      </c>
      <c r="H29" s="620">
        <f t="shared" si="8"/>
        <v>0</v>
      </c>
      <c r="I29" s="620">
        <f t="shared" si="8"/>
        <v>0</v>
      </c>
      <c r="J29" s="620">
        <f t="shared" si="8"/>
        <v>0</v>
      </c>
      <c r="K29" s="620">
        <f t="shared" si="8"/>
        <v>0</v>
      </c>
      <c r="L29" s="620">
        <f t="shared" si="8"/>
        <v>0</v>
      </c>
      <c r="M29" s="620">
        <f t="shared" si="8"/>
        <v>0</v>
      </c>
      <c r="N29" s="630">
        <f>SUM(B29:M29)/12</f>
        <v>0</v>
      </c>
    </row>
    <row r="30" spans="1:14" ht="13.5" thickBot="1">
      <c r="A30" s="255" t="s">
        <v>88</v>
      </c>
      <c r="B30" s="636">
        <f>IF(B16&lt;&gt;0,SUM(B4-B16)*100/B16,0)</f>
        <v>0</v>
      </c>
      <c r="C30" s="636">
        <f t="shared" ref="C30:M30" si="9">IF(C16&lt;&gt;0,SUM(C4-C16)*100/C16,0)</f>
        <v>0</v>
      </c>
      <c r="D30" s="636">
        <f t="shared" si="9"/>
        <v>0</v>
      </c>
      <c r="E30" s="636">
        <f t="shared" si="9"/>
        <v>0</v>
      </c>
      <c r="F30" s="636">
        <f t="shared" si="9"/>
        <v>0</v>
      </c>
      <c r="G30" s="636">
        <f t="shared" si="9"/>
        <v>0</v>
      </c>
      <c r="H30" s="636">
        <f t="shared" si="9"/>
        <v>0</v>
      </c>
      <c r="I30" s="636">
        <f t="shared" si="9"/>
        <v>0</v>
      </c>
      <c r="J30" s="636">
        <f t="shared" si="9"/>
        <v>0</v>
      </c>
      <c r="K30" s="636">
        <f t="shared" si="9"/>
        <v>0</v>
      </c>
      <c r="L30" s="636">
        <f t="shared" si="9"/>
        <v>0</v>
      </c>
      <c r="M30" s="636">
        <f t="shared" si="9"/>
        <v>0</v>
      </c>
      <c r="N30" s="637">
        <f>SUM(B30:M30)/12</f>
        <v>0</v>
      </c>
    </row>
    <row r="31" spans="1:14">
      <c r="A31" s="243"/>
      <c r="B31" s="244"/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27"/>
    </row>
    <row r="32" spans="1:14">
      <c r="A32" s="258" t="s">
        <v>89</v>
      </c>
      <c r="B32" s="244"/>
      <c r="C32" s="244"/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27"/>
    </row>
    <row r="33" spans="1:14">
      <c r="A33" s="231" t="s">
        <v>90</v>
      </c>
      <c r="B33" s="259">
        <v>55</v>
      </c>
      <c r="C33" s="259">
        <v>53</v>
      </c>
      <c r="D33" s="259">
        <v>55</v>
      </c>
      <c r="E33" s="259">
        <v>55</v>
      </c>
      <c r="F33" s="259">
        <v>56</v>
      </c>
      <c r="G33" s="259">
        <v>57</v>
      </c>
      <c r="H33" s="259">
        <v>56</v>
      </c>
      <c r="I33" s="259">
        <v>56</v>
      </c>
      <c r="J33" s="259">
        <v>54</v>
      </c>
      <c r="K33" s="259">
        <v>55</v>
      </c>
      <c r="L33" s="259">
        <v>43</v>
      </c>
      <c r="M33" s="259">
        <v>43</v>
      </c>
      <c r="N33" s="259">
        <v>43</v>
      </c>
    </row>
    <row r="34" spans="1:14">
      <c r="A34" s="231" t="s">
        <v>91</v>
      </c>
      <c r="B34" s="259"/>
      <c r="C34" s="259"/>
      <c r="D34" s="259"/>
      <c r="E34" s="259"/>
      <c r="F34" s="259"/>
      <c r="G34" s="259"/>
      <c r="H34" s="259"/>
      <c r="I34" s="259"/>
      <c r="J34" s="259"/>
      <c r="K34" s="259"/>
      <c r="L34" s="259"/>
      <c r="M34" s="259"/>
      <c r="N34" s="259"/>
    </row>
    <row r="35" spans="1:14">
      <c r="A35" s="231" t="s">
        <v>92</v>
      </c>
      <c r="B35" s="259"/>
      <c r="C35" s="259"/>
      <c r="D35" s="259"/>
      <c r="E35" s="259"/>
      <c r="F35" s="259"/>
      <c r="G35" s="259"/>
      <c r="H35" s="259"/>
      <c r="I35" s="259"/>
      <c r="J35" s="259"/>
      <c r="K35" s="259"/>
      <c r="L35" s="259"/>
      <c r="M35" s="259"/>
      <c r="N35" s="259"/>
    </row>
    <row r="36" spans="1:14">
      <c r="A36" s="231" t="s">
        <v>89</v>
      </c>
      <c r="B36" s="259"/>
      <c r="C36" s="259"/>
      <c r="D36" s="259"/>
      <c r="E36" s="259"/>
      <c r="F36" s="259"/>
      <c r="G36" s="259"/>
      <c r="H36" s="259"/>
      <c r="I36" s="259"/>
      <c r="J36" s="259"/>
      <c r="K36" s="259"/>
      <c r="L36" s="259"/>
      <c r="M36" s="259"/>
      <c r="N36" s="259"/>
    </row>
    <row r="37" spans="1:14">
      <c r="A37" s="231" t="s">
        <v>93</v>
      </c>
      <c r="B37" s="260">
        <f t="shared" ref="B37:M37" si="10">SUM(B36*100)/B33-100</f>
        <v>-100</v>
      </c>
      <c r="C37" s="260">
        <f t="shared" si="10"/>
        <v>-100</v>
      </c>
      <c r="D37" s="260">
        <f t="shared" si="10"/>
        <v>-100</v>
      </c>
      <c r="E37" s="260">
        <f t="shared" si="10"/>
        <v>-100</v>
      </c>
      <c r="F37" s="260">
        <f t="shared" si="10"/>
        <v>-100</v>
      </c>
      <c r="G37" s="260">
        <f t="shared" si="10"/>
        <v>-100</v>
      </c>
      <c r="H37" s="260">
        <f t="shared" si="10"/>
        <v>-100</v>
      </c>
      <c r="I37" s="260">
        <f t="shared" si="10"/>
        <v>-100</v>
      </c>
      <c r="J37" s="260">
        <f t="shared" si="10"/>
        <v>-100</v>
      </c>
      <c r="K37" s="260">
        <f t="shared" si="10"/>
        <v>-100</v>
      </c>
      <c r="L37" s="260">
        <f t="shared" si="10"/>
        <v>-100</v>
      </c>
      <c r="M37" s="260">
        <f t="shared" si="10"/>
        <v>-100</v>
      </c>
      <c r="N37" s="259"/>
    </row>
    <row r="38" spans="1:14">
      <c r="A38" s="243" t="s">
        <v>94</v>
      </c>
      <c r="B38" s="261"/>
      <c r="C38" s="261"/>
      <c r="D38" s="262">
        <f>SUM(B37:D37/3)</f>
        <v>-33.333333333333336</v>
      </c>
      <c r="E38" s="261"/>
      <c r="F38" s="261"/>
      <c r="G38" s="262">
        <f>SUM(E37:G37)/3</f>
        <v>-100</v>
      </c>
      <c r="H38" s="261"/>
      <c r="I38" s="261"/>
      <c r="J38" s="262">
        <f>SUM(H37:J37)/3</f>
        <v>-100</v>
      </c>
      <c r="K38" s="261"/>
      <c r="L38" s="261"/>
      <c r="M38" s="262">
        <f>SUM(K37:M37)/3</f>
        <v>-100</v>
      </c>
      <c r="N38" s="261"/>
    </row>
    <row r="39" spans="1:14">
      <c r="A39" s="243"/>
      <c r="B39" s="244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27"/>
    </row>
    <row r="40" spans="1:14" ht="16.5" thickBot="1">
      <c r="E40" s="263" t="s">
        <v>95</v>
      </c>
      <c r="F40" s="264"/>
      <c r="G40" s="265">
        <v>2017</v>
      </c>
    </row>
    <row r="41" spans="1:14">
      <c r="A41" s="266" t="s">
        <v>96</v>
      </c>
      <c r="B41" s="267" t="s">
        <v>44</v>
      </c>
      <c r="C41" s="267" t="s">
        <v>45</v>
      </c>
      <c r="D41" s="267" t="s">
        <v>46</v>
      </c>
      <c r="E41" s="267" t="s">
        <v>47</v>
      </c>
      <c r="F41" s="267" t="s">
        <v>48</v>
      </c>
      <c r="G41" s="267" t="s">
        <v>49</v>
      </c>
      <c r="H41" s="267" t="s">
        <v>38</v>
      </c>
      <c r="I41" s="267" t="s">
        <v>39</v>
      </c>
      <c r="J41" s="267" t="s">
        <v>40</v>
      </c>
      <c r="K41" s="267" t="s">
        <v>41</v>
      </c>
      <c r="L41" s="267" t="s">
        <v>42</v>
      </c>
      <c r="M41" s="267" t="s">
        <v>43</v>
      </c>
      <c r="N41" s="268" t="s">
        <v>64</v>
      </c>
    </row>
    <row r="42" spans="1:14">
      <c r="A42" s="269" t="s">
        <v>97</v>
      </c>
      <c r="B42" s="270"/>
      <c r="C42" s="270"/>
      <c r="D42" s="270"/>
      <c r="E42" s="270"/>
      <c r="F42" s="270"/>
      <c r="G42" s="270"/>
      <c r="H42" s="270"/>
      <c r="I42" s="270"/>
      <c r="J42" s="270"/>
      <c r="K42" s="270"/>
      <c r="L42" s="270"/>
      <c r="M42" s="270"/>
      <c r="N42" s="271">
        <f>SUM(B42:M42)</f>
        <v>0</v>
      </c>
    </row>
    <row r="43" spans="1:14">
      <c r="A43" s="269" t="s">
        <v>98</v>
      </c>
      <c r="B43" s="270"/>
      <c r="C43" s="270"/>
      <c r="D43" s="270"/>
      <c r="E43" s="270"/>
      <c r="F43" s="270"/>
      <c r="G43" s="270"/>
      <c r="H43" s="270"/>
      <c r="I43" s="270"/>
      <c r="J43" s="270"/>
      <c r="K43" s="270"/>
      <c r="L43" s="270"/>
      <c r="M43" s="270"/>
      <c r="N43" s="271">
        <f>SUM(B43:M43)</f>
        <v>0</v>
      </c>
    </row>
    <row r="44" spans="1:14">
      <c r="A44" s="269" t="s">
        <v>99</v>
      </c>
      <c r="B44" s="270"/>
      <c r="C44" s="270"/>
      <c r="D44" s="270"/>
      <c r="E44" s="270"/>
      <c r="F44" s="270"/>
      <c r="G44" s="270"/>
      <c r="H44" s="270"/>
      <c r="I44" s="270"/>
      <c r="J44" s="270"/>
      <c r="K44" s="270"/>
      <c r="L44" s="270"/>
      <c r="M44" s="270"/>
      <c r="N44" s="271">
        <f>SUM(B44:M44)</f>
        <v>0</v>
      </c>
    </row>
    <row r="45" spans="1:14">
      <c r="A45" s="269" t="s">
        <v>100</v>
      </c>
      <c r="B45" s="270"/>
      <c r="C45" s="270"/>
      <c r="D45" s="270"/>
      <c r="E45" s="270"/>
      <c r="F45" s="270"/>
      <c r="G45" s="270"/>
      <c r="H45" s="270"/>
      <c r="I45" s="270"/>
      <c r="J45" s="270"/>
      <c r="K45" s="270"/>
      <c r="L45" s="270"/>
      <c r="M45" s="270"/>
      <c r="N45" s="271">
        <f>SUM(B45:M45)</f>
        <v>0</v>
      </c>
    </row>
    <row r="46" spans="1:14" ht="13.5" thickBot="1">
      <c r="A46" s="272" t="s">
        <v>101</v>
      </c>
      <c r="B46" s="273"/>
      <c r="C46" s="273"/>
      <c r="D46" s="273"/>
      <c r="E46" s="273"/>
      <c r="F46" s="273"/>
      <c r="G46" s="273"/>
      <c r="H46" s="273"/>
      <c r="I46" s="273"/>
      <c r="J46" s="273"/>
      <c r="K46" s="273"/>
      <c r="L46" s="273"/>
      <c r="M46" s="273"/>
      <c r="N46" s="483">
        <f>SUM(B46:M46)</f>
        <v>0</v>
      </c>
    </row>
    <row r="47" spans="1:14">
      <c r="N47" s="484">
        <f>SUM(N42:N46)</f>
        <v>0</v>
      </c>
    </row>
    <row r="48" spans="1:14" ht="16.5" thickBot="1">
      <c r="E48" s="263" t="s">
        <v>102</v>
      </c>
      <c r="F48" s="264"/>
      <c r="G48" s="265">
        <v>2017</v>
      </c>
    </row>
    <row r="49" spans="1:17">
      <c r="A49" s="266" t="s">
        <v>102</v>
      </c>
      <c r="B49" s="267" t="s">
        <v>44</v>
      </c>
      <c r="C49" s="267" t="s">
        <v>45</v>
      </c>
      <c r="D49" s="267" t="s">
        <v>46</v>
      </c>
      <c r="E49" s="267" t="s">
        <v>47</v>
      </c>
      <c r="F49" s="267" t="s">
        <v>48</v>
      </c>
      <c r="G49" s="267" t="s">
        <v>49</v>
      </c>
      <c r="H49" s="267" t="s">
        <v>38</v>
      </c>
      <c r="I49" s="267" t="s">
        <v>39</v>
      </c>
      <c r="J49" s="267" t="s">
        <v>40</v>
      </c>
      <c r="K49" s="267" t="s">
        <v>41</v>
      </c>
      <c r="L49" s="267" t="s">
        <v>42</v>
      </c>
      <c r="M49" s="267" t="s">
        <v>43</v>
      </c>
      <c r="N49" s="268" t="s">
        <v>64</v>
      </c>
    </row>
    <row r="50" spans="1:17">
      <c r="A50" s="485" t="s">
        <v>103</v>
      </c>
      <c r="B50" s="275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6">
        <f t="shared" ref="N50:N55" si="11">SUM(B50:M50)</f>
        <v>0</v>
      </c>
    </row>
    <row r="51" spans="1:17">
      <c r="A51" s="269" t="s">
        <v>104</v>
      </c>
      <c r="B51" s="277"/>
      <c r="C51" s="277"/>
      <c r="D51" s="277"/>
      <c r="E51" s="277"/>
      <c r="F51" s="277"/>
      <c r="G51" s="277"/>
      <c r="H51" s="277"/>
      <c r="I51" s="277"/>
      <c r="J51" s="277"/>
      <c r="K51" s="277"/>
      <c r="L51" s="277"/>
      <c r="M51" s="277"/>
      <c r="N51" s="276">
        <f t="shared" si="11"/>
        <v>0</v>
      </c>
    </row>
    <row r="52" spans="1:17">
      <c r="A52" s="269" t="s">
        <v>105</v>
      </c>
      <c r="B52" s="277"/>
      <c r="C52" s="277"/>
      <c r="D52" s="277"/>
      <c r="E52" s="277"/>
      <c r="F52" s="277"/>
      <c r="G52" s="277"/>
      <c r="H52" s="277"/>
      <c r="I52" s="277"/>
      <c r="J52" s="277"/>
      <c r="K52" s="277"/>
      <c r="L52" s="277"/>
      <c r="M52" s="277"/>
      <c r="N52" s="276">
        <f t="shared" si="11"/>
        <v>0</v>
      </c>
    </row>
    <row r="53" spans="1:17">
      <c r="A53" s="269" t="s">
        <v>106</v>
      </c>
      <c r="B53" s="278"/>
      <c r="C53" s="278"/>
      <c r="D53" s="278"/>
      <c r="E53" s="278"/>
      <c r="F53" s="278"/>
      <c r="G53" s="278"/>
      <c r="H53" s="278"/>
      <c r="I53" s="278"/>
      <c r="J53" s="278"/>
      <c r="K53" s="278"/>
      <c r="L53" s="278"/>
      <c r="M53" s="278"/>
      <c r="N53" s="276">
        <f t="shared" si="11"/>
        <v>0</v>
      </c>
    </row>
    <row r="54" spans="1:17">
      <c r="A54" s="486" t="s">
        <v>11</v>
      </c>
      <c r="B54" s="278"/>
      <c r="C54" s="278"/>
      <c r="D54" s="278"/>
      <c r="E54" s="278"/>
      <c r="F54" s="278"/>
      <c r="G54" s="278"/>
      <c r="H54" s="278"/>
      <c r="I54" s="278"/>
      <c r="J54" s="278"/>
      <c r="K54" s="278"/>
      <c r="L54" s="278"/>
      <c r="M54" s="278"/>
      <c r="N54" s="276">
        <f t="shared" si="11"/>
        <v>0</v>
      </c>
    </row>
    <row r="55" spans="1:17">
      <c r="A55" s="705" t="s">
        <v>107</v>
      </c>
      <c r="B55" s="278"/>
      <c r="C55" s="278"/>
      <c r="D55" s="278"/>
      <c r="E55" s="278"/>
      <c r="F55" s="278"/>
      <c r="G55" s="278"/>
      <c r="H55" s="278"/>
      <c r="I55" s="278"/>
      <c r="J55" s="278"/>
      <c r="K55" s="278"/>
      <c r="L55" s="278"/>
      <c r="M55" s="278"/>
      <c r="N55" s="276">
        <f t="shared" si="11"/>
        <v>0</v>
      </c>
    </row>
    <row r="56" spans="1:17">
      <c r="A56" s="816" t="s">
        <v>108</v>
      </c>
      <c r="B56" s="278"/>
      <c r="C56" s="278"/>
      <c r="D56" s="278"/>
      <c r="E56" s="278"/>
      <c r="F56" s="278"/>
      <c r="G56" s="278"/>
      <c r="H56" s="278"/>
      <c r="I56" s="278"/>
      <c r="J56" s="278"/>
      <c r="K56" s="278"/>
      <c r="L56" s="278"/>
      <c r="M56" s="278"/>
      <c r="N56" s="276">
        <f>SUM(B56:M56)</f>
        <v>0</v>
      </c>
    </row>
    <row r="57" spans="1:17" ht="13.5" thickBot="1">
      <c r="A57" s="816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76">
        <f>SUM(N50:N56)</f>
        <v>0</v>
      </c>
    </row>
    <row r="58" spans="1:17" ht="18">
      <c r="A58" s="823" t="s">
        <v>109</v>
      </c>
      <c r="B58" s="823"/>
      <c r="C58" s="823"/>
      <c r="D58" s="823"/>
      <c r="E58" s="823"/>
      <c r="F58" s="823"/>
      <c r="G58" s="823"/>
      <c r="H58" s="823"/>
      <c r="I58" s="823"/>
      <c r="J58" s="823"/>
      <c r="K58" s="823"/>
      <c r="L58" s="823"/>
      <c r="M58" s="823"/>
      <c r="N58" s="824"/>
    </row>
    <row r="59" spans="1:17" ht="15.75">
      <c r="E59" s="282"/>
      <c r="M59" s="244"/>
      <c r="N59" s="227"/>
    </row>
    <row r="60" spans="1:17">
      <c r="A60" s="771" t="str">
        <f>IF([5]Vagt!A4&lt;&gt;"",[5]Vagt!A4,"")</f>
        <v>Note 1: Fordeling  af intern betalingsordning på Rådhuset</v>
      </c>
      <c r="B60" s="772">
        <f>IF([5]Vagt!B4&lt;&gt;"",[5]Vagt!B4,"")</f>
        <v>0</v>
      </c>
      <c r="C60" s="772">
        <f>IF([5]Vagt!C4&lt;&gt;"",[5]Vagt!C4,"")</f>
        <v>0</v>
      </c>
      <c r="D60" s="772" t="str">
        <f>IF([5]Vagt!D4&lt;&gt;"",[5]Vagt!D4,"")</f>
        <v>Årlig pris</v>
      </c>
      <c r="E60" s="773">
        <f>IF([5]Vagt!E4&lt;&gt;"",[5]Vagt!E4,"")</f>
        <v>0</v>
      </c>
      <c r="F60" s="773">
        <f>IF([5]Vagt!F4&lt;&gt;"",[5]Vagt!F4,"")</f>
        <v>0</v>
      </c>
      <c r="G60" s="773">
        <f>IF([5]Vagt!G4&lt;&gt;"",[5]Vagt!G4,"")</f>
        <v>0</v>
      </c>
      <c r="H60" s="773" t="e">
        <f>IF([5]Vagt!H4&lt;&gt;"",[5]Vagt!H4,"")</f>
        <v>#REF!</v>
      </c>
      <c r="I60" s="773" t="e">
        <f>IF([5]Vagt!I4&lt;&gt;"",[5]Vagt!I4,"")</f>
        <v>#REF!</v>
      </c>
      <c r="J60" s="773" t="e">
        <f>IF([5]Vagt!J4&lt;&gt;"",[5]Vagt!J4,"")</f>
        <v>#REF!</v>
      </c>
      <c r="K60" s="773" t="e">
        <f>IF([5]Vagt!K4&lt;&gt;"",[5]Vagt!K4,"")</f>
        <v>#REF!</v>
      </c>
      <c r="L60" s="773" t="e">
        <f>IF([5]Vagt!L4&lt;&gt;"",[5]Vagt!L4,"")</f>
        <v>#REF!</v>
      </c>
      <c r="M60" s="773" t="e">
        <f>IF([5]Vagt!M4&lt;&gt;"",[5]Vagt!M4,"")</f>
        <v>#REF!</v>
      </c>
      <c r="N60" s="773" t="e">
        <f>IF([5]Vagt!N4&lt;&gt;"",[5]Vagt!N4,"")</f>
        <v>#REF!</v>
      </c>
      <c r="O60" s="226">
        <f>IF([5]Vagt!O4&lt;&gt;"",[5]Vagt!O4,"")</f>
        <v>0</v>
      </c>
      <c r="P60" s="244"/>
      <c r="Q60" s="227"/>
    </row>
    <row r="61" spans="1:17">
      <c r="A61" s="772">
        <f>IF([5]Vagt!A5&lt;&gt;"",[5]Vagt!A5,"")</f>
        <v>0</v>
      </c>
      <c r="B61" s="772" t="str">
        <f>IF([5]Vagt!B5&lt;&gt;"",[5]Vagt!B5,"")</f>
        <v>SOF</v>
      </c>
      <c r="C61" s="772">
        <f>IF([5]Vagt!C5&lt;&gt;"",[5]Vagt!C5,"")</f>
        <v>0</v>
      </c>
      <c r="D61" s="812">
        <f>IF([5]Vagt!D5&lt;&gt;"",[5]Vagt!D5,"")</f>
        <v>5769851</v>
      </c>
      <c r="E61" s="773" t="str">
        <f>IF([5]Vagt!E5&lt;&gt;"",[5]Vagt!E5,"")</f>
        <v>Lisbeth Iversen 62200</v>
      </c>
      <c r="F61" s="773">
        <f>IF([5]Vagt!F5&lt;&gt;"",[5]Vagt!F5,"")</f>
        <v>0</v>
      </c>
      <c r="G61" s="773">
        <f>IF([5]Vagt!G5&lt;&gt;"",[5]Vagt!G5,"")</f>
        <v>0</v>
      </c>
      <c r="H61" s="773" t="e">
        <f>IF([5]Vagt!H5&lt;&gt;"",[5]Vagt!H5,"")</f>
        <v>#REF!</v>
      </c>
      <c r="I61" s="773" t="e">
        <f>IF([5]Vagt!I5&lt;&gt;"",[5]Vagt!I5,"")</f>
        <v>#REF!</v>
      </c>
      <c r="J61" s="773" t="e">
        <f>IF([5]Vagt!J5&lt;&gt;"",[5]Vagt!J5,"")</f>
        <v>#REF!</v>
      </c>
      <c r="K61" s="773" t="e">
        <f>IF([5]Vagt!K5&lt;&gt;"",[5]Vagt!K5,"")</f>
        <v>#REF!</v>
      </c>
      <c r="L61" s="773" t="e">
        <f>IF([5]Vagt!L5&lt;&gt;"",[5]Vagt!L5,"")</f>
        <v>#REF!</v>
      </c>
      <c r="M61" s="773" t="e">
        <f>IF([5]Vagt!M5&lt;&gt;"",[5]Vagt!M5,"")</f>
        <v>#REF!</v>
      </c>
      <c r="N61" s="773" t="e">
        <f>IF([5]Vagt!N5&lt;&gt;"",[5]Vagt!N5,"")</f>
        <v>#REF!</v>
      </c>
      <c r="O61" s="226">
        <f>IF([5]Vagt!O5&lt;&gt;"",[5]Vagt!O5,"")</f>
        <v>0</v>
      </c>
      <c r="P61" s="244"/>
      <c r="Q61" s="227"/>
    </row>
    <row r="62" spans="1:17">
      <c r="A62" s="772">
        <f>IF([5]Vagt!A6&lt;&gt;"",[5]Vagt!A6,"")</f>
        <v>0</v>
      </c>
      <c r="B62" s="772" t="str">
        <f>IF([5]Vagt!B6&lt;&gt;"",[5]Vagt!B6,"")</f>
        <v>Kødbyen</v>
      </c>
      <c r="C62" s="772">
        <f>IF([5]Vagt!C6&lt;&gt;"",[5]Vagt!C6,"")</f>
        <v>0</v>
      </c>
      <c r="D62" s="812">
        <f>IF([5]Vagt!D6&lt;&gt;"",[5]Vagt!D6,"")</f>
        <v>2292015</v>
      </c>
      <c r="E62" s="818">
        <f>IF([5]Vagt!E6&lt;&gt;"",[5]Vagt!E6,"")</f>
        <v>0</v>
      </c>
      <c r="F62" s="773">
        <f>IF([5]Vagt!F6&lt;&gt;"",[5]Vagt!F6,"")</f>
        <v>0</v>
      </c>
      <c r="G62" s="773">
        <f>IF([5]Vagt!G6&lt;&gt;"",[5]Vagt!G6,"")</f>
        <v>0</v>
      </c>
      <c r="H62" s="773" t="e">
        <f>IF([5]Vagt!H6&lt;&gt;"",[5]Vagt!H6,"")</f>
        <v>#REF!</v>
      </c>
      <c r="I62" s="773" t="e">
        <f>IF([5]Vagt!I6&lt;&gt;"",[5]Vagt!I6,"")</f>
        <v>#REF!</v>
      </c>
      <c r="J62" s="773" t="e">
        <f>IF([5]Vagt!J6&lt;&gt;"",[5]Vagt!J6,"")</f>
        <v>#REF!</v>
      </c>
      <c r="K62" s="773" t="e">
        <f>IF([5]Vagt!K6&lt;&gt;"",[5]Vagt!K6,"")</f>
        <v>#REF!</v>
      </c>
      <c r="L62" s="773" t="e">
        <f>IF([5]Vagt!L6&lt;&gt;"",[5]Vagt!L6,"")</f>
        <v>#REF!</v>
      </c>
      <c r="M62" s="773" t="e">
        <f>IF([5]Vagt!M6&lt;&gt;"",[5]Vagt!M6,"")</f>
        <v>#REF!</v>
      </c>
      <c r="N62" s="773" t="e">
        <f>IF([5]Vagt!N6&lt;&gt;"",[5]Vagt!N6,"")</f>
        <v>#REF!</v>
      </c>
      <c r="O62" s="291">
        <f>IF([5]Vagt!O6&lt;&gt;"",[5]Vagt!O6,"")</f>
        <v>0</v>
      </c>
      <c r="P62" s="244"/>
      <c r="Q62" s="227"/>
    </row>
    <row r="63" spans="1:17">
      <c r="A63" s="772" t="e">
        <f>IF([5]Vagt!A7&lt;&gt;"",[5]Vagt!A7,"")</f>
        <v>#REF!</v>
      </c>
      <c r="B63" s="772">
        <f>IF([5]Vagt!B7&lt;&gt;"",[5]Vagt!B7,"")</f>
        <v>0</v>
      </c>
      <c r="C63" s="772">
        <f>IF([5]Vagt!C7&lt;&gt;"",[5]Vagt!C7,"")</f>
        <v>0</v>
      </c>
      <c r="D63" s="772">
        <f>IF([5]Vagt!D7&lt;&gt;"",[5]Vagt!D7,"")</f>
        <v>0</v>
      </c>
      <c r="E63" s="773">
        <f>IF([5]Vagt!E7&lt;&gt;"",[5]Vagt!E7,"")</f>
        <v>0</v>
      </c>
      <c r="F63" s="773">
        <f>IF([5]Vagt!F7&lt;&gt;"",[5]Vagt!F7,"")</f>
        <v>0</v>
      </c>
      <c r="G63" s="773">
        <f>IF([5]Vagt!G7&lt;&gt;"",[5]Vagt!G7,"")</f>
        <v>0</v>
      </c>
      <c r="H63" s="773" t="e">
        <f>IF([5]Vagt!H7&lt;&gt;"",[5]Vagt!H7,"")</f>
        <v>#REF!</v>
      </c>
      <c r="I63" s="773" t="e">
        <f>IF([5]Vagt!I7&lt;&gt;"",[5]Vagt!I7,"")</f>
        <v>#REF!</v>
      </c>
      <c r="J63" s="773" t="e">
        <f>IF([5]Vagt!J7&lt;&gt;"",[5]Vagt!J7,"")</f>
        <v>#REF!</v>
      </c>
      <c r="K63" s="773" t="e">
        <f>IF([5]Vagt!K7&lt;&gt;"",[5]Vagt!K7,"")</f>
        <v>#REF!</v>
      </c>
      <c r="L63" s="773" t="e">
        <f>IF([5]Vagt!L7&lt;&gt;"",[5]Vagt!L7,"")</f>
        <v>#REF!</v>
      </c>
      <c r="M63" s="773" t="e">
        <f>IF([5]Vagt!M7&lt;&gt;"",[5]Vagt!M7,"")</f>
        <v>#REF!</v>
      </c>
      <c r="N63" s="773" t="e">
        <f>IF([5]Vagt!N7&lt;&gt;"",[5]Vagt!N7,"")</f>
        <v>#REF!</v>
      </c>
      <c r="O63" s="298">
        <f>IF([5]Vagt!O7&lt;&gt;"",[5]Vagt!O7,"")</f>
        <v>0</v>
      </c>
      <c r="P63" s="244"/>
      <c r="Q63" s="227"/>
    </row>
    <row r="64" spans="1:17">
      <c r="A64" s="772">
        <f>IF([5]Vagt!A8&lt;&gt;"",[5]Vagt!A8,"")</f>
        <v>0</v>
      </c>
      <c r="B64" s="772">
        <f>IF([5]Vagt!B8&lt;&gt;"",[5]Vagt!B8,"")</f>
        <v>0</v>
      </c>
      <c r="C64" s="772">
        <f>IF([5]Vagt!C8&lt;&gt;"",[5]Vagt!C8,"")</f>
        <v>0</v>
      </c>
      <c r="D64" s="772">
        <f>IF([5]Vagt!D8&lt;&gt;"",[5]Vagt!D8,"")</f>
        <v>0</v>
      </c>
      <c r="E64" s="773" t="e">
        <f>IF([5]Vagt!E8&lt;&gt;"",[5]Vagt!E8,"")</f>
        <v>#REF!</v>
      </c>
      <c r="F64" s="773">
        <f>IF([5]Vagt!F8&lt;&gt;"",[5]Vagt!F8,"")</f>
        <v>0</v>
      </c>
      <c r="G64" s="773">
        <f>IF([5]Vagt!G8&lt;&gt;"",[5]Vagt!G8,"")</f>
        <v>0</v>
      </c>
      <c r="H64" s="773" t="e">
        <f>IF([5]Vagt!H8&lt;&gt;"",[5]Vagt!H8,"")</f>
        <v>#REF!</v>
      </c>
      <c r="I64" s="773" t="e">
        <f>IF([5]Vagt!I8&lt;&gt;"",[5]Vagt!I8,"")</f>
        <v>#REF!</v>
      </c>
      <c r="J64" s="773" t="e">
        <f>IF([5]Vagt!J8&lt;&gt;"",[5]Vagt!J8,"")</f>
        <v>#REF!</v>
      </c>
      <c r="K64" s="773" t="e">
        <f>IF([5]Vagt!K8&lt;&gt;"",[5]Vagt!K8,"")</f>
        <v>#REF!</v>
      </c>
      <c r="L64" s="773" t="e">
        <f>IF([5]Vagt!L8&lt;&gt;"",[5]Vagt!L8,"")</f>
        <v>#REF!</v>
      </c>
      <c r="M64" s="773" t="e">
        <f>IF([5]Vagt!M8&lt;&gt;"",[5]Vagt!M8,"")</f>
        <v>#REF!</v>
      </c>
      <c r="N64" s="773" t="e">
        <f>IF([5]Vagt!N8&lt;&gt;"",[5]Vagt!N8,"")</f>
        <v>#REF!</v>
      </c>
      <c r="O64" s="320">
        <f>IF([5]Vagt!O8&lt;&gt;"",[5]Vagt!O8,"")</f>
        <v>0</v>
      </c>
      <c r="P64" s="244"/>
      <c r="Q64" s="227"/>
    </row>
    <row r="65" spans="1:17">
      <c r="A65" s="772">
        <f>IF([5]Vagt!A9&lt;&gt;"",[5]Vagt!A9,"")</f>
        <v>0</v>
      </c>
      <c r="B65" s="772">
        <f>IF([5]Vagt!B9&lt;&gt;"",[5]Vagt!B9,"")</f>
        <v>0</v>
      </c>
      <c r="C65" s="772">
        <f>IF([5]Vagt!C9&lt;&gt;"",[5]Vagt!C9,"")</f>
        <v>0</v>
      </c>
      <c r="D65" s="772">
        <f>IF([5]Vagt!D9&lt;&gt;"",[5]Vagt!D9,"")</f>
        <v>0</v>
      </c>
      <c r="E65" s="773">
        <f>IF([5]Vagt!E9&lt;&gt;"",[5]Vagt!E9,"")</f>
        <v>0</v>
      </c>
      <c r="F65" s="773">
        <f>IF([5]Vagt!F9&lt;&gt;"",[5]Vagt!F9,"")</f>
        <v>0</v>
      </c>
      <c r="G65" s="773">
        <f>IF([5]Vagt!G9&lt;&gt;"",[5]Vagt!G9,"")</f>
        <v>0</v>
      </c>
      <c r="H65" s="773" t="e">
        <f>IF([5]Vagt!H9&lt;&gt;"",[5]Vagt!H9,"")</f>
        <v>#REF!</v>
      </c>
      <c r="I65" s="773" t="e">
        <f>IF([5]Vagt!I9&lt;&gt;"",[5]Vagt!I9,"")</f>
        <v>#REF!</v>
      </c>
      <c r="J65" s="773" t="e">
        <f>IF([5]Vagt!J9&lt;&gt;"",[5]Vagt!J9,"")</f>
        <v>#REF!</v>
      </c>
      <c r="K65" s="773" t="e">
        <f>IF([5]Vagt!K9&lt;&gt;"",[5]Vagt!K9,"")</f>
        <v>#REF!</v>
      </c>
      <c r="L65" s="773" t="e">
        <f>IF([5]Vagt!L9&lt;&gt;"",[5]Vagt!L9,"")</f>
        <v>#REF!</v>
      </c>
      <c r="M65" s="773" t="e">
        <f>IF([5]Vagt!M9&lt;&gt;"",[5]Vagt!M9,"")</f>
        <v>#REF!</v>
      </c>
      <c r="N65" s="773" t="e">
        <f>IF([5]Vagt!N9&lt;&gt;"",[5]Vagt!N9,"")</f>
        <v>#REF!</v>
      </c>
      <c r="O65" s="320">
        <f>IF([5]Vagt!O9&lt;&gt;"",[5]Vagt!O9,"")</f>
        <v>0</v>
      </c>
      <c r="P65" s="244"/>
      <c r="Q65" s="227"/>
    </row>
    <row r="66" spans="1:17">
      <c r="A66" s="772">
        <f>IF([5]Vagt!A10&lt;&gt;"",[5]Vagt!A10,"")</f>
        <v>0</v>
      </c>
      <c r="B66" s="772">
        <f>IF([5]Vagt!B10&lt;&gt;"",[5]Vagt!B10,"")</f>
        <v>0</v>
      </c>
      <c r="C66" s="772">
        <f>IF([5]Vagt!C10&lt;&gt;"",[5]Vagt!C10,"")</f>
        <v>0</v>
      </c>
      <c r="D66" s="772">
        <f>IF([5]Vagt!D10&lt;&gt;"",[5]Vagt!D10,"")</f>
        <v>0</v>
      </c>
      <c r="E66" s="773">
        <f>IF([5]Vagt!E10&lt;&gt;"",[5]Vagt!E10,"")</f>
        <v>0</v>
      </c>
      <c r="F66" s="773">
        <f>IF([5]Vagt!F10&lt;&gt;"",[5]Vagt!F10,"")</f>
        <v>0</v>
      </c>
      <c r="G66" s="773">
        <f>IF([5]Vagt!G10&lt;&gt;"",[5]Vagt!G10,"")</f>
        <v>0</v>
      </c>
      <c r="H66" s="773" t="e">
        <f>IF([5]Vagt!H10&lt;&gt;"",[5]Vagt!H10,"")</f>
        <v>#REF!</v>
      </c>
      <c r="I66" s="773" t="e">
        <f>IF([5]Vagt!I10&lt;&gt;"",[5]Vagt!I10,"")</f>
        <v>#REF!</v>
      </c>
      <c r="J66" s="773" t="e">
        <f>IF([5]Vagt!J10&lt;&gt;"",[5]Vagt!J10,"")</f>
        <v>#REF!</v>
      </c>
      <c r="K66" s="773" t="e">
        <f>IF([5]Vagt!K10&lt;&gt;"",[5]Vagt!K10,"")</f>
        <v>#REF!</v>
      </c>
      <c r="L66" s="773" t="e">
        <f>IF([5]Vagt!L10&lt;&gt;"",[5]Vagt!L10,"")</f>
        <v>#REF!</v>
      </c>
      <c r="M66" s="773" t="e">
        <f>IF([5]Vagt!M10&lt;&gt;"",[5]Vagt!M10,"")</f>
        <v>#REF!</v>
      </c>
      <c r="N66" s="773" t="e">
        <f>IF([5]Vagt!N10&lt;&gt;"",[5]Vagt!N10,"")</f>
        <v>#REF!</v>
      </c>
      <c r="O66" s="320">
        <f>IF([5]Vagt!O10&lt;&gt;"",[5]Vagt!O10,"")</f>
        <v>0</v>
      </c>
      <c r="P66" s="244"/>
      <c r="Q66" s="227"/>
    </row>
    <row r="67" spans="1:17">
      <c r="A67" s="772">
        <f>IF([5]Vagt!A11&lt;&gt;"",[5]Vagt!A11,"")</f>
        <v>0</v>
      </c>
      <c r="B67" s="772">
        <f>IF([5]Vagt!B11&lt;&gt;"",[5]Vagt!B11,"")</f>
        <v>0</v>
      </c>
      <c r="C67" s="772">
        <f>IF([5]Vagt!C11&lt;&gt;"",[5]Vagt!C11,"")</f>
        <v>0</v>
      </c>
      <c r="D67" s="772">
        <f>IF([5]Vagt!D11&lt;&gt;"",[5]Vagt!D11,"")</f>
        <v>0</v>
      </c>
      <c r="E67" s="773">
        <f>IF([5]Vagt!E11&lt;&gt;"",[5]Vagt!E11,"")</f>
        <v>0</v>
      </c>
      <c r="F67" s="773">
        <f>IF([5]Vagt!F11&lt;&gt;"",[5]Vagt!F11,"")</f>
        <v>0</v>
      </c>
      <c r="G67" s="773">
        <f>IF([5]Vagt!G11&lt;&gt;"",[5]Vagt!G11,"")</f>
        <v>0</v>
      </c>
      <c r="H67" s="773" t="e">
        <f>IF([5]Vagt!H11&lt;&gt;"",[5]Vagt!H11,"")</f>
        <v>#REF!</v>
      </c>
      <c r="I67" s="773" t="e">
        <f>IF([5]Vagt!I11&lt;&gt;"",[5]Vagt!I11,"")</f>
        <v>#REF!</v>
      </c>
      <c r="J67" s="773" t="e">
        <f>IF([5]Vagt!J11&lt;&gt;"",[5]Vagt!J11,"")</f>
        <v>#REF!</v>
      </c>
      <c r="K67" s="773" t="e">
        <f>IF([5]Vagt!K11&lt;&gt;"",[5]Vagt!K11,"")</f>
        <v>#REF!</v>
      </c>
      <c r="L67" s="773" t="e">
        <f>IF([5]Vagt!L11&lt;&gt;"",[5]Vagt!L11,"")</f>
        <v>#REF!</v>
      </c>
      <c r="M67" s="773" t="e">
        <f>IF([5]Vagt!M11&lt;&gt;"",[5]Vagt!M11,"")</f>
        <v>#REF!</v>
      </c>
      <c r="N67" s="773" t="e">
        <f>IF([5]Vagt!N11&lt;&gt;"",[5]Vagt!N11,"")</f>
        <v>#REF!</v>
      </c>
      <c r="O67" s="291">
        <f>IF([5]Vagt!O11&lt;&gt;"",[5]Vagt!O11,"")</f>
        <v>0</v>
      </c>
      <c r="P67" s="244"/>
      <c r="Q67" s="227"/>
    </row>
    <row r="68" spans="1:17">
      <c r="A68" s="772">
        <f>IF([5]Vagt!A12&lt;&gt;"",[5]Vagt!A12,"")</f>
        <v>0</v>
      </c>
      <c r="B68" s="772">
        <f>IF([5]Vagt!B12&lt;&gt;"",[5]Vagt!B12,"")</f>
        <v>0</v>
      </c>
      <c r="C68" s="772">
        <f>IF([5]Vagt!C12&lt;&gt;"",[5]Vagt!C12,"")</f>
        <v>0</v>
      </c>
      <c r="D68" s="772">
        <f>IF([5]Vagt!D12&lt;&gt;"",[5]Vagt!D12,"")</f>
        <v>0</v>
      </c>
      <c r="E68" s="773" t="str">
        <f>IF([5]Vagt!E12&lt;&gt;"",[5]Vagt!E12,"")</f>
        <v>Sort = ikke betalt eller genfremsendt</v>
      </c>
      <c r="F68" s="773">
        <f>IF([5]Vagt!F12&lt;&gt;"",[5]Vagt!F12,"")</f>
        <v>0</v>
      </c>
      <c r="G68" s="773">
        <f>IF([5]Vagt!G12&lt;&gt;"",[5]Vagt!G12,"")</f>
        <v>0</v>
      </c>
      <c r="H68" s="773" t="e">
        <f>IF([5]Vagt!H12&lt;&gt;"",[5]Vagt!H12,"")</f>
        <v>#REF!</v>
      </c>
      <c r="I68" s="773" t="e">
        <f>IF([5]Vagt!I12&lt;&gt;"",[5]Vagt!I12,"")</f>
        <v>#REF!</v>
      </c>
      <c r="J68" s="773" t="e">
        <f>IF([5]Vagt!J12&lt;&gt;"",[5]Vagt!J12,"")</f>
        <v>#REF!</v>
      </c>
      <c r="K68" s="773" t="e">
        <f>IF([5]Vagt!K12&lt;&gt;"",[5]Vagt!K12,"")</f>
        <v>#REF!</v>
      </c>
      <c r="L68" s="773" t="e">
        <f>IF([5]Vagt!L12&lt;&gt;"",[5]Vagt!L12,"")</f>
        <v>#REF!</v>
      </c>
      <c r="M68" s="773" t="e">
        <f>IF([5]Vagt!M12&lt;&gt;"",[5]Vagt!M12,"")</f>
        <v>#REF!</v>
      </c>
      <c r="N68" s="773" t="e">
        <f>IF([5]Vagt!N12&lt;&gt;"",[5]Vagt!N12,"")</f>
        <v>#REF!</v>
      </c>
      <c r="O68" s="317">
        <f>IF([5]Vagt!O12&lt;&gt;"",[5]Vagt!O12,"")</f>
        <v>0</v>
      </c>
      <c r="P68" s="244"/>
      <c r="Q68" s="227"/>
    </row>
    <row r="69" spans="1:17" ht="13.5" thickBot="1">
      <c r="A69" s="774">
        <f>IF([5]Vagt!A13&lt;&gt;"",[5]Vagt!A13,"")</f>
        <v>0</v>
      </c>
      <c r="B69" s="774">
        <f>IF([5]Vagt!B13&lt;&gt;"",[5]Vagt!B13,"")</f>
        <v>0</v>
      </c>
      <c r="C69" s="774">
        <f>IF([5]Vagt!C13&lt;&gt;"",[5]Vagt!C13,"")</f>
        <v>0</v>
      </c>
      <c r="D69" s="774">
        <f>IF([5]Vagt!D13&lt;&gt;"",[5]Vagt!D13,"")</f>
        <v>0</v>
      </c>
      <c r="E69" s="779" t="str">
        <f>IF([5]Vagt!E13&lt;&gt;"",[5]Vagt!E13,"")</f>
        <v>Grøn = Ikke betalt men genfremsendt</v>
      </c>
      <c r="F69" s="773">
        <f>IF([5]Vagt!F13&lt;&gt;"",[5]Vagt!F13,"")</f>
        <v>0</v>
      </c>
      <c r="G69" s="773">
        <f>IF([5]Vagt!G13&lt;&gt;"",[5]Vagt!G13,"")</f>
        <v>0</v>
      </c>
      <c r="H69" s="773" t="e">
        <f>IF([5]Vagt!H13&lt;&gt;"",[5]Vagt!H13,"")</f>
        <v>#REF!</v>
      </c>
      <c r="I69" s="773" t="e">
        <f>IF([5]Vagt!I13&lt;&gt;"",[5]Vagt!I13,"")</f>
        <v>#REF!</v>
      </c>
      <c r="J69" s="773" t="e">
        <f>IF([5]Vagt!J13&lt;&gt;"",[5]Vagt!J13,"")</f>
        <v>#REF!</v>
      </c>
      <c r="K69" s="773" t="e">
        <f>IF([5]Vagt!K13&lt;&gt;"",[5]Vagt!K13,"")</f>
        <v>#REF!</v>
      </c>
      <c r="L69" s="773" t="e">
        <f>IF([5]Vagt!L13&lt;&gt;"",[5]Vagt!L13,"")</f>
        <v>#REF!</v>
      </c>
      <c r="M69" s="773" t="e">
        <f>IF([5]Vagt!M13&lt;&gt;"",[5]Vagt!M13,"")</f>
        <v>#REF!</v>
      </c>
      <c r="N69" s="773" t="e">
        <f>IF([5]Vagt!N13&lt;&gt;"",[5]Vagt!N13,"")</f>
        <v>#REF!</v>
      </c>
      <c r="O69" s="320">
        <f>IF([5]Vagt!O13&lt;&gt;"",[5]Vagt!O13,"")</f>
        <v>0</v>
      </c>
      <c r="P69" s="244"/>
      <c r="Q69" s="227"/>
    </row>
    <row r="70" spans="1:17">
      <c r="A70" s="775" t="str">
        <f>IF([5]Vagt!A14&lt;&gt;"",[5]Vagt!A14,"")</f>
        <v>Årligt</v>
      </c>
      <c r="B70" s="775">
        <f>IF([5]Vagt!B14&lt;&gt;"",[5]Vagt!B14,"")</f>
        <v>0</v>
      </c>
      <c r="C70" s="775">
        <f>IF([5]Vagt!C14&lt;&gt;"",[5]Vagt!C14,"")</f>
        <v>0</v>
      </c>
      <c r="D70" s="777">
        <f>IF([5]Vagt!D14&lt;&gt;"",[5]Vagt!D14,"")</f>
        <v>8061866</v>
      </c>
      <c r="E70" s="780" t="str">
        <f>IF([5]Vagt!E14&lt;&gt;"",[5]Vagt!E14,"")</f>
        <v>Når org. Nr. er røde, er de betalt</v>
      </c>
      <c r="F70" s="773">
        <f>IF([5]Vagt!F14&lt;&gt;"",[5]Vagt!F14,"")</f>
        <v>0</v>
      </c>
      <c r="G70" s="773">
        <f>IF([5]Vagt!G14&lt;&gt;"",[5]Vagt!G14,"")</f>
        <v>0</v>
      </c>
      <c r="H70" s="773" t="e">
        <f>IF([5]Vagt!H14&lt;&gt;"",[5]Vagt!H14,"")</f>
        <v>#REF!</v>
      </c>
      <c r="I70" s="773" t="e">
        <f>IF([5]Vagt!I14&lt;&gt;"",[5]Vagt!I14,"")</f>
        <v>#REF!</v>
      </c>
      <c r="J70" s="773" t="e">
        <f>IF([5]Vagt!J14&lt;&gt;"",[5]Vagt!J14,"")</f>
        <v>#REF!</v>
      </c>
      <c r="K70" s="773" t="e">
        <f>IF([5]Vagt!K14&lt;&gt;"",[5]Vagt!K14,"")</f>
        <v>#REF!</v>
      </c>
      <c r="L70" s="773" t="e">
        <f>IF([5]Vagt!L14&lt;&gt;"",[5]Vagt!L14,"")</f>
        <v>#REF!</v>
      </c>
      <c r="M70" s="773" t="e">
        <f>IF([5]Vagt!M14&lt;&gt;"",[5]Vagt!M14,"")</f>
        <v>#REF!</v>
      </c>
      <c r="N70" s="773" t="e">
        <f>IF([5]Vagt!N14&lt;&gt;"",[5]Vagt!N14,"")</f>
        <v>#REF!</v>
      </c>
      <c r="O70" s="320">
        <f>IF([5]Vagt!O14&lt;&gt;"",[5]Vagt!O14,"")</f>
        <v>0</v>
      </c>
      <c r="P70" s="244"/>
      <c r="Q70" s="227"/>
    </row>
    <row r="71" spans="1:17" ht="13.5" thickBot="1">
      <c r="A71" s="776" t="str">
        <f>IF([5]Vagt!A15&lt;&gt;"",[5]Vagt!A15,"")</f>
        <v>Månedligt</v>
      </c>
      <c r="B71" s="776">
        <f>IF([5]Vagt!B15&lt;&gt;"",[5]Vagt!B15,"")</f>
        <v>0</v>
      </c>
      <c r="C71" s="776">
        <f>IF([5]Vagt!C15&lt;&gt;"",[5]Vagt!C15,"")</f>
        <v>0</v>
      </c>
      <c r="D71" s="778">
        <f>IF([5]Vagt!D15&lt;&gt;"",[5]Vagt!D15,"")</f>
        <v>671822.16666666663</v>
      </c>
      <c r="E71" s="780" t="str">
        <f>IF([5]Vagt!E15&lt;&gt;"",[5]Vagt!E15,"")</f>
        <v>Der er en pris fremskrivning/stigning på 2.10 % og ingen stigning på timepris påført 28-11-2016 gældende for 2017</v>
      </c>
      <c r="F71" s="773" t="e">
        <f>IF([5]Vagt!F15&lt;&gt;"",[5]Vagt!F15,"")</f>
        <v>#REF!</v>
      </c>
      <c r="G71" s="773" t="e">
        <f>IF([5]Vagt!G15&lt;&gt;"",[5]Vagt!G15,"")</f>
        <v>#REF!</v>
      </c>
      <c r="H71" s="773" t="e">
        <f>IF([5]Vagt!H15&lt;&gt;"",[5]Vagt!H15,"")</f>
        <v>#REF!</v>
      </c>
      <c r="I71" s="773" t="e">
        <f>IF([5]Vagt!I15&lt;&gt;"",[5]Vagt!I15,"")</f>
        <v>#REF!</v>
      </c>
      <c r="J71" s="773" t="e">
        <f>IF([5]Vagt!J15&lt;&gt;"",[5]Vagt!J15,"")</f>
        <v>#REF!</v>
      </c>
      <c r="K71" s="773">
        <f>IF([5]Vagt!K15&lt;&gt;"",[5]Vagt!K15,"")</f>
        <v>0</v>
      </c>
      <c r="L71" s="773" t="e">
        <f>IF([5]Vagt!L15&lt;&gt;"",[5]Vagt!L15,"")</f>
        <v>#REF!</v>
      </c>
      <c r="M71" s="773" t="e">
        <f>IF([5]Vagt!M15&lt;&gt;"",[5]Vagt!M15,"")</f>
        <v>#REF!</v>
      </c>
      <c r="N71" s="773" t="e">
        <f>IF([5]Vagt!N15&lt;&gt;"",[5]Vagt!N15,"")</f>
        <v>#REF!</v>
      </c>
      <c r="O71" s="291">
        <f>IF([5]Vagt!O15&lt;&gt;"",[5]Vagt!O15,"")</f>
        <v>0</v>
      </c>
      <c r="P71" s="244"/>
      <c r="Q71" s="227"/>
    </row>
    <row r="72" spans="1:17">
      <c r="A72" s="773">
        <f>IF([5]Vagt!A16&lt;&gt;"",[5]Vagt!A16,"")</f>
        <v>0</v>
      </c>
      <c r="B72" s="773">
        <f>IF([5]Vagt!B16&lt;&gt;"",[5]Vagt!B16,"")</f>
        <v>0</v>
      </c>
      <c r="C72" s="773">
        <f>IF([5]Vagt!C16&lt;&gt;"",[5]Vagt!C16,"")</f>
        <v>0</v>
      </c>
      <c r="D72" s="773" t="e">
        <f>IF([5]Vagt!D16&lt;&gt;"",[5]Vagt!D16,"")</f>
        <v>#REF!</v>
      </c>
      <c r="E72" s="773" t="e">
        <f>IF([5]Vagt!E16&lt;&gt;"",[5]Vagt!E16,"")</f>
        <v>#REF!</v>
      </c>
      <c r="F72" s="773" t="e">
        <f>IF([5]Vagt!F16&lt;&gt;"",[5]Vagt!F16,"")</f>
        <v>#REF!</v>
      </c>
      <c r="G72" s="773" t="e">
        <f>IF([5]Vagt!G16&lt;&gt;"",[5]Vagt!G16,"")</f>
        <v>#REF!</v>
      </c>
      <c r="H72" s="773" t="e">
        <f>IF([5]Vagt!H16&lt;&gt;"",[5]Vagt!H16,"")</f>
        <v>#REF!</v>
      </c>
      <c r="I72" s="773" t="e">
        <f>IF([5]Vagt!I16&lt;&gt;"",[5]Vagt!I16,"")</f>
        <v>#REF!</v>
      </c>
      <c r="J72" s="773" t="e">
        <f>IF([5]Vagt!J16&lt;&gt;"",[5]Vagt!J16,"")</f>
        <v>#REF!</v>
      </c>
      <c r="K72" s="773" t="e">
        <f>IF([5]Vagt!K16&lt;&gt;"",[5]Vagt!K16,"")</f>
        <v>#REF!</v>
      </c>
      <c r="L72" s="773" t="e">
        <f>IF([5]Vagt!L16&lt;&gt;"",[5]Vagt!L16,"")</f>
        <v>#REF!</v>
      </c>
      <c r="M72" s="773" t="e">
        <f>IF([5]Vagt!M16&lt;&gt;"",[5]Vagt!M16,"")</f>
        <v>#REF!</v>
      </c>
      <c r="N72" s="773" t="e">
        <f>IF([5]Vagt!N16&lt;&gt;"",[5]Vagt!N16,"")</f>
        <v>#REF!</v>
      </c>
      <c r="O72" s="291">
        <f>IF([5]Vagt!O16&lt;&gt;"",[5]Vagt!O16,"")</f>
        <v>0</v>
      </c>
      <c r="P72" s="244"/>
      <c r="Q72" s="227"/>
    </row>
    <row r="73" spans="1:17">
      <c r="A73" s="772">
        <f>IF([5]Vagt!A17&lt;&gt;"",[5]Vagt!A17,"")</f>
        <v>0</v>
      </c>
      <c r="B73" s="771" t="str">
        <f>IF([5]Vagt!B17&lt;&gt;"",[5]Vagt!B17,"")</f>
        <v xml:space="preserve">Note 2  Kontrakt kunder fast rundering </v>
      </c>
      <c r="C73" s="771">
        <f>IF([5]Vagt!C17&lt;&gt;"",[5]Vagt!C17,"")</f>
        <v>0</v>
      </c>
      <c r="D73" s="782">
        <f>IF([5]Vagt!D17&lt;&gt;"",[5]Vagt!D17,"")</f>
        <v>0</v>
      </c>
      <c r="E73" s="784">
        <f>IF([5]Vagt!E17&lt;&gt;"",[5]Vagt!E17,"")</f>
        <v>0</v>
      </c>
      <c r="F73" s="771">
        <f>IF([5]Vagt!F17&lt;&gt;"",[5]Vagt!F17,"")</f>
        <v>0</v>
      </c>
      <c r="G73" s="773">
        <f>IF([5]Vagt!G17&lt;&gt;"",[5]Vagt!G17,"")</f>
        <v>0</v>
      </c>
      <c r="H73" s="773">
        <f>IF([5]Vagt!H17&lt;&gt;"",[5]Vagt!H17,"")</f>
        <v>0</v>
      </c>
      <c r="I73" s="772">
        <f>IF([5]Vagt!I17&lt;&gt;"",[5]Vagt!I17,"")</f>
        <v>0</v>
      </c>
      <c r="J73" s="782" t="str">
        <f>IF([5]Vagt!J17&lt;&gt;"",[5]Vagt!J17,"")</f>
        <v xml:space="preserve">Note 2  Kontrakt kunder fast rundering </v>
      </c>
      <c r="K73" s="800">
        <f>IF([5]Vagt!K17&lt;&gt;"",[5]Vagt!K17,"")</f>
        <v>0</v>
      </c>
      <c r="L73" s="800">
        <f>IF([5]Vagt!L17&lt;&gt;"",[5]Vagt!L17,"")</f>
        <v>0</v>
      </c>
      <c r="M73" s="800">
        <f>IF([5]Vagt!M17&lt;&gt;"",[5]Vagt!M17,"")</f>
        <v>0</v>
      </c>
      <c r="N73" s="785">
        <f>IF([5]Vagt!N17&lt;&gt;"",[5]Vagt!N17,"")</f>
        <v>0</v>
      </c>
      <c r="O73" s="297">
        <f>IF([5]Vagt!O17&lt;&gt;"",[5]Vagt!O17,"")</f>
        <v>0</v>
      </c>
      <c r="P73" s="244"/>
      <c r="Q73" s="227"/>
    </row>
    <row r="74" spans="1:17">
      <c r="A74" s="772" t="str">
        <f>IF([5]Vagt!A18&lt;&gt;"",[5]Vagt!A18,"")</f>
        <v>Org. Nr.</v>
      </c>
      <c r="B74" s="772" t="str">
        <f>IF([5]Vagt!B18&lt;&gt;"",[5]Vagt!B18,"")</f>
        <v>Kontrakt nr.</v>
      </c>
      <c r="C74" s="772" t="str">
        <f>IF([5]Vagt!C18&lt;&gt;"",[5]Vagt!C18,"")</f>
        <v>Start dato</v>
      </c>
      <c r="D74" s="783" t="str">
        <f>IF([5]Vagt!D18&lt;&gt;"",[5]Vagt!D18,"")</f>
        <v>Adresse</v>
      </c>
      <c r="E74" s="785">
        <f>IF([5]Vagt!E18&lt;&gt;"",[5]Vagt!E18,"")</f>
        <v>0</v>
      </c>
      <c r="F74" s="772" t="str">
        <f>IF([5]Vagt!F18&lt;&gt;"",[5]Vagt!F18,"")</f>
        <v xml:space="preserve">Årlig pris  </v>
      </c>
      <c r="G74" s="773">
        <f>IF([5]Vagt!G18&lt;&gt;"",[5]Vagt!G18,"")</f>
        <v>0</v>
      </c>
      <c r="H74" s="773">
        <f>IF([5]Vagt!H18&lt;&gt;"",[5]Vagt!H18,"")</f>
        <v>0</v>
      </c>
      <c r="I74" s="772" t="str">
        <f>IF([5]Vagt!I18&lt;&gt;"",[5]Vagt!I18,"")</f>
        <v>Org. Nr.</v>
      </c>
      <c r="J74" s="772" t="str">
        <f>IF([5]Vagt!J18&lt;&gt;"",[5]Vagt!J18,"")</f>
        <v>Bygningsnr.</v>
      </c>
      <c r="K74" s="772" t="str">
        <f>IF([5]Vagt!K18&lt;&gt;"",[5]Vagt!K18,"")</f>
        <v>V og I dato</v>
      </c>
      <c r="L74" s="783" t="str">
        <f>IF([5]Vagt!L18&lt;&gt;"",[5]Vagt!L18,"")</f>
        <v>Adresse</v>
      </c>
      <c r="M74" s="785">
        <f>IF([5]Vagt!M18&lt;&gt;"",[5]Vagt!M18,"")</f>
        <v>0</v>
      </c>
      <c r="N74" s="772" t="str">
        <f>IF([5]Vagt!N18&lt;&gt;"",[5]Vagt!N18,"")</f>
        <v xml:space="preserve">Årlig pris  </v>
      </c>
      <c r="O74" s="297">
        <f>IF([5]Vagt!O18&lt;&gt;"",[5]Vagt!O18,"")</f>
        <v>0</v>
      </c>
      <c r="P74" s="244"/>
      <c r="Q74" s="227"/>
    </row>
    <row r="75" spans="1:17">
      <c r="A75" s="772" t="str">
        <f>IF([5]Vagt!A19&lt;&gt;"",[5]Vagt!A19,"")</f>
        <v>64715</v>
      </c>
      <c r="B75" s="772">
        <f>IF([5]Vagt!B19&lt;&gt;"",[5]Vagt!B19,"")</f>
        <v>112</v>
      </c>
      <c r="C75" s="781">
        <f>IF([5]Vagt!C19&lt;&gt;"",[5]Vagt!C19,"")</f>
        <v>37956</v>
      </c>
      <c r="D75" s="783" t="str">
        <f>IF([5]Vagt!D19&lt;&gt;"",[5]Vagt!D19,"")</f>
        <v>Røde Mellemvej 52 (Søren Rasmussen)</v>
      </c>
      <c r="E75" s="785">
        <f>IF([5]Vagt!E19&lt;&gt;"",[5]Vagt!E19,"")</f>
        <v>0</v>
      </c>
      <c r="F75" s="795">
        <f>IF([5]Vagt!F19&lt;&gt;"",[5]Vagt!F19,"")</f>
        <v>129318</v>
      </c>
      <c r="G75" s="773">
        <f>IF([5]Vagt!G19&lt;&gt;"",[5]Vagt!G19,"")</f>
        <v>0</v>
      </c>
      <c r="H75" s="773">
        <f>IF([5]Vagt!H19&lt;&gt;"",[5]Vagt!H19,"")</f>
        <v>0</v>
      </c>
      <c r="I75" s="772" t="str">
        <f>IF([5]Vagt!I19&lt;&gt;"",[5]Vagt!I19,"")</f>
        <v>Fortsat</v>
      </c>
      <c r="J75" s="772">
        <f>IF([5]Vagt!J19&lt;&gt;"",[5]Vagt!J19,"")</f>
        <v>0</v>
      </c>
      <c r="K75" s="772">
        <f>IF([5]Vagt!K19&lt;&gt;"",[5]Vagt!K19,"")</f>
        <v>0</v>
      </c>
      <c r="L75" s="783">
        <f>IF([5]Vagt!L19&lt;&gt;"",[5]Vagt!L19,"")</f>
        <v>0</v>
      </c>
      <c r="M75" s="785">
        <f>IF([5]Vagt!M19&lt;&gt;"",[5]Vagt!M19,"")</f>
        <v>0</v>
      </c>
      <c r="N75" s="795">
        <f>IF([5]Vagt!N19&lt;&gt;"",[5]Vagt!N19,"")</f>
        <v>2040741</v>
      </c>
      <c r="O75" s="501">
        <f>IF([5]Vagt!O19&lt;&gt;"",[5]Vagt!O19,"")</f>
        <v>0</v>
      </c>
      <c r="P75" s="244"/>
      <c r="Q75" s="227"/>
    </row>
    <row r="76" spans="1:17">
      <c r="A76" s="772" t="str">
        <f>IF([5]Vagt!A20&lt;&gt;"",[5]Vagt!A20,"")</f>
        <v>37567</v>
      </c>
      <c r="B76" s="772">
        <f>IF([5]Vagt!B20&lt;&gt;"",[5]Vagt!B20,"")</f>
        <v>113</v>
      </c>
      <c r="C76" s="781">
        <f>IF([5]Vagt!C20&lt;&gt;"",[5]Vagt!C20,"")</f>
        <v>38012</v>
      </c>
      <c r="D76" s="783" t="str">
        <f>IF([5]Vagt!D20&lt;&gt;"",[5]Vagt!D20,"")</f>
        <v>Studsgårdsgade 55</v>
      </c>
      <c r="E76" s="785">
        <f>IF([5]Vagt!E20&lt;&gt;"",[5]Vagt!E20,"")</f>
        <v>0</v>
      </c>
      <c r="F76" s="795">
        <f>IF([5]Vagt!F20&lt;&gt;"",[5]Vagt!F20,"")</f>
        <v>148969</v>
      </c>
      <c r="G76" s="773">
        <f>IF([5]Vagt!G20&lt;&gt;"",[5]Vagt!G20,"")</f>
        <v>0</v>
      </c>
      <c r="H76" s="773">
        <f>IF([5]Vagt!H20&lt;&gt;"",[5]Vagt!H20,"")</f>
        <v>0</v>
      </c>
      <c r="I76" s="772">
        <f>IF([5]Vagt!I20&lt;&gt;"",[5]Vagt!I20,"")</f>
        <v>82100</v>
      </c>
      <c r="J76" s="772">
        <f>IF([5]Vagt!J20&lt;&gt;"",[5]Vagt!J20,"")</f>
        <v>160</v>
      </c>
      <c r="K76" s="772">
        <f>IF([5]Vagt!K20&lt;&gt;"",[5]Vagt!K20,"")</f>
        <v>42461</v>
      </c>
      <c r="L76" s="783" t="str">
        <f>IF([5]Vagt!L20&lt;&gt;"",[5]Vagt!L20,"")</f>
        <v>Lærkevej 18(Ørnevej 55)                                     2017=39.690</v>
      </c>
      <c r="M76" s="785">
        <f>IF([5]Vagt!M20&lt;&gt;"",[5]Vagt!M20,"")</f>
        <v>0</v>
      </c>
      <c r="N76" s="795">
        <f>IF([5]Vagt!N20&lt;&gt;"",[5]Vagt!N20,"")</f>
        <v>39690</v>
      </c>
      <c r="O76" s="297">
        <f>IF([5]Vagt!O20&lt;&gt;"",[5]Vagt!O20,"")</f>
        <v>0</v>
      </c>
      <c r="P76" s="244"/>
      <c r="Q76" s="227"/>
    </row>
    <row r="77" spans="1:17">
      <c r="A77" s="772">
        <f>IF([5]Vagt!A21&lt;&gt;"",[5]Vagt!A21,"")</f>
        <v>23140</v>
      </c>
      <c r="B77" s="772">
        <f>IF([5]Vagt!B21&lt;&gt;"",[5]Vagt!B21,"")</f>
        <v>116</v>
      </c>
      <c r="C77" s="781">
        <f>IF([5]Vagt!C21&lt;&gt;"",[5]Vagt!C21,"")</f>
        <v>38412</v>
      </c>
      <c r="D77" s="783" t="str">
        <f>IF([5]Vagt!D21&lt;&gt;"",[5]Vagt!D21,"")</f>
        <v>Amagerbrogade 150</v>
      </c>
      <c r="E77" s="785">
        <f>IF([5]Vagt!E21&lt;&gt;"",[5]Vagt!E21,"")</f>
        <v>0</v>
      </c>
      <c r="F77" s="795">
        <f>IF([5]Vagt!F21&lt;&gt;"",[5]Vagt!F21,"")</f>
        <v>67172</v>
      </c>
      <c r="G77" s="773">
        <f>IF([5]Vagt!G21&lt;&gt;"",[5]Vagt!G21,"")</f>
        <v>0</v>
      </c>
      <c r="H77" s="773">
        <f>IF([5]Vagt!H21&lt;&gt;"",[5]Vagt!H21,"")</f>
        <v>0</v>
      </c>
      <c r="I77" s="772">
        <f>IF([5]Vagt!I21&lt;&gt;"",[5]Vagt!I21,"")</f>
        <v>62300</v>
      </c>
      <c r="J77" s="772">
        <f>IF([5]Vagt!J21&lt;&gt;"",[5]Vagt!J21,"")</f>
        <v>150</v>
      </c>
      <c r="K77" s="772">
        <f>IF([5]Vagt!K21&lt;&gt;"",[5]Vagt!K21,"")</f>
        <v>38047</v>
      </c>
      <c r="L77" s="783" t="str">
        <f>IF([5]Vagt!L21&lt;&gt;"",[5]Vagt!L21,"")</f>
        <v xml:space="preserve">Brønshøjvej 17 - 19, SOF, BFCK-Brønshøj-Husum-Vanløse               </v>
      </c>
      <c r="M77" s="785">
        <f>IF([5]Vagt!M21&lt;&gt;"",[5]Vagt!M21,"")</f>
        <v>0</v>
      </c>
      <c r="N77" s="795">
        <f>IF([5]Vagt!N21&lt;&gt;"",[5]Vagt!N21,"")</f>
        <v>68838</v>
      </c>
      <c r="O77" s="297">
        <f>IF([5]Vagt!O21&lt;&gt;"",[5]Vagt!O21,"")</f>
        <v>0</v>
      </c>
      <c r="P77" s="244"/>
      <c r="Q77" s="227"/>
    </row>
    <row r="78" spans="1:17">
      <c r="A78" s="772">
        <f>IF([5]Vagt!A22&lt;&gt;"",[5]Vagt!A22,"")</f>
        <v>0</v>
      </c>
      <c r="B78" s="772">
        <f>IF([5]Vagt!B22&lt;&gt;"",[5]Vagt!B22,"")</f>
        <v>0</v>
      </c>
      <c r="C78" s="781">
        <f>IF([5]Vagt!C22&lt;&gt;"",[5]Vagt!C22,"")</f>
        <v>0</v>
      </c>
      <c r="D78" s="783">
        <f>IF([5]Vagt!D22&lt;&gt;"",[5]Vagt!D22,"")</f>
        <v>0</v>
      </c>
      <c r="E78" s="785">
        <f>IF([5]Vagt!E22&lt;&gt;"",[5]Vagt!E22,"")</f>
        <v>0</v>
      </c>
      <c r="F78" s="795">
        <f>IF([5]Vagt!F22&lt;&gt;"",[5]Vagt!F22,"")</f>
        <v>0</v>
      </c>
      <c r="G78" s="773">
        <f>IF([5]Vagt!G22&lt;&gt;"",[5]Vagt!G22,"")</f>
        <v>0</v>
      </c>
      <c r="H78" s="773">
        <f>IF([5]Vagt!H22&lt;&gt;"",[5]Vagt!H22,"")</f>
        <v>0</v>
      </c>
      <c r="I78" s="772">
        <f>IF([5]Vagt!I22&lt;&gt;"",[5]Vagt!I22,"")</f>
        <v>53202</v>
      </c>
      <c r="J78" s="772">
        <f>IF([5]Vagt!J22&lt;&gt;"",[5]Vagt!J22,"")</f>
        <v>115</v>
      </c>
      <c r="K78" s="772">
        <f>IF([5]Vagt!K22&lt;&gt;"",[5]Vagt!K22,"")</f>
        <v>42370</v>
      </c>
      <c r="L78" s="783" t="str">
        <f>IF([5]Vagt!L22&lt;&gt;"",[5]Vagt!L22,"")</f>
        <v>Christianhavns bibliotek</v>
      </c>
      <c r="M78" s="785">
        <f>IF([5]Vagt!M22&lt;&gt;"",[5]Vagt!M22,"")</f>
        <v>0</v>
      </c>
      <c r="N78" s="795">
        <f>IF([5]Vagt!N22&lt;&gt;"",[5]Vagt!N22,"")</f>
        <v>57487</v>
      </c>
      <c r="O78" s="297">
        <f>IF([5]Vagt!O22&lt;&gt;"",[5]Vagt!O22,"")</f>
        <v>0</v>
      </c>
      <c r="P78" s="244"/>
      <c r="Q78" s="227"/>
    </row>
    <row r="79" spans="1:17">
      <c r="A79" s="772">
        <f>IF([5]Vagt!A23&lt;&gt;"",[5]Vagt!A23,"")</f>
        <v>62300</v>
      </c>
      <c r="B79" s="772">
        <f>IF([5]Vagt!B23&lt;&gt;"",[5]Vagt!B23,"")</f>
        <v>121</v>
      </c>
      <c r="C79" s="781">
        <f>IF([5]Vagt!C23&lt;&gt;"",[5]Vagt!C23,"")</f>
        <v>39264</v>
      </c>
      <c r="D79" s="783" t="str">
        <f>IF([5]Vagt!D23&lt;&gt;"",[5]Vagt!D23,"")</f>
        <v>Griffenfeldsgade 44</v>
      </c>
      <c r="E79" s="785">
        <f>IF([5]Vagt!E23&lt;&gt;"",[5]Vagt!E23,"")</f>
        <v>0</v>
      </c>
      <c r="F79" s="795">
        <f>IF([5]Vagt!F23&lt;&gt;"",[5]Vagt!F23,"")</f>
        <v>109334</v>
      </c>
      <c r="G79" s="773">
        <f>IF([5]Vagt!G23&lt;&gt;"",[5]Vagt!G23,"")</f>
        <v>0</v>
      </c>
      <c r="H79" s="773">
        <f>IF([5]Vagt!H23&lt;&gt;"",[5]Vagt!H23,"")</f>
        <v>0</v>
      </c>
      <c r="I79" s="772">
        <f>IF([5]Vagt!I23&lt;&gt;"",[5]Vagt!I23,"")</f>
        <v>38910</v>
      </c>
      <c r="J79" s="772" t="str">
        <f>IF([5]Vagt!J23&lt;&gt;"",[5]Vagt!J23,"")</f>
        <v>747b</v>
      </c>
      <c r="K79" s="772">
        <f>IF([5]Vagt!K23&lt;&gt;"",[5]Vagt!K23,"")</f>
        <v>38047</v>
      </c>
      <c r="L79" s="783" t="str">
        <f>IF([5]Vagt!L23&lt;&gt;"",[5]Vagt!L23,"")</f>
        <v xml:space="preserve">Brønshøjvej 17 - 19, Tandlæge  </v>
      </c>
      <c r="M79" s="785">
        <f>IF([5]Vagt!M23&lt;&gt;"",[5]Vagt!M23,"")</f>
        <v>0</v>
      </c>
      <c r="N79" s="795">
        <f>IF([5]Vagt!N23&lt;&gt;"",[5]Vagt!N23,"")</f>
        <v>21793</v>
      </c>
      <c r="O79" s="297">
        <f>IF([5]Vagt!O23&lt;&gt;"",[5]Vagt!O23,"")</f>
        <v>0</v>
      </c>
      <c r="P79" s="244"/>
      <c r="Q79" s="227"/>
    </row>
    <row r="80" spans="1:17">
      <c r="A80" s="772">
        <f>IF([5]Vagt!A24&lt;&gt;"",[5]Vagt!A24,"")</f>
        <v>38450</v>
      </c>
      <c r="B80" s="772">
        <f>IF([5]Vagt!B24&lt;&gt;"",[5]Vagt!B24,"")</f>
        <v>122</v>
      </c>
      <c r="C80" s="781">
        <f>IF([5]Vagt!C24&lt;&gt;"",[5]Vagt!C24,"")</f>
        <v>39264</v>
      </c>
      <c r="D80" s="783" t="str">
        <f>IF([5]Vagt!D24&lt;&gt;"",[5]Vagt!D24,"")</f>
        <v>Kapelvej 47</v>
      </c>
      <c r="E80" s="785">
        <f>IF([5]Vagt!E24&lt;&gt;"",[5]Vagt!E24,"")</f>
        <v>0</v>
      </c>
      <c r="F80" s="795">
        <f>IF([5]Vagt!F24&lt;&gt;"",[5]Vagt!F24,"")</f>
        <v>20602</v>
      </c>
      <c r="G80" s="773">
        <f>IF([5]Vagt!G24&lt;&gt;"",[5]Vagt!G24,"")</f>
        <v>0</v>
      </c>
      <c r="H80" s="773">
        <f>IF([5]Vagt!H24&lt;&gt;"",[5]Vagt!H24,"")</f>
        <v>0</v>
      </c>
      <c r="I80" s="772">
        <f>IF([5]Vagt!I24&lt;&gt;"",[5]Vagt!I24,"")</f>
        <v>50005</v>
      </c>
      <c r="J80" s="772">
        <f>IF([5]Vagt!J24&lt;&gt;"",[5]Vagt!J24,"")</f>
        <v>147</v>
      </c>
      <c r="K80" s="772">
        <f>IF([5]Vagt!K24&lt;&gt;"",[5]Vagt!K24,"")</f>
        <v>40664</v>
      </c>
      <c r="L80" s="783" t="str">
        <f>IF([5]Vagt!L24&lt;&gt;"",[5]Vagt!L24,"")</f>
        <v xml:space="preserve">ØK-KBS- Nørre Søgade 35                                         </v>
      </c>
      <c r="M80" s="785">
        <f>IF([5]Vagt!M24&lt;&gt;"",[5]Vagt!M24,"")</f>
        <v>0</v>
      </c>
      <c r="N80" s="795">
        <f>IF([5]Vagt!N24&lt;&gt;"",[5]Vagt!N24,"")</f>
        <v>78642</v>
      </c>
      <c r="O80" s="297">
        <f>IF([5]Vagt!O24&lt;&gt;"",[5]Vagt!O24,"")</f>
        <v>0</v>
      </c>
      <c r="P80" s="244"/>
      <c r="Q80" s="227"/>
    </row>
    <row r="81" spans="1:17">
      <c r="A81" s="772">
        <f>IF([5]Vagt!A25&lt;&gt;"",[5]Vagt!A25,"")</f>
        <v>60126</v>
      </c>
      <c r="B81" s="772">
        <f>IF([5]Vagt!B25&lt;&gt;"",[5]Vagt!B25,"")</f>
        <v>128</v>
      </c>
      <c r="C81" s="781">
        <f>IF([5]Vagt!C25&lt;&gt;"",[5]Vagt!C25,"")</f>
        <v>39815</v>
      </c>
      <c r="D81" s="819" t="str">
        <f>IF([5]Vagt!D25&lt;&gt;"",[5]Vagt!D25,"")</f>
        <v>Bernstorffshus  (Ruth Denise Hansen)</v>
      </c>
      <c r="E81" s="785">
        <f>IF([5]Vagt!E25&lt;&gt;"",[5]Vagt!E25,"")</f>
        <v>0</v>
      </c>
      <c r="F81" s="795">
        <f>IF([5]Vagt!F25&lt;&gt;"",[5]Vagt!F25,"")</f>
        <v>195269</v>
      </c>
      <c r="G81" s="773">
        <f>IF([5]Vagt!G25&lt;&gt;"",[5]Vagt!G25,"")</f>
        <v>0</v>
      </c>
      <c r="H81" s="773" t="str">
        <f>IF([5]Vagt!H25&lt;&gt;"",[5]Vagt!H25,"")</f>
        <v>Fordeling</v>
      </c>
      <c r="I81" s="772">
        <f>IF([5]Vagt!I25&lt;&gt;"",[5]Vagt!I25,"")</f>
        <v>38100</v>
      </c>
      <c r="J81" s="772">
        <f>IF([5]Vagt!J25&lt;&gt;"",[5]Vagt!J25,"")</f>
        <v>155</v>
      </c>
      <c r="K81" s="772">
        <f>IF([5]Vagt!K25&lt;&gt;"",[5]Vagt!K25,"")</f>
        <v>42370</v>
      </c>
      <c r="L81" s="783" t="str">
        <f>IF([5]Vagt!L25&lt;&gt;"",[5]Vagt!L25,"")</f>
        <v>Lyongade 25, stuen og 2. sal (BUF)</v>
      </c>
      <c r="M81" s="785">
        <f>IF([5]Vagt!M25&lt;&gt;"",[5]Vagt!M25,"")</f>
        <v>0</v>
      </c>
      <c r="N81" s="795">
        <f>IF([5]Vagt!N25&lt;&gt;"",[5]Vagt!N25,"")</f>
        <v>60487</v>
      </c>
      <c r="O81" s="297">
        <f>IF([5]Vagt!O25&lt;&gt;"",[5]Vagt!O25,"")</f>
        <v>0</v>
      </c>
      <c r="P81" s="244"/>
      <c r="Q81" s="227"/>
    </row>
    <row r="82" spans="1:17">
      <c r="A82" s="772">
        <f>IF([5]Vagt!A26&lt;&gt;"",[5]Vagt!A26,"")</f>
        <v>64715</v>
      </c>
      <c r="B82" s="772">
        <f>IF([5]Vagt!B26&lt;&gt;"",[5]Vagt!B26,"")</f>
        <v>161</v>
      </c>
      <c r="C82" s="781">
        <f>IF([5]Vagt!C26&lt;&gt;"",[5]Vagt!C26,"")</f>
        <v>42485</v>
      </c>
      <c r="D82" s="819" t="str">
        <f>IF([5]Vagt!D26&lt;&gt;"",[5]Vagt!D26,"")</f>
        <v>SOF- Sundholmsvej 40(2017 172.462+fremskriv)</v>
      </c>
      <c r="E82" s="785">
        <f>IF([5]Vagt!E26&lt;&gt;"",[5]Vagt!E26,"")</f>
        <v>0</v>
      </c>
      <c r="F82" s="795">
        <f>IF([5]Vagt!F26&lt;&gt;"",[5]Vagt!F26,"")</f>
        <v>176083</v>
      </c>
      <c r="G82" s="773">
        <f>IF([5]Vagt!G26&lt;&gt;"",[5]Vagt!G26,"")</f>
        <v>0</v>
      </c>
      <c r="H82" s="801" t="str">
        <f>IF([5]Vagt!H26&lt;&gt;"",[5]Vagt!H26,"")</f>
        <v>43,37 %</v>
      </c>
      <c r="I82" s="802">
        <f>IF([5]Vagt!I26&lt;&gt;"",[5]Vagt!I26,"")</f>
        <v>31404</v>
      </c>
      <c r="J82" s="802">
        <f>IF([5]Vagt!J26&lt;&gt;"",[5]Vagt!J26,"")</f>
        <v>758</v>
      </c>
      <c r="K82" s="802">
        <f>IF([5]Vagt!K26&lt;&gt;"",[5]Vagt!K26,"")</f>
        <v>37500</v>
      </c>
      <c r="L82" s="804" t="str">
        <f>IF([5]Vagt!L26&lt;&gt;"",[5]Vagt!L26,"")</f>
        <v xml:space="preserve">Jemtelandgade 3 KKU                                                </v>
      </c>
      <c r="M82" s="805">
        <f>IF([5]Vagt!M26&lt;&gt;"",[5]Vagt!M26,"")</f>
        <v>0</v>
      </c>
      <c r="N82" s="807">
        <f>IF([5]Vagt!N26&lt;&gt;"",[5]Vagt!N26,"")</f>
        <v>49792</v>
      </c>
      <c r="O82" s="803">
        <f>IF([5]Vagt!O26&lt;&gt;"",[5]Vagt!O26,"")</f>
        <v>0</v>
      </c>
      <c r="P82" s="244"/>
      <c r="Q82" s="227"/>
    </row>
    <row r="83" spans="1:17">
      <c r="A83" s="772">
        <f>IF([5]Vagt!A27&lt;&gt;"",[5]Vagt!A27,"")</f>
        <v>69707</v>
      </c>
      <c r="B83" s="772">
        <f>IF([5]Vagt!B27&lt;&gt;"",[5]Vagt!B27,"")</f>
        <v>130</v>
      </c>
      <c r="C83" s="781">
        <f>IF([5]Vagt!C27&lt;&gt;"",[5]Vagt!C27,"")</f>
        <v>39918</v>
      </c>
      <c r="D83" s="783" t="str">
        <f>IF([5]Vagt!D27&lt;&gt;"",[5]Vagt!D27,"")</f>
        <v>Rådhuspladsen 77, 2. sal (Carsten Pauli Hansen)</v>
      </c>
      <c r="E83" s="785">
        <f>IF([5]Vagt!E27&lt;&gt;"",[5]Vagt!E27,"")</f>
        <v>0</v>
      </c>
      <c r="F83" s="795">
        <f>IF([5]Vagt!F27&lt;&gt;"",[5]Vagt!F27,"")</f>
        <v>32541</v>
      </c>
      <c r="G83" s="773">
        <f>IF([5]Vagt!G27&lt;&gt;"",[5]Vagt!G27,"")</f>
        <v>0</v>
      </c>
      <c r="H83" s="801" t="str">
        <f>IF([5]Vagt!H27&lt;&gt;"",[5]Vagt!H27,"")</f>
        <v>18,16%</v>
      </c>
      <c r="I83" s="802">
        <f>IF([5]Vagt!I27&lt;&gt;"",[5]Vagt!I27,"")</f>
        <v>51302</v>
      </c>
      <c r="J83" s="802">
        <f>IF([5]Vagt!J27&lt;&gt;"",[5]Vagt!J27,"")</f>
        <v>114</v>
      </c>
      <c r="K83" s="802">
        <f>IF([5]Vagt!K27&lt;&gt;"",[5]Vagt!K27,"")</f>
        <v>40544</v>
      </c>
      <c r="L83" s="804" t="str">
        <f>IF([5]Vagt!L27&lt;&gt;"",[5]Vagt!L27,"")</f>
        <v xml:space="preserve">Jemtelandgade 3 Kvarterløft                                        </v>
      </c>
      <c r="M83" s="805">
        <f>IF([5]Vagt!M27&lt;&gt;"",[5]Vagt!M27,"")</f>
        <v>0</v>
      </c>
      <c r="N83" s="807">
        <f>IF([5]Vagt!N27&lt;&gt;"",[5]Vagt!N27,"")</f>
        <v>20845</v>
      </c>
      <c r="O83" s="803">
        <f>IF([5]Vagt!O27&lt;&gt;"",[5]Vagt!O27,"")</f>
        <v>0</v>
      </c>
      <c r="P83" s="244"/>
      <c r="Q83" s="227"/>
    </row>
    <row r="84" spans="1:17">
      <c r="A84" s="772">
        <f>IF([5]Vagt!A28&lt;&gt;"",[5]Vagt!A28,"")</f>
        <v>0</v>
      </c>
      <c r="B84" s="772">
        <f>IF([5]Vagt!B28&lt;&gt;"",[5]Vagt!B28,"")</f>
        <v>0</v>
      </c>
      <c r="C84" s="781">
        <f>IF([5]Vagt!C28&lt;&gt;"",[5]Vagt!C28,"")</f>
        <v>0</v>
      </c>
      <c r="D84" s="783" t="s">
        <v>110</v>
      </c>
      <c r="E84" s="785">
        <f>IF([5]Vagt!E28&lt;&gt;"",[5]Vagt!E28,"")</f>
        <v>0</v>
      </c>
      <c r="F84" s="795">
        <v>62050</v>
      </c>
      <c r="G84" s="773">
        <f>IF([5]Vagt!G28&lt;&gt;"",[5]Vagt!G28,"")</f>
        <v>0</v>
      </c>
      <c r="H84" s="801" t="str">
        <f>IF([5]Vagt!H28&lt;&gt;"",[5]Vagt!H28,"")</f>
        <v>38,47 %</v>
      </c>
      <c r="I84" s="802">
        <f>IF([5]Vagt!I28&lt;&gt;"",[5]Vagt!I28,"")</f>
        <v>53204</v>
      </c>
      <c r="J84" s="802">
        <f>IF([5]Vagt!J28&lt;&gt;"",[5]Vagt!J28,"")</f>
        <v>114</v>
      </c>
      <c r="K84" s="802">
        <f>IF([5]Vagt!K28&lt;&gt;"",[5]Vagt!K28,"")</f>
        <v>40544</v>
      </c>
      <c r="L84" s="804" t="str">
        <f>IF([5]Vagt!L28&lt;&gt;"",[5]Vagt!L28,"")</f>
        <v xml:space="preserve">Jemtelandgade 3 bibliotek                                           </v>
      </c>
      <c r="M84" s="805">
        <f>IF([5]Vagt!M28&lt;&gt;"",[5]Vagt!M28,"")</f>
        <v>0</v>
      </c>
      <c r="N84" s="807">
        <f>IF([5]Vagt!N28&lt;&gt;"",[5]Vagt!N28,"")</f>
        <v>44316</v>
      </c>
      <c r="O84" s="803">
        <f>IF([5]Vagt!O28&lt;&gt;"",[5]Vagt!O28,"")</f>
        <v>0</v>
      </c>
      <c r="P84" s="244"/>
      <c r="Q84" s="227"/>
    </row>
    <row r="85" spans="1:17">
      <c r="A85" s="772">
        <f>IF([5]Vagt!A29&lt;&gt;"",[5]Vagt!A29,"")</f>
        <v>17116</v>
      </c>
      <c r="B85" s="772">
        <f>IF([5]Vagt!B29&lt;&gt;"",[5]Vagt!B29,"")</f>
        <v>132</v>
      </c>
      <c r="C85" s="781">
        <f>IF([5]Vagt!C29&lt;&gt;"",[5]Vagt!C29,"")</f>
        <v>40057</v>
      </c>
      <c r="D85" s="783" t="str">
        <f>IF([5]Vagt!D29&lt;&gt;"",[5]Vagt!D29,"")</f>
        <v>Hans Nansens Gård (Kejd)(FM)</v>
      </c>
      <c r="E85" s="785">
        <f>IF([5]Vagt!E29&lt;&gt;"",[5]Vagt!E29,"")</f>
        <v>0</v>
      </c>
      <c r="F85" s="795">
        <f>IF([5]Vagt!F29&lt;&gt;"",[5]Vagt!F29,"")</f>
        <v>198901</v>
      </c>
      <c r="G85" s="773">
        <f>IF([5]Vagt!G29&lt;&gt;"",[5]Vagt!G29,"")</f>
        <v>0</v>
      </c>
      <c r="H85" s="773">
        <f>IF([5]Vagt!H29&lt;&gt;"",[5]Vagt!H29,"")</f>
        <v>0</v>
      </c>
      <c r="I85" s="772">
        <f>IF([5]Vagt!I29&lt;&gt;"",[5]Vagt!I29,"")</f>
        <v>62200</v>
      </c>
      <c r="J85" s="772">
        <f>IF([5]Vagt!J29&lt;&gt;"",[5]Vagt!J29,"")</f>
        <v>149</v>
      </c>
      <c r="K85" s="772">
        <f>IF([5]Vagt!K29&lt;&gt;"",[5]Vagt!K29,"")</f>
        <v>40544</v>
      </c>
      <c r="L85" s="783" t="str">
        <f>IF([5]Vagt!L29&lt;&gt;"",[5]Vagt!L29,"")</f>
        <v xml:space="preserve">Spaniensgade 25, Borgercenter handicap                           </v>
      </c>
      <c r="M85" s="785">
        <f>IF([5]Vagt!M29&lt;&gt;"",[5]Vagt!M29,"")</f>
        <v>0</v>
      </c>
      <c r="N85" s="795">
        <f>IF([5]Vagt!N29&lt;&gt;"",[5]Vagt!N29,"")</f>
        <v>54665</v>
      </c>
      <c r="O85" s="703">
        <f>IF([5]Vagt!O29&lt;&gt;"",[5]Vagt!O29,"")</f>
        <v>0</v>
      </c>
      <c r="P85" s="244"/>
      <c r="Q85" s="227"/>
    </row>
    <row r="86" spans="1:17">
      <c r="A86" s="772">
        <f>IF([5]Vagt!A30&lt;&gt;"",[5]Vagt!A30,"")</f>
        <v>0</v>
      </c>
      <c r="B86" s="772">
        <f>IF([5]Vagt!B30&lt;&gt;"",[5]Vagt!B30,"")</f>
        <v>0</v>
      </c>
      <c r="C86" s="781">
        <f>IF([5]Vagt!C30&lt;&gt;"",[5]Vagt!C30,"")</f>
        <v>39448</v>
      </c>
      <c r="D86" s="783" t="str">
        <f>IF([5]Vagt!D30&lt;&gt;"",[5]Vagt!D30,"")</f>
        <v xml:space="preserve">Stormgade 18 (BUF)(fraflyttet 1-3-15-) </v>
      </c>
      <c r="E86" s="785">
        <f>IF([5]Vagt!E30&lt;&gt;"",[5]Vagt!E30,"")</f>
        <v>0</v>
      </c>
      <c r="F86" s="795">
        <f>IF([5]Vagt!F30&lt;&gt;"",[5]Vagt!F30,"")</f>
        <v>0</v>
      </c>
      <c r="G86" s="773">
        <f>IF([5]Vagt!G30&lt;&gt;"",[5]Vagt!G30,"")</f>
        <v>0</v>
      </c>
      <c r="H86" s="773">
        <f>IF([5]Vagt!H30&lt;&gt;"",[5]Vagt!H30,"")</f>
        <v>0</v>
      </c>
      <c r="I86" s="772">
        <f>IF([5]Vagt!I30&lt;&gt;"",[5]Vagt!I30,"")</f>
        <v>62300</v>
      </c>
      <c r="J86" s="772">
        <f>IF([5]Vagt!J30&lt;&gt;"",[5]Vagt!J30,"")</f>
        <v>148</v>
      </c>
      <c r="K86" s="772">
        <f>IF([5]Vagt!K30&lt;&gt;"",[5]Vagt!K30,"")</f>
        <v>42005</v>
      </c>
      <c r="L86" s="783" t="str">
        <f>IF([5]Vagt!L30&lt;&gt;"",[5]Vagt!L30,"")</f>
        <v xml:space="preserve">Lyongade 25, 3. sal BFCK-Amager vest                              </v>
      </c>
      <c r="M86" s="785">
        <f>IF([5]Vagt!M30&lt;&gt;"",[5]Vagt!M30,"")</f>
        <v>0</v>
      </c>
      <c r="N86" s="795">
        <f>IF([5]Vagt!N30&lt;&gt;"",[5]Vagt!N30,"")</f>
        <v>60487</v>
      </c>
      <c r="O86" s="703">
        <f>IF([5]Vagt!O30&lt;&gt;"",[5]Vagt!O30,"")</f>
        <v>0</v>
      </c>
      <c r="P86" s="244"/>
      <c r="Q86" s="227"/>
    </row>
    <row r="87" spans="1:17">
      <c r="A87" s="772">
        <f>IF([5]Vagt!A31&lt;&gt;"",[5]Vagt!A31,"")</f>
        <v>22530</v>
      </c>
      <c r="B87" s="772">
        <f>IF([5]Vagt!B31&lt;&gt;"",[5]Vagt!B31,"")</f>
        <v>159</v>
      </c>
      <c r="C87" s="781">
        <f>IF([5]Vagt!C31&lt;&gt;"",[5]Vagt!C31,"")</f>
        <v>42415</v>
      </c>
      <c r="D87" s="783" t="str">
        <f>IF([5]Vagt!D31&lt;&gt;"",[5]Vagt!D31,"")</f>
        <v>SUF Randersgade 60</v>
      </c>
      <c r="E87" s="785">
        <f>IF([5]Vagt!E31&lt;&gt;"",[5]Vagt!E31,"")</f>
        <v>0</v>
      </c>
      <c r="F87" s="795">
        <f>IF([5]Vagt!F31&lt;&gt;"",[5]Vagt!F31,"")</f>
        <v>57875</v>
      </c>
      <c r="G87" s="773">
        <f>IF([5]Vagt!G31&lt;&gt;"",[5]Vagt!G31,"")</f>
        <v>0</v>
      </c>
      <c r="H87" s="773">
        <f>IF([5]Vagt!H31&lt;&gt;"",[5]Vagt!H31,"")</f>
        <v>0</v>
      </c>
      <c r="I87" s="772">
        <f>IF([5]Vagt!I31&lt;&gt;"",[5]Vagt!I31,"")</f>
        <v>40530</v>
      </c>
      <c r="J87" s="772">
        <f>IF([5]Vagt!J31&lt;&gt;"",[5]Vagt!J31,"")</f>
        <v>900</v>
      </c>
      <c r="K87" s="772">
        <f>IF([5]Vagt!K31&lt;&gt;"",[5]Vagt!K31,"")</f>
        <v>38353</v>
      </c>
      <c r="L87" s="783" t="str">
        <f>IF([5]Vagt!L31&lt;&gt;"",[5]Vagt!L31,"")</f>
        <v xml:space="preserve">Miljøkontrollen (tlf. eksp.)                                            </v>
      </c>
      <c r="M87" s="785">
        <f>IF([5]Vagt!M31&lt;&gt;"",[5]Vagt!M31,"")</f>
        <v>0</v>
      </c>
      <c r="N87" s="795">
        <f>IF([5]Vagt!N31&lt;&gt;"",[5]Vagt!N31,"")</f>
        <v>4600</v>
      </c>
      <c r="O87" s="798">
        <f>IF([5]Vagt!O31&lt;&gt;"",[5]Vagt!O31,"")</f>
        <v>0</v>
      </c>
      <c r="P87" s="244"/>
      <c r="Q87" s="227"/>
    </row>
    <row r="88" spans="1:17">
      <c r="A88" s="772">
        <f>IF([5]Vagt!A32&lt;&gt;"",[5]Vagt!A32,"")</f>
        <v>62200</v>
      </c>
      <c r="B88" s="772">
        <f>IF([5]Vagt!B32&lt;&gt;"",[5]Vagt!B32,"")</f>
        <v>127</v>
      </c>
      <c r="C88" s="781">
        <f>IF([5]Vagt!C32&lt;&gt;"",[5]Vagt!C32,"")</f>
        <v>41275</v>
      </c>
      <c r="D88" s="783" t="str">
        <f>IF([5]Vagt!D32&lt;&gt;"",[5]Vagt!D32,"")</f>
        <v>Matthæusgade 1</v>
      </c>
      <c r="E88" s="785">
        <f>IF([5]Vagt!E32&lt;&gt;"",[5]Vagt!E32,"")</f>
        <v>0</v>
      </c>
      <c r="F88" s="795">
        <f>IF([5]Vagt!F32&lt;&gt;"",[5]Vagt!F32,"")</f>
        <v>92488</v>
      </c>
      <c r="G88" s="773">
        <f>IF([5]Vagt!G32&lt;&gt;"",[5]Vagt!G32,"")</f>
        <v>0</v>
      </c>
      <c r="H88" s="773">
        <f>IF([5]Vagt!H32&lt;&gt;"",[5]Vagt!H32,"")</f>
        <v>0</v>
      </c>
      <c r="I88" s="772">
        <f>IF([5]Vagt!I32&lt;&gt;"",[5]Vagt!I32,"")</f>
        <v>38400</v>
      </c>
      <c r="J88" s="772">
        <f>IF([5]Vagt!J32&lt;&gt;"",[5]Vagt!J32,"")</f>
        <v>138</v>
      </c>
      <c r="K88" s="772">
        <f>IF([5]Vagt!K32&lt;&gt;"",[5]Vagt!K32,"")</f>
        <v>41640</v>
      </c>
      <c r="L88" s="783" t="str">
        <f>IF([5]Vagt!L32&lt;&gt;"",[5]Vagt!L32,"")</f>
        <v xml:space="preserve">BUF-Linde Alle 40-44                                                  </v>
      </c>
      <c r="M88" s="785">
        <f>IF([5]Vagt!M32&lt;&gt;"",[5]Vagt!M32,"")</f>
        <v>0</v>
      </c>
      <c r="N88" s="795">
        <f>IF([5]Vagt!N32&lt;&gt;"",[5]Vagt!N32,"")</f>
        <v>42616</v>
      </c>
      <c r="O88" s="798">
        <f>IF([5]Vagt!O32&lt;&gt;"",[5]Vagt!O32,"")</f>
        <v>0</v>
      </c>
      <c r="P88" s="244"/>
      <c r="Q88" s="227"/>
    </row>
    <row r="89" spans="1:17">
      <c r="A89" s="772">
        <f>IF([5]Vagt!A33&lt;&gt;"",[5]Vagt!A33,"")</f>
        <v>39610</v>
      </c>
      <c r="B89" s="772">
        <f>IF([5]Vagt!B33&lt;&gt;"",[5]Vagt!B33,"")</f>
        <v>153</v>
      </c>
      <c r="C89" s="781">
        <f>IF([5]Vagt!C33&lt;&gt;"",[5]Vagt!C33,"")</f>
        <v>41275</v>
      </c>
      <c r="D89" s="783" t="str">
        <f>IF([5]Vagt!D33&lt;&gt;"",[5]Vagt!D33,"")</f>
        <v>BUF Skolesupport</v>
      </c>
      <c r="E89" s="785">
        <f>IF([5]Vagt!E33&lt;&gt;"",[5]Vagt!E33,"")</f>
        <v>0</v>
      </c>
      <c r="F89" s="795">
        <f>IF([5]Vagt!F33&lt;&gt;"",[5]Vagt!F33,"")</f>
        <v>171610</v>
      </c>
      <c r="G89" s="773">
        <f>IF([5]Vagt!G33&lt;&gt;"",[5]Vagt!G33,"")</f>
        <v>0</v>
      </c>
      <c r="H89" s="773">
        <f>IF([5]Vagt!H33&lt;&gt;"",[5]Vagt!H33,"")</f>
        <v>0</v>
      </c>
      <c r="I89" s="772">
        <f>IF([5]Vagt!I33&lt;&gt;"",[5]Vagt!I33,"")</f>
        <v>51308</v>
      </c>
      <c r="J89" s="772">
        <f>IF([5]Vagt!J33&lt;&gt;"",[5]Vagt!J33,"")</f>
        <v>158</v>
      </c>
      <c r="K89" s="772">
        <f>IF([5]Vagt!K33&lt;&gt;"",[5]Vagt!K33,"")</f>
        <v>41640</v>
      </c>
      <c r="L89" s="783" t="str">
        <f>IF([5]Vagt!L33&lt;&gt;"",[5]Vagt!L33,"")</f>
        <v xml:space="preserve">Lyrskovgade 4                           </v>
      </c>
      <c r="M89" s="785">
        <f>IF([5]Vagt!M33&lt;&gt;"",[5]Vagt!M33,"")</f>
        <v>0</v>
      </c>
      <c r="N89" s="795">
        <f>IF([5]Vagt!N33&lt;&gt;"",[5]Vagt!N33,"")</f>
        <v>89512</v>
      </c>
      <c r="O89" s="798">
        <f>IF([5]Vagt!O33&lt;&gt;"",[5]Vagt!O33,"")</f>
        <v>0</v>
      </c>
      <c r="P89" s="244"/>
      <c r="Q89" s="227"/>
    </row>
    <row r="90" spans="1:17">
      <c r="A90" s="772">
        <f>IF([5]Vagt!A34&lt;&gt;"",[5]Vagt!A34,"")</f>
        <v>52319</v>
      </c>
      <c r="B90" s="772">
        <f>IF([5]Vagt!B34&lt;&gt;"",[5]Vagt!B34,"")</f>
        <v>154</v>
      </c>
      <c r="C90" s="781">
        <f>IF([5]Vagt!C34&lt;&gt;"",[5]Vagt!C34,"")</f>
        <v>41640</v>
      </c>
      <c r="D90" s="783" t="str">
        <f>IF([5]Vagt!D34&lt;&gt;"",[5]Vagt!D34,"")</f>
        <v>KFF Biblioteket Njalsgade (Rasmus M. Niel)</v>
      </c>
      <c r="E90" s="785">
        <f>IF([5]Vagt!E34&lt;&gt;"",[5]Vagt!E34,"")</f>
        <v>0</v>
      </c>
      <c r="F90" s="795">
        <f>IF([5]Vagt!F34&lt;&gt;"",[5]Vagt!F34,"")</f>
        <v>41105</v>
      </c>
      <c r="G90" s="773">
        <f>IF([5]Vagt!G34&lt;&gt;"",[5]Vagt!G34,"")</f>
        <v>0</v>
      </c>
      <c r="H90" s="773">
        <f>IF([5]Vagt!H34&lt;&gt;"",[5]Vagt!H34,"")</f>
        <v>0</v>
      </c>
      <c r="I90" s="772">
        <f>IF([5]Vagt!I34&lt;&gt;"",[5]Vagt!I34,"")</f>
        <v>55020</v>
      </c>
      <c r="J90" s="772">
        <f>IF([5]Vagt!J34&lt;&gt;"",[5]Vagt!J34,"")</f>
        <v>115</v>
      </c>
      <c r="K90" s="772">
        <f>IF([5]Vagt!K34&lt;&gt;"",[5]Vagt!K34,"")</f>
        <v>41456</v>
      </c>
      <c r="L90" s="783" t="str">
        <f>IF([5]Vagt!L34&lt;&gt;"",[5]Vagt!L34,"")</f>
        <v xml:space="preserve">ØK-Borgerservice, Gyldenløvesgade 11                        </v>
      </c>
      <c r="M90" s="785">
        <f>IF([5]Vagt!M34&lt;&gt;"",[5]Vagt!M34,"")</f>
        <v>0</v>
      </c>
      <c r="N90" s="795">
        <f>IF([5]Vagt!N34&lt;&gt;"",[5]Vagt!N34,"")</f>
        <v>30827</v>
      </c>
      <c r="O90" s="329">
        <f>IF([5]Vagt!O34&lt;&gt;"",[5]Vagt!O34,"")</f>
        <v>0</v>
      </c>
      <c r="P90" s="244"/>
      <c r="Q90" s="227"/>
    </row>
    <row r="91" spans="1:17">
      <c r="A91" s="772">
        <f>IF([5]Vagt!A35&lt;&gt;"",[5]Vagt!A35,"")</f>
        <v>28100</v>
      </c>
      <c r="B91" s="772">
        <f>IF([5]Vagt!B35&lt;&gt;"",[5]Vagt!B35,"")</f>
        <v>728</v>
      </c>
      <c r="C91" s="781">
        <f>IF([5]Vagt!C35&lt;&gt;"",[5]Vagt!C35,"")</f>
        <v>38846</v>
      </c>
      <c r="D91" s="783" t="str">
        <f>IF([5]Vagt!D35&lt;&gt;"",[5]Vagt!D35,"")</f>
        <v>Enghavevej  (Frits Nielsen)</v>
      </c>
      <c r="E91" s="785">
        <f>IF([5]Vagt!E35&lt;&gt;"",[5]Vagt!E35,"")</f>
        <v>0</v>
      </c>
      <c r="F91" s="795">
        <f>IF([5]Vagt!F35&lt;&gt;"",[5]Vagt!F35,"")</f>
        <v>80568</v>
      </c>
      <c r="G91" s="773">
        <f>IF([5]Vagt!G35&lt;&gt;"",[5]Vagt!G35,"")</f>
        <v>0</v>
      </c>
      <c r="H91" s="773">
        <f>IF([5]Vagt!H35&lt;&gt;"",[5]Vagt!H35,"")</f>
        <v>0</v>
      </c>
      <c r="I91" s="772">
        <f>IF([5]Vagt!I35&lt;&gt;"",[5]Vagt!I35,"")</f>
        <v>17116</v>
      </c>
      <c r="J91" s="772">
        <f>IF([5]Vagt!J35&lt;&gt;"",[5]Vagt!J35,"")</f>
        <v>110</v>
      </c>
      <c r="K91" s="772">
        <f>IF([5]Vagt!K35&lt;&gt;"",[5]Vagt!K35,"")</f>
        <v>41456</v>
      </c>
      <c r="L91" s="783" t="str">
        <f>IF([5]Vagt!L35&lt;&gt;"",[5]Vagt!L35,"")</f>
        <v xml:space="preserve">Konernservice- Fuglebakken, Borups Alle 177               </v>
      </c>
      <c r="M91" s="785">
        <f>IF([5]Vagt!M35&lt;&gt;"",[5]Vagt!M35,"")</f>
        <v>0</v>
      </c>
      <c r="N91" s="795">
        <v>229950</v>
      </c>
      <c r="O91" s="329">
        <f>IF([5]Vagt!O35&lt;&gt;"",[5]Vagt!O35,"")</f>
        <v>0</v>
      </c>
      <c r="P91" s="244"/>
      <c r="Q91" s="227"/>
    </row>
    <row r="92" spans="1:17">
      <c r="A92" s="772">
        <f>IF([5]Vagt!A36&lt;&gt;"",[5]Vagt!A36,"")</f>
        <v>82500</v>
      </c>
      <c r="B92" s="772">
        <f>IF([5]Vagt!B36&lt;&gt;"",[5]Vagt!B36,"")</f>
        <v>151</v>
      </c>
      <c r="C92" s="781">
        <f>IF([5]Vagt!C36&lt;&gt;"",[5]Vagt!C36,"")</f>
        <v>40603</v>
      </c>
      <c r="D92" s="783" t="str">
        <f>IF([5]Vagt!D36&lt;&gt;"",[5]Vagt!D36,"")</f>
        <v>BIF-Baldersgade 24  (Thomas D. Waarkjær)</v>
      </c>
      <c r="E92" s="785">
        <f>IF([5]Vagt!E36&lt;&gt;"",[5]Vagt!E36,"")</f>
        <v>0</v>
      </c>
      <c r="F92" s="795">
        <f>IF([5]Vagt!F36&lt;&gt;"",[5]Vagt!F36,"")</f>
        <v>103617</v>
      </c>
      <c r="G92" s="773">
        <f>IF([5]Vagt!G36&lt;&gt;"",[5]Vagt!G36,"")</f>
        <v>0</v>
      </c>
      <c r="H92" s="773">
        <f>IF([5]Vagt!H36&lt;&gt;"",[5]Vagt!H36,"")</f>
        <v>0</v>
      </c>
      <c r="I92" s="772">
        <f>IF([5]Vagt!I36&lt;&gt;"",[5]Vagt!I36,"")</f>
        <v>20100</v>
      </c>
      <c r="J92" s="806" t="str">
        <f>IF([5]Vagt!J36&lt;&gt;"",[5]Vagt!J36,"")</f>
        <v>Rådhuset</v>
      </c>
      <c r="K92" s="772">
        <f>IF([5]Vagt!K36&lt;&gt;"",[5]Vagt!K36,"")</f>
        <v>40179</v>
      </c>
      <c r="L92" s="783" t="str">
        <f>IF([5]Vagt!L36&lt;&gt;"",[5]Vagt!L36,"")</f>
        <v xml:space="preserve">SUF                  (Tanja K. Lund)                                  </v>
      </c>
      <c r="M92" s="785">
        <f>IF([5]Vagt!M36&lt;&gt;"",[5]Vagt!M36,"")</f>
        <v>0</v>
      </c>
      <c r="N92" s="795">
        <f>IF([5]Vagt!N36&lt;&gt;"",[5]Vagt!N36,"")</f>
        <v>616118</v>
      </c>
      <c r="O92" s="329">
        <f>IF([5]Vagt!O36&lt;&gt;"",[5]Vagt!O36,"")</f>
        <v>0</v>
      </c>
      <c r="P92" s="244"/>
      <c r="Q92" s="227"/>
    </row>
    <row r="93" spans="1:17">
      <c r="A93" s="772">
        <f>IF([5]Vagt!A37&lt;&gt;"",[5]Vagt!A37,"")</f>
        <v>82505</v>
      </c>
      <c r="B93" s="772">
        <f>IF([5]Vagt!B37&lt;&gt;"",[5]Vagt!B37,"")</f>
        <v>152</v>
      </c>
      <c r="C93" s="781">
        <f>IF([5]Vagt!C37&lt;&gt;"",[5]Vagt!C37,"")</f>
        <v>40603</v>
      </c>
      <c r="D93" s="783" t="str">
        <f>IF([5]Vagt!D37&lt;&gt;"",[5]Vagt!D37,"")</f>
        <v>BIF-Baldersgade 3B, 1. + 3. sal</v>
      </c>
      <c r="E93" s="785">
        <f>IF([5]Vagt!E37&lt;&gt;"",[5]Vagt!E37,"")</f>
        <v>0</v>
      </c>
      <c r="F93" s="795">
        <f>IF([5]Vagt!F37&lt;&gt;"",[5]Vagt!F37,"")</f>
        <v>45494</v>
      </c>
      <c r="G93" s="773">
        <f>IF([5]Vagt!G37&lt;&gt;"",[5]Vagt!G37,"")</f>
        <v>0</v>
      </c>
      <c r="H93" s="773">
        <f>IF([5]Vagt!H37&lt;&gt;"",[5]Vagt!H37,"")</f>
        <v>0</v>
      </c>
      <c r="I93" s="772">
        <f>IF([5]Vagt!I37&lt;&gt;"",[5]Vagt!I37,"")</f>
        <v>80005</v>
      </c>
      <c r="J93" s="806" t="str">
        <f>IF([5]Vagt!J37&lt;&gt;"",[5]Vagt!J37,"")</f>
        <v>Rådhuset</v>
      </c>
      <c r="K93" s="772">
        <f>IF([5]Vagt!K37&lt;&gt;"",[5]Vagt!K37,"")</f>
        <v>40179</v>
      </c>
      <c r="L93" s="783" t="str">
        <f>IF([5]Vagt!L37&lt;&gt;"",[5]Vagt!L37,"")</f>
        <v xml:space="preserve">BIF                                                                          </v>
      </c>
      <c r="M93" s="785">
        <f>IF([5]Vagt!M37&lt;&gt;"",[5]Vagt!M37,"")</f>
        <v>0</v>
      </c>
      <c r="N93" s="795">
        <f>IF([5]Vagt!N37&lt;&gt;"",[5]Vagt!N37,"")</f>
        <v>552159</v>
      </c>
      <c r="O93" s="297">
        <f>IF([5]Vagt!O37&lt;&gt;"",[5]Vagt!O37,"")</f>
        <v>0</v>
      </c>
      <c r="P93" s="244"/>
      <c r="Q93" s="227"/>
    </row>
    <row r="94" spans="1:17">
      <c r="A94" s="772">
        <f>IF([5]Vagt!A38&lt;&gt;"",[5]Vagt!A38,"")</f>
        <v>82106</v>
      </c>
      <c r="B94" s="772">
        <f>IF([5]Vagt!B38&lt;&gt;"",[5]Vagt!B38,"")</f>
        <v>0</v>
      </c>
      <c r="C94" s="781">
        <f>IF([5]Vagt!C38&lt;&gt;"",[5]Vagt!C38,"")</f>
        <v>42491</v>
      </c>
      <c r="D94" s="783" t="str">
        <f>IF([5]Vagt!D38&lt;&gt;"",[5]Vagt!D38,"")</f>
        <v xml:space="preserve">BIF- Ottiliavej </v>
      </c>
      <c r="E94" s="785" t="str">
        <f>IF([5]Vagt!E38&lt;&gt;"",[5]Vagt!E38,"")</f>
        <v>(2017 = 200.000)</v>
      </c>
      <c r="F94" s="795">
        <f>IF([5]Vagt!F38&lt;&gt;"",[5]Vagt!F38,"")</f>
        <v>200000</v>
      </c>
      <c r="G94" s="773">
        <f>IF([5]Vagt!G38&lt;&gt;"",[5]Vagt!G38,"")</f>
        <v>0</v>
      </c>
      <c r="H94" s="773" t="e">
        <f>IF([5]Vagt!H38&lt;&gt;"",[5]Vagt!H38,"")</f>
        <v>#REF!</v>
      </c>
      <c r="I94" s="772">
        <f>IF([5]Vagt!I38&lt;&gt;"",[5]Vagt!I38,"")</f>
        <v>39630</v>
      </c>
      <c r="J94" s="806" t="str">
        <f>IF([5]Vagt!J38&lt;&gt;"",[5]Vagt!J38,"")</f>
        <v>Rådhuset</v>
      </c>
      <c r="K94" s="772">
        <f>IF([5]Vagt!K38&lt;&gt;"",[5]Vagt!K38,"")</f>
        <v>40179</v>
      </c>
      <c r="L94" s="783" t="str">
        <f>IF([5]Vagt!L38&lt;&gt;"",[5]Vagt!L38,"")</f>
        <v xml:space="preserve">BUF                                                                          </v>
      </c>
      <c r="M94" s="785">
        <f>IF([5]Vagt!M38&lt;&gt;"",[5]Vagt!M38,"")</f>
        <v>0</v>
      </c>
      <c r="N94" s="795">
        <f>IF([5]Vagt!N38&lt;&gt;"",[5]Vagt!N38,"")</f>
        <v>631501</v>
      </c>
      <c r="O94" s="799">
        <f>IF([5]Vagt!O38&lt;&gt;"",[5]Vagt!O38,"")</f>
        <v>0</v>
      </c>
      <c r="P94" s="244"/>
      <c r="Q94" s="227"/>
    </row>
    <row r="95" spans="1:17">
      <c r="A95" s="772">
        <f>IF([5]Vagt!A39&lt;&gt;"",[5]Vagt!A39,"")</f>
        <v>62470</v>
      </c>
      <c r="B95" s="772">
        <f>IF([5]Vagt!B39&lt;&gt;"",[5]Vagt!B39,"")</f>
        <v>141</v>
      </c>
      <c r="C95" s="781">
        <f>IF([5]Vagt!C39&lt;&gt;"",[5]Vagt!C39,"")</f>
        <v>41640</v>
      </c>
      <c r="D95" s="783" t="str">
        <f>IF([5]Vagt!D39&lt;&gt;"",[5]Vagt!D39,"")</f>
        <v>SOF-Nørre Voldgade 15, 1.+5. sal (Avlastenok)</v>
      </c>
      <c r="E95" s="785">
        <f>IF([5]Vagt!E39&lt;&gt;"",[5]Vagt!E39,"")</f>
        <v>0</v>
      </c>
      <c r="F95" s="795">
        <f>IF([5]Vagt!F39&lt;&gt;"",[5]Vagt!F39,"")</f>
        <v>29645</v>
      </c>
      <c r="G95" s="773">
        <f>IF([5]Vagt!G39&lt;&gt;"",[5]Vagt!G39,"")</f>
        <v>0</v>
      </c>
      <c r="H95" s="773">
        <f>IF([5]Vagt!H39&lt;&gt;"",[5]Vagt!H39,"")</f>
        <v>0</v>
      </c>
      <c r="I95" s="772">
        <f>IF([5]Vagt!I39&lt;&gt;"",[5]Vagt!I39,"")</f>
        <v>49700</v>
      </c>
      <c r="J95" s="806" t="str">
        <f>IF([5]Vagt!J39&lt;&gt;"",[5]Vagt!J39,"")</f>
        <v>Rådhuset</v>
      </c>
      <c r="K95" s="772">
        <f>IF([5]Vagt!K39&lt;&gt;"",[5]Vagt!K39,"")</f>
        <v>40179</v>
      </c>
      <c r="L95" s="783" t="str">
        <f>IF([5]Vagt!L39&lt;&gt;"",[5]Vagt!L39,"")</f>
        <v xml:space="preserve">TMF                                                                          </v>
      </c>
      <c r="M95" s="785">
        <f>IF([5]Vagt!M39&lt;&gt;"",[5]Vagt!M39,"")</f>
        <v>0</v>
      </c>
      <c r="N95" s="795">
        <f>IF([5]Vagt!N39&lt;&gt;"",[5]Vagt!N39,"")</f>
        <v>592043</v>
      </c>
      <c r="O95" s="799">
        <f>IF([5]Vagt!O39&lt;&gt;"",[5]Vagt!O39,"")</f>
        <v>0</v>
      </c>
      <c r="P95" s="244"/>
      <c r="Q95" s="227"/>
    </row>
    <row r="96" spans="1:17">
      <c r="A96" s="772">
        <f>IF([5]Vagt!A40&lt;&gt;"",[5]Vagt!A40,"")</f>
        <v>37100</v>
      </c>
      <c r="B96" s="772">
        <f>IF([5]Vagt!B40&lt;&gt;"",[5]Vagt!B40,"")</f>
        <v>142</v>
      </c>
      <c r="C96" s="781">
        <f>IF([5]Vagt!C40&lt;&gt;"",[5]Vagt!C40,"")</f>
        <v>41640</v>
      </c>
      <c r="D96" s="783" t="str">
        <f>IF([5]Vagt!D40&lt;&gt;"",[5]Vagt!D40,"")</f>
        <v>BUF-Nørre Voldgade 15, 2.sal (Thuesen)</v>
      </c>
      <c r="E96" s="785">
        <f>IF([5]Vagt!E40&lt;&gt;"",[5]Vagt!E40,"")</f>
        <v>0</v>
      </c>
      <c r="F96" s="795">
        <f>IF([5]Vagt!F40&lt;&gt;"",[5]Vagt!F40,"")</f>
        <v>25410</v>
      </c>
      <c r="G96" s="773">
        <f>IF([5]Vagt!G40&lt;&gt;"",[5]Vagt!G40,"")</f>
        <v>0</v>
      </c>
      <c r="H96" s="773">
        <f>IF([5]Vagt!H40&lt;&gt;"",[5]Vagt!H40,"")</f>
        <v>0</v>
      </c>
      <c r="I96" s="772">
        <f>IF([5]Vagt!I40&lt;&gt;"",[5]Vagt!I40,"")</f>
        <v>60126</v>
      </c>
      <c r="J96" s="806" t="str">
        <f>IF([5]Vagt!J40&lt;&gt;"",[5]Vagt!J40,"")</f>
        <v>Rådhuset</v>
      </c>
      <c r="K96" s="772">
        <f>IF([5]Vagt!K40&lt;&gt;"",[5]Vagt!K40,"")</f>
        <v>40179</v>
      </c>
      <c r="L96" s="783" t="str">
        <f>IF([5]Vagt!L40&lt;&gt;"",[5]Vagt!L40,"")</f>
        <v xml:space="preserve">SOF                                                                          </v>
      </c>
      <c r="M96" s="785">
        <f>IF([5]Vagt!M40&lt;&gt;"",[5]Vagt!M40,"")</f>
        <v>0</v>
      </c>
      <c r="N96" s="795">
        <f>IF([5]Vagt!N40&lt;&gt;"",[5]Vagt!N40,"")</f>
        <v>782597</v>
      </c>
      <c r="O96" s="799">
        <f>IF([5]Vagt!O40&lt;&gt;"",[5]Vagt!O40,"")</f>
        <v>0</v>
      </c>
      <c r="P96" s="244"/>
      <c r="Q96" s="227"/>
    </row>
    <row r="97" spans="1:17">
      <c r="A97" s="772">
        <f>IF([5]Vagt!A41&lt;&gt;"",[5]Vagt!A41,"")</f>
        <v>33410</v>
      </c>
      <c r="B97" s="772">
        <f>IF([5]Vagt!B41&lt;&gt;"",[5]Vagt!B41,"")</f>
        <v>143</v>
      </c>
      <c r="C97" s="781">
        <f>IF([5]Vagt!C41&lt;&gt;"",[5]Vagt!C41,"")</f>
        <v>41640</v>
      </c>
      <c r="D97" s="783" t="str">
        <f>IF([5]Vagt!D41&lt;&gt;"",[5]Vagt!D41,"")</f>
        <v>BUF-Nørre Voldgade 15, 3. sal (Thor Larsen)</v>
      </c>
      <c r="E97" s="785">
        <f>IF([5]Vagt!E41&lt;&gt;"",[5]Vagt!E41,"")</f>
        <v>0</v>
      </c>
      <c r="F97" s="795">
        <f>IF([5]Vagt!F41&lt;&gt;"",[5]Vagt!F41,"")</f>
        <v>25410</v>
      </c>
      <c r="G97" s="773">
        <f>IF([5]Vagt!G41&lt;&gt;"",[5]Vagt!G41,"")</f>
        <v>0</v>
      </c>
      <c r="H97" s="773">
        <f>IF([5]Vagt!H41&lt;&gt;"",[5]Vagt!H41,"")</f>
        <v>0</v>
      </c>
      <c r="I97" s="772">
        <f>IF([5]Vagt!I41&lt;&gt;"",[5]Vagt!I41,"")</f>
        <v>11030</v>
      </c>
      <c r="J97" s="806" t="str">
        <f>IF([5]Vagt!J41&lt;&gt;"",[5]Vagt!J41,"")</f>
        <v>Rådhuset</v>
      </c>
      <c r="K97" s="772">
        <f>IF([5]Vagt!K41&lt;&gt;"",[5]Vagt!K41,"")</f>
        <v>40179</v>
      </c>
      <c r="L97" s="783" t="str">
        <f>IF([5]Vagt!L41&lt;&gt;"",[5]Vagt!L41,"")</f>
        <v xml:space="preserve">ØKF                                                                          </v>
      </c>
      <c r="M97" s="785">
        <f>IF([5]Vagt!M41&lt;&gt;"",[5]Vagt!M41,"")</f>
        <v>0</v>
      </c>
      <c r="N97" s="795">
        <f>IF([5]Vagt!N41&lt;&gt;"",[5]Vagt!N41,"")</f>
        <v>4494265</v>
      </c>
      <c r="O97" s="799">
        <f>IF([5]Vagt!O41&lt;&gt;"",[5]Vagt!O41,"")</f>
        <v>0</v>
      </c>
      <c r="P97" s="244"/>
      <c r="Q97" s="227"/>
    </row>
    <row r="98" spans="1:17">
      <c r="A98" s="772">
        <f>IF([5]Vagt!A42&lt;&gt;"",[5]Vagt!A42,"")</f>
        <v>39851</v>
      </c>
      <c r="B98" s="772">
        <f>IF([5]Vagt!B42&lt;&gt;"",[5]Vagt!B42,"")</f>
        <v>145</v>
      </c>
      <c r="C98" s="781">
        <f>IF([5]Vagt!C42&lt;&gt;"",[5]Vagt!C42,"")</f>
        <v>41640</v>
      </c>
      <c r="D98" s="783" t="str">
        <f>IF([5]Vagt!D42&lt;&gt;"",[5]Vagt!D42,"")</f>
        <v>BUF-Nørre Voldgade 15, 4.sal (Mikkelsen)</v>
      </c>
      <c r="E98" s="785">
        <f>IF([5]Vagt!E42&lt;&gt;"",[5]Vagt!E42,"")</f>
        <v>0</v>
      </c>
      <c r="F98" s="795">
        <f>IF([5]Vagt!F42&lt;&gt;"",[5]Vagt!F42,"")</f>
        <v>25410</v>
      </c>
      <c r="G98" s="773">
        <f>IF([5]Vagt!G42&lt;&gt;"",[5]Vagt!G42,"")</f>
        <v>0</v>
      </c>
      <c r="H98" s="773">
        <f>IF([5]Vagt!H42&lt;&gt;"",[5]Vagt!H42,"")</f>
        <v>0</v>
      </c>
      <c r="I98" s="772">
        <f>IF([5]Vagt!I42&lt;&gt;"",[5]Vagt!I42,"")</f>
        <v>11030</v>
      </c>
      <c r="J98" s="806" t="str">
        <f>IF([5]Vagt!J42&lt;&gt;"",[5]Vagt!J42,"")</f>
        <v>Rådhuset</v>
      </c>
      <c r="K98" s="772">
        <f>IF([5]Vagt!K42&lt;&gt;"",[5]Vagt!K42,"")</f>
        <v>40179</v>
      </c>
      <c r="L98" s="783" t="str">
        <f>IF([5]Vagt!L42&lt;&gt;"",[5]Vagt!L42,"")</f>
        <v xml:space="preserve">BR                                                                           </v>
      </c>
      <c r="M98" s="785">
        <f>IF([5]Vagt!M42&lt;&gt;"",[5]Vagt!M42,"")</f>
        <v>0</v>
      </c>
      <c r="N98" s="795">
        <f>IF([5]Vagt!N42&lt;&gt;"",[5]Vagt!N42,"")</f>
        <v>1185176</v>
      </c>
      <c r="O98" s="799">
        <f>IF([5]Vagt!O42&lt;&gt;"",[5]Vagt!O42,"")</f>
        <v>0</v>
      </c>
      <c r="P98" s="244"/>
      <c r="Q98" s="227"/>
    </row>
    <row r="99" spans="1:17">
      <c r="A99" s="772">
        <f>IF([5]Vagt!A43&lt;&gt;"",[5]Vagt!A43,"")</f>
        <v>0</v>
      </c>
      <c r="B99" s="772">
        <f>IF([5]Vagt!B43&lt;&gt;"",[5]Vagt!B43,"")</f>
        <v>0</v>
      </c>
      <c r="C99" s="781">
        <f>IF([5]Vagt!C43&lt;&gt;"",[5]Vagt!C43,"")</f>
        <v>0</v>
      </c>
      <c r="D99" s="783" t="s">
        <v>111</v>
      </c>
      <c r="E99" s="785">
        <f>IF([5]Vagt!E43&lt;&gt;"",[5]Vagt!E43,"")</f>
        <v>0</v>
      </c>
      <c r="F99" s="795">
        <v>77520</v>
      </c>
      <c r="G99" s="773">
        <f>IF([5]Vagt!G43&lt;&gt;"",[5]Vagt!G43,"")</f>
        <v>0</v>
      </c>
      <c r="H99" s="773">
        <f>IF([5]Vagt!H43&lt;&gt;"",[5]Vagt!H43,"")</f>
        <v>0</v>
      </c>
      <c r="I99" s="772">
        <f>IF([5]Vagt!I43&lt;&gt;"",[5]Vagt!I43,"")</f>
        <v>50000</v>
      </c>
      <c r="J99" s="806" t="str">
        <f>IF([5]Vagt!J43&lt;&gt;"",[5]Vagt!J43,"")</f>
        <v>Rådhuset</v>
      </c>
      <c r="K99" s="772">
        <f>IF([5]Vagt!K43&lt;&gt;"",[5]Vagt!K43,"")</f>
        <v>40179</v>
      </c>
      <c r="L99" s="783" t="str">
        <f>IF([5]Vagt!L43&lt;&gt;"",[5]Vagt!L43,"")</f>
        <v xml:space="preserve">KFF                                                                          </v>
      </c>
      <c r="M99" s="785">
        <f>IF([5]Vagt!M43&lt;&gt;"",[5]Vagt!M43,"")</f>
        <v>0</v>
      </c>
      <c r="N99" s="795">
        <f>IF([5]Vagt!N43&lt;&gt;"",[5]Vagt!N43,"")</f>
        <v>1174201</v>
      </c>
      <c r="O99" s="799">
        <f>IF([5]Vagt!O43&lt;&gt;"",[5]Vagt!O43,"")</f>
        <v>0</v>
      </c>
      <c r="P99" s="244"/>
      <c r="Q99" s="227"/>
    </row>
    <row r="100" spans="1:17" ht="13.5" thickBot="1">
      <c r="A100" s="774">
        <f>IF([5]Vagt!A44&lt;&gt;"",[5]Vagt!A44,"")</f>
        <v>31139</v>
      </c>
      <c r="B100" s="774">
        <f>IF([5]Vagt!B44&lt;&gt;"",[5]Vagt!B44,"")</f>
        <v>111</v>
      </c>
      <c r="C100" s="786">
        <f>IF([5]Vagt!C44&lt;&gt;"",[5]Vagt!C44,"")</f>
        <v>40634</v>
      </c>
      <c r="D100" s="787" t="str">
        <f>IF([5]Vagt!D44&lt;&gt;"",[5]Vagt!D44,"")</f>
        <v>BUF-Gasværksvej 22 (skole)</v>
      </c>
      <c r="E100" s="788">
        <f>IF([5]Vagt!E44&lt;&gt;"",[5]Vagt!E44,"")</f>
        <v>0</v>
      </c>
      <c r="F100" s="796">
        <f>IF([5]Vagt!F44&lt;&gt;"",[5]Vagt!F44,"")</f>
        <v>63920</v>
      </c>
      <c r="G100" s="773">
        <f>IF([5]Vagt!G44&lt;&gt;"",[5]Vagt!G44,"")</f>
        <v>0</v>
      </c>
      <c r="H100" s="773">
        <f>IF([5]Vagt!H44&lt;&gt;"",[5]Vagt!H44,"")</f>
        <v>0</v>
      </c>
      <c r="I100" s="772">
        <f>IF([5]Vagt!I44&lt;&gt;"",[5]Vagt!I44,"")</f>
        <v>0</v>
      </c>
      <c r="J100" s="806" t="str">
        <f>IF([5]Vagt!J44&lt;&gt;"",[5]Vagt!J44,"")</f>
        <v>Rådhuset</v>
      </c>
      <c r="K100" s="772">
        <f>IF([5]Vagt!K44&lt;&gt;"",[5]Vagt!K44,"")</f>
        <v>40179</v>
      </c>
      <c r="L100" s="783" t="str">
        <f>IF([5]Vagt!L44&lt;&gt;"",[5]Vagt!L44,"")</f>
        <v xml:space="preserve">Kejd (posteres) Rådhusservice på Rådhuset  </v>
      </c>
      <c r="M100" s="785">
        <f>IF([5]Vagt!M44&lt;&gt;"",[5]Vagt!M44,"")</f>
        <v>0</v>
      </c>
      <c r="N100" s="795">
        <f>IF([5]Vagt!N44&lt;&gt;"",[5]Vagt!N44,"")</f>
        <v>660486</v>
      </c>
      <c r="O100" s="799">
        <f>IF([5]Vagt!O44&lt;&gt;"",[5]Vagt!O44,"")</f>
        <v>0</v>
      </c>
      <c r="P100" s="244"/>
      <c r="Q100" s="227"/>
    </row>
    <row r="101" spans="1:17" ht="13.5" thickBot="1">
      <c r="A101" s="792">
        <f>IF([5]Vagt!A45&lt;&gt;"",[5]Vagt!A45,"")</f>
        <v>0</v>
      </c>
      <c r="B101" s="792" t="str">
        <f>IF([5]Vagt!B45&lt;&gt;"",[5]Vagt!B45,"")</f>
        <v>Forsættes i højre side</v>
      </c>
      <c r="C101" s="792">
        <f>IF([5]Vagt!C45&lt;&gt;"",[5]Vagt!C45,"")</f>
        <v>0</v>
      </c>
      <c r="D101" s="793">
        <f>IF([5]Vagt!D45&lt;&gt;"",[5]Vagt!D45,"")</f>
        <v>0</v>
      </c>
      <c r="E101" s="794">
        <f>IF([5]Vagt!E45&lt;&gt;"",[5]Vagt!E45,"")</f>
        <v>0</v>
      </c>
      <c r="F101" s="797">
        <f>IF([5]Vagt!F45&lt;&gt;"",[5]Vagt!F45,"")</f>
        <v>2040741</v>
      </c>
      <c r="G101" s="773">
        <f>IF([5]Vagt!G45&lt;&gt;"",[5]Vagt!G45,"")</f>
        <v>0</v>
      </c>
      <c r="H101" s="773">
        <f>IF([5]Vagt!H45&lt;&gt;"",[5]Vagt!H45,"")</f>
        <v>0</v>
      </c>
      <c r="I101" s="774">
        <f>IF([5]Vagt!I45&lt;&gt;"",[5]Vagt!I45,"")</f>
        <v>0</v>
      </c>
      <c r="J101" s="774">
        <f>IF([5]Vagt!J45&lt;&gt;"",[5]Vagt!J45,"")</f>
        <v>0</v>
      </c>
      <c r="K101" s="774">
        <f>IF([5]Vagt!K45&lt;&gt;"",[5]Vagt!K45,"")</f>
        <v>0</v>
      </c>
      <c r="L101" s="787">
        <f>IF([5]Vagt!L45&lt;&gt;"",[5]Vagt!L45,"")</f>
        <v>0</v>
      </c>
      <c r="M101" s="788">
        <f>IF([5]Vagt!M45&lt;&gt;"",[5]Vagt!M45,"")</f>
        <v>0</v>
      </c>
      <c r="N101" s="796">
        <f>IF([5]Vagt!N45&lt;&gt;"",[5]Vagt!N45,"")</f>
        <v>0</v>
      </c>
      <c r="O101" s="808">
        <f>IF([5]Vagt!O45&lt;&gt;"",[5]Vagt!O45,"")</f>
        <v>0</v>
      </c>
      <c r="P101" s="244"/>
      <c r="Q101" s="227"/>
    </row>
    <row r="102" spans="1:17" ht="13.5" thickBot="1">
      <c r="A102" s="789">
        <f>IF([5]Vagt!A46&lt;&gt;"",[5]Vagt!A46,"")</f>
        <v>0</v>
      </c>
      <c r="B102" s="789">
        <f>IF([5]Vagt!B46&lt;&gt;"",[5]Vagt!B46,"")</f>
        <v>0</v>
      </c>
      <c r="C102" s="789">
        <f>IF([5]Vagt!C46&lt;&gt;"",[5]Vagt!C46,"")</f>
        <v>0</v>
      </c>
      <c r="D102" s="790">
        <f>IF([5]Vagt!D46&lt;&gt;"",[5]Vagt!D46,"")</f>
        <v>0</v>
      </c>
      <c r="E102" s="791">
        <f>IF([5]Vagt!E46&lt;&gt;"",[5]Vagt!E46,"")</f>
        <v>0</v>
      </c>
      <c r="F102" s="789">
        <f>IF([5]Vagt!F46&lt;&gt;"",[5]Vagt!F46,"")</f>
        <v>0</v>
      </c>
      <c r="G102" s="773">
        <f>IF([5]Vagt!G46&lt;&gt;"",[5]Vagt!G46,"")</f>
        <v>0</v>
      </c>
      <c r="H102" s="773">
        <f>IF([5]Vagt!H46&lt;&gt;"",[5]Vagt!H46,"")</f>
        <v>0</v>
      </c>
      <c r="I102" s="792" t="e">
        <f>IF([5]Vagt!I46&lt;&gt;"",[5]Vagt!I46,"")</f>
        <v>#REF!</v>
      </c>
      <c r="J102" s="792" t="str">
        <f>IF([5]Vagt!J46&lt;&gt;"",[5]Vagt!J46,"")</f>
        <v>Årligt</v>
      </c>
      <c r="K102" s="792">
        <f>IF([5]Vagt!K46&lt;&gt;"",[5]Vagt!K46,"")</f>
        <v>0</v>
      </c>
      <c r="L102" s="793">
        <f>IF([5]Vagt!L46&lt;&gt;"",[5]Vagt!L46,"")</f>
        <v>0</v>
      </c>
      <c r="M102" s="794">
        <f>IF([5]Vagt!M46&lt;&gt;"",[5]Vagt!M46,"")</f>
        <v>0</v>
      </c>
      <c r="N102" s="797">
        <f>IF([5]Vagt!N46&lt;&gt;"",[5]Vagt!N46,"")</f>
        <v>13638861</v>
      </c>
      <c r="O102" s="811">
        <f>IF([5]Vagt!O46&lt;&gt;"",[5]Vagt!O46,"")</f>
        <v>0</v>
      </c>
      <c r="P102" s="244"/>
      <c r="Q102" s="227"/>
    </row>
    <row r="103" spans="1:17">
      <c r="A103" s="773">
        <f>IF([5]Vagt!A47&lt;&gt;"",[5]Vagt!A47,"")</f>
        <v>0</v>
      </c>
      <c r="B103" s="773">
        <f>IF([5]Vagt!B47&lt;&gt;"",[5]Vagt!B47,"")</f>
        <v>0</v>
      </c>
      <c r="C103" s="773">
        <f>IF([5]Vagt!C47&lt;&gt;"",[5]Vagt!C47,"")</f>
        <v>0</v>
      </c>
      <c r="D103" s="773">
        <f>IF([5]Vagt!D47&lt;&gt;"",[5]Vagt!D47,"")</f>
        <v>0</v>
      </c>
      <c r="E103" s="773">
        <f>IF([5]Vagt!E47&lt;&gt;"",[5]Vagt!E47,"")</f>
        <v>0</v>
      </c>
      <c r="F103" s="773">
        <f>IF([5]Vagt!F47&lt;&gt;"",[5]Vagt!F47,"")</f>
        <v>0</v>
      </c>
      <c r="G103" s="773">
        <f>IF([5]Vagt!G47&lt;&gt;"",[5]Vagt!G47,"")</f>
        <v>0</v>
      </c>
      <c r="H103" s="773">
        <f>IF([5]Vagt!H47&lt;&gt;"",[5]Vagt!H47,"")</f>
        <v>0</v>
      </c>
      <c r="I103" s="789" t="e">
        <f>IF([5]Vagt!I47&lt;&gt;"",[5]Vagt!I47,"")</f>
        <v>#REF!</v>
      </c>
      <c r="J103" s="789">
        <f>IF([5]Vagt!J47&lt;&gt;"",[5]Vagt!J47,"")</f>
        <v>0</v>
      </c>
      <c r="K103" s="789">
        <f>IF([5]Vagt!K47&lt;&gt;"",[5]Vagt!K47,"")</f>
        <v>0</v>
      </c>
      <c r="L103" s="790">
        <f>IF([5]Vagt!L47&lt;&gt;"",[5]Vagt!L47,"")</f>
        <v>0</v>
      </c>
      <c r="M103" s="791">
        <f>IF([5]Vagt!M47&lt;&gt;"",[5]Vagt!M47,"")</f>
        <v>0</v>
      </c>
      <c r="N103" s="809">
        <f>IF([5]Vagt!N47&lt;&gt;"",[5]Vagt!N47,"")</f>
        <v>0</v>
      </c>
      <c r="O103" s="810">
        <f>IF([5]Vagt!O47&lt;&gt;"",[5]Vagt!O47,"")</f>
        <v>0</v>
      </c>
      <c r="P103" s="244"/>
      <c r="Q103" s="227"/>
    </row>
    <row r="104" spans="1:17">
      <c r="A104" s="773" t="e">
        <f>IF([5]Vagt!A48&lt;&gt;"",[5]Vagt!A48,"")</f>
        <v>#REF!</v>
      </c>
      <c r="B104" s="773" t="e">
        <f>IF([5]Vagt!B48&lt;&gt;"",[5]Vagt!B48,"")</f>
        <v>#REF!</v>
      </c>
      <c r="C104" s="773" t="e">
        <f>IF([5]Vagt!C48&lt;&gt;"",[5]Vagt!C48,"")</f>
        <v>#REF!</v>
      </c>
      <c r="D104" s="773" t="e">
        <f>IF([5]Vagt!D48&lt;&gt;"",[5]Vagt!D48,"")</f>
        <v>#REF!</v>
      </c>
      <c r="E104" s="773" t="e">
        <f>IF([5]Vagt!E48&lt;&gt;"",[5]Vagt!E48,"")</f>
        <v>#REF!</v>
      </c>
      <c r="F104" s="773" t="e">
        <f>IF([5]Vagt!F48&lt;&gt;"",[5]Vagt!F48,"")</f>
        <v>#REF!</v>
      </c>
      <c r="G104" s="773" t="e">
        <f>IF([5]Vagt!G48&lt;&gt;"",[5]Vagt!G48,"")</f>
        <v>#REF!</v>
      </c>
      <c r="H104" s="773">
        <f>IF([5]Vagt!H48&lt;&gt;"",[5]Vagt!H48,"")</f>
        <v>0</v>
      </c>
      <c r="I104" s="772" t="e">
        <f>IF([5]Vagt!I48&lt;&gt;"",[5]Vagt!I48,"")</f>
        <v>#REF!</v>
      </c>
      <c r="J104" s="772" t="str">
        <f>IF([5]Vagt!J48&lt;&gt;"",[5]Vagt!J48,"")</f>
        <v>Månedligt</v>
      </c>
      <c r="K104" s="772">
        <f>IF([5]Vagt!K48&lt;&gt;"",[5]Vagt!K48,"")</f>
        <v>0</v>
      </c>
      <c r="L104" s="783">
        <f>IF([5]Vagt!L48&lt;&gt;"",[5]Vagt!L48,"")</f>
        <v>0</v>
      </c>
      <c r="M104" s="785">
        <f>IF([5]Vagt!M48&lt;&gt;"",[5]Vagt!M48,"")</f>
        <v>0</v>
      </c>
      <c r="N104" s="795">
        <f>IF([5]Vagt!N48&lt;&gt;"",[5]Vagt!N48,"")</f>
        <v>1136571.75</v>
      </c>
      <c r="O104" s="329" t="e">
        <f>IF([5]Vagt!O48&lt;&gt;"",[5]Vagt!O48,"")</f>
        <v>#REF!</v>
      </c>
      <c r="P104" s="244"/>
      <c r="Q104" s="227"/>
    </row>
    <row r="105" spans="1:17">
      <c r="A105" s="226" t="e">
        <f>IF([5]Vagt!A49&lt;&gt;"",[5]Vagt!A49,"")</f>
        <v>#REF!</v>
      </c>
      <c r="B105" s="299" t="e">
        <f>IF([5]Vagt!B49&lt;&gt;"",[5]Vagt!B49,"")</f>
        <v>#REF!</v>
      </c>
      <c r="C105" s="299" t="e">
        <f>IF([5]Vagt!C49&lt;&gt;"",[5]Vagt!C49,"")</f>
        <v>#REF!</v>
      </c>
      <c r="D105" s="299" t="e">
        <f>IF([5]Vagt!D49&lt;&gt;"",[5]Vagt!D49,"")</f>
        <v>#REF!</v>
      </c>
      <c r="E105" s="299" t="e">
        <f>IF([5]Vagt!E49&lt;&gt;"",[5]Vagt!E49,"")</f>
        <v>#REF!</v>
      </c>
      <c r="F105" s="299" t="e">
        <f>IF([5]Vagt!F49&lt;&gt;"",[5]Vagt!F49,"")</f>
        <v>#REF!</v>
      </c>
      <c r="G105" s="299">
        <f>IF([5]Vagt!G49&lt;&gt;"",[5]Vagt!G49,"")</f>
        <v>0</v>
      </c>
      <c r="H105" s="299">
        <f>IF([5]Vagt!H49&lt;&gt;"",[5]Vagt!H49,"")</f>
        <v>0</v>
      </c>
      <c r="I105" s="299" t="e">
        <f>IF([5]Vagt!I49&lt;&gt;"",[5]Vagt!I49,"")</f>
        <v>#REF!</v>
      </c>
      <c r="J105" s="299" t="e">
        <f>IF([5]Vagt!J49&lt;&gt;"",[5]Vagt!J49,"")</f>
        <v>#REF!</v>
      </c>
      <c r="K105" s="299" t="e">
        <f>IF([5]Vagt!K49&lt;&gt;"",[5]Vagt!K49,"")</f>
        <v>#REF!</v>
      </c>
      <c r="L105" s="299" t="e">
        <f>IF([5]Vagt!L49&lt;&gt;"",[5]Vagt!L49,"")</f>
        <v>#REF!</v>
      </c>
      <c r="M105" s="299" t="e">
        <f>IF([5]Vagt!M49&lt;&gt;"",[5]Vagt!M49,"")</f>
        <v>#REF!</v>
      </c>
      <c r="N105" s="683" t="str">
        <f>IF([5]Vagt!N49&lt;&gt;"",[5]Vagt!N49,"")</f>
        <v>Årligt</v>
      </c>
      <c r="O105" s="683" t="str">
        <f>IF([5]Vagt!O49&lt;&gt;"",[5]Vagt!O49,"")</f>
        <v>Månedligt</v>
      </c>
      <c r="P105" s="244"/>
      <c r="Q105" s="227"/>
    </row>
    <row r="106" spans="1:17">
      <c r="A106" s="226" t="e">
        <f>IF([5]Vagt!A50&lt;&gt;"",[5]Vagt!A50,"")</f>
        <v>#REF!</v>
      </c>
      <c r="B106" s="299" t="e">
        <f>IF([5]Vagt!B50&lt;&gt;"",[5]Vagt!B50,"")</f>
        <v>#REF!</v>
      </c>
      <c r="C106" s="299" t="e">
        <f>IF([5]Vagt!C50&lt;&gt;"",[5]Vagt!C50,"")</f>
        <v>#REF!</v>
      </c>
      <c r="D106" s="299" t="e">
        <f>IF([5]Vagt!D50&lt;&gt;"",[5]Vagt!D50,"")</f>
        <v>#REF!</v>
      </c>
      <c r="E106" s="299" t="e">
        <f>IF([5]Vagt!E50&lt;&gt;"",[5]Vagt!E50,"")</f>
        <v>#REF!</v>
      </c>
      <c r="F106" s="299" t="e">
        <f>IF([5]Vagt!F50&lt;&gt;"",[5]Vagt!F50,"")</f>
        <v>#REF!</v>
      </c>
      <c r="G106" s="299">
        <f>IF([5]Vagt!G50&lt;&gt;"",[5]Vagt!G50,"")</f>
        <v>0</v>
      </c>
      <c r="H106" s="299">
        <f>IF([5]Vagt!H50&lt;&gt;"",[5]Vagt!H50,"")</f>
        <v>0</v>
      </c>
      <c r="I106" s="299" t="e">
        <f>IF([5]Vagt!I50&lt;&gt;"",[5]Vagt!I50,"")</f>
        <v>#REF!</v>
      </c>
      <c r="J106" s="299" t="e">
        <f>IF([5]Vagt!J50&lt;&gt;"",[5]Vagt!J50,"")</f>
        <v>#REF!</v>
      </c>
      <c r="K106" s="299" t="str">
        <f>IF([5]Vagt!K50&lt;&gt;"",[5]Vagt!K50,"")</f>
        <v>Note 1</v>
      </c>
      <c r="L106" s="299" t="e">
        <f>IF([5]Vagt!L50&lt;&gt;"",[5]Vagt!L50,"")</f>
        <v>#REF!</v>
      </c>
      <c r="M106" s="299" t="e">
        <f>IF([5]Vagt!M50&lt;&gt;"",[5]Vagt!M50,"")</f>
        <v>#REF!</v>
      </c>
      <c r="N106" s="683">
        <f>IF([5]Vagt!N50&lt;&gt;"",[5]Vagt!N50,"")</f>
        <v>8061866</v>
      </c>
      <c r="O106" s="683">
        <f>IF([5]Vagt!O50&lt;&gt;"",[5]Vagt!O50,"")</f>
        <v>671822.16666666663</v>
      </c>
      <c r="P106" s="244"/>
      <c r="Q106" s="227"/>
    </row>
    <row r="107" spans="1:17">
      <c r="A107" s="226" t="e">
        <f>IF([5]Vagt!A51&lt;&gt;"",[5]Vagt!A51,"")</f>
        <v>#REF!</v>
      </c>
      <c r="B107" s="299" t="e">
        <f>IF([5]Vagt!B51&lt;&gt;"",[5]Vagt!B51,"")</f>
        <v>#REF!</v>
      </c>
      <c r="C107" s="299" t="e">
        <f>IF([5]Vagt!C51&lt;&gt;"",[5]Vagt!C51,"")</f>
        <v>#REF!</v>
      </c>
      <c r="D107" s="299" t="e">
        <f>IF([5]Vagt!D51&lt;&gt;"",[5]Vagt!D51,"")</f>
        <v>#REF!</v>
      </c>
      <c r="E107" s="299" t="e">
        <f>IF([5]Vagt!E51&lt;&gt;"",[5]Vagt!E51,"")</f>
        <v>#REF!</v>
      </c>
      <c r="F107" s="299" t="e">
        <f>IF([5]Vagt!F51&lt;&gt;"",[5]Vagt!F51,"")</f>
        <v>#REF!</v>
      </c>
      <c r="G107" s="299">
        <f>IF([5]Vagt!G51&lt;&gt;"",[5]Vagt!G51,"")</f>
        <v>0</v>
      </c>
      <c r="H107" s="299">
        <f>IF([5]Vagt!H51&lt;&gt;"",[5]Vagt!H51,"")</f>
        <v>0</v>
      </c>
      <c r="I107" s="299" t="e">
        <f>IF([5]Vagt!I51&lt;&gt;"",[5]Vagt!I51,"")</f>
        <v>#REF!</v>
      </c>
      <c r="J107" s="299" t="e">
        <f>IF([5]Vagt!J51&lt;&gt;"",[5]Vagt!J51,"")</f>
        <v>#REF!</v>
      </c>
      <c r="K107" s="299" t="str">
        <f>IF([5]Vagt!K51&lt;&gt;"",[5]Vagt!K51,"")</f>
        <v>Note 2</v>
      </c>
      <c r="L107" s="299" t="e">
        <f>IF([5]Vagt!L51&lt;&gt;"",[5]Vagt!L51,"")</f>
        <v>#REF!</v>
      </c>
      <c r="M107" s="299" t="e">
        <f>IF([5]Vagt!M51&lt;&gt;"",[5]Vagt!M51,"")</f>
        <v>#REF!</v>
      </c>
      <c r="N107" s="683">
        <f>IF([5]Vagt!N51&lt;&gt;"",[5]Vagt!N51,"")</f>
        <v>13638861</v>
      </c>
      <c r="O107" s="683">
        <f>IF([5]Vagt!O51&lt;&gt;"",[5]Vagt!O51,"")</f>
        <v>1136571.75</v>
      </c>
      <c r="P107" s="244"/>
      <c r="Q107" s="227"/>
    </row>
    <row r="108" spans="1:17" ht="13.5" thickBot="1">
      <c r="A108" s="226" t="e">
        <f>IF([5]Vagt!A52&lt;&gt;"",[5]Vagt!A52,"")</f>
        <v>#REF!</v>
      </c>
      <c r="B108" s="299" t="e">
        <f>IF([5]Vagt!B52&lt;&gt;"",[5]Vagt!B52,"")</f>
        <v>#REF!</v>
      </c>
      <c r="C108" s="299" t="e">
        <f>IF([5]Vagt!C52&lt;&gt;"",[5]Vagt!C52,"")</f>
        <v>#REF!</v>
      </c>
      <c r="D108" s="299" t="e">
        <f>IF([5]Vagt!D52&lt;&gt;"",[5]Vagt!D52,"")</f>
        <v>#REF!</v>
      </c>
      <c r="E108" s="299" t="e">
        <f>IF([5]Vagt!E52&lt;&gt;"",[5]Vagt!E52,"")</f>
        <v>#REF!</v>
      </c>
      <c r="F108" s="299" t="e">
        <f>IF([5]Vagt!F52&lt;&gt;"",[5]Vagt!F52,"")</f>
        <v>#REF!</v>
      </c>
      <c r="G108" s="299">
        <f>IF([5]Vagt!G52&lt;&gt;"",[5]Vagt!G52,"")</f>
        <v>0</v>
      </c>
      <c r="H108" s="299">
        <f>IF([5]Vagt!H52&lt;&gt;"",[5]Vagt!H52,"")</f>
        <v>0</v>
      </c>
      <c r="I108" s="684" t="e">
        <f>IF([5]Vagt!I52&lt;&gt;"",[5]Vagt!I52,"")</f>
        <v>#REF!</v>
      </c>
      <c r="J108" s="684" t="e">
        <f>IF([5]Vagt!J52&lt;&gt;"",[5]Vagt!J52,"")</f>
        <v>#REF!</v>
      </c>
      <c r="K108" s="684" t="str">
        <f>IF([5]Vagt!K52&lt;&gt;"",[5]Vagt!K52,"")</f>
        <v>Samlet</v>
      </c>
      <c r="L108" s="684">
        <f>IF([5]Vagt!L52&lt;&gt;"",[5]Vagt!L52,"")</f>
        <v>0</v>
      </c>
      <c r="M108" s="684">
        <f>IF([5]Vagt!M52&lt;&gt;"",[5]Vagt!M52,"")</f>
        <v>0</v>
      </c>
      <c r="N108" s="685">
        <f>IF([5]Vagt!N52&lt;&gt;"",[5]Vagt!N52,"")</f>
        <v>21700727</v>
      </c>
      <c r="O108" s="685">
        <f>IF([5]Vagt!O52&lt;&gt;"",[5]Vagt!O52,"")</f>
        <v>1808393.9166666667</v>
      </c>
      <c r="P108" s="244"/>
      <c r="Q108" s="227"/>
    </row>
    <row r="109" spans="1:17">
      <c r="C109" s="291"/>
      <c r="D109" s="291"/>
      <c r="E109" s="291"/>
      <c r="F109" s="291"/>
      <c r="G109" s="291"/>
      <c r="L109" s="300"/>
      <c r="M109" s="326"/>
      <c r="N109" s="326"/>
      <c r="O109" s="291"/>
      <c r="P109" s="244"/>
      <c r="Q109" s="227"/>
    </row>
    <row r="110" spans="1:17">
      <c r="C110" s="291"/>
      <c r="D110" s="291"/>
      <c r="L110" s="300"/>
      <c r="M110" s="326"/>
      <c r="N110" s="326"/>
    </row>
    <row r="111" spans="1:17">
      <c r="A111" s="299" t="s">
        <v>112</v>
      </c>
      <c r="B111" s="328" t="s">
        <v>113</v>
      </c>
      <c r="C111" s="232" t="s">
        <v>44</v>
      </c>
      <c r="D111" s="232" t="s">
        <v>45</v>
      </c>
      <c r="E111" s="232" t="s">
        <v>46</v>
      </c>
      <c r="F111" s="232" t="s">
        <v>47</v>
      </c>
      <c r="G111" s="232" t="s">
        <v>48</v>
      </c>
      <c r="H111" s="232" t="s">
        <v>49</v>
      </c>
      <c r="I111" s="232" t="s">
        <v>38</v>
      </c>
      <c r="J111" s="232" t="s">
        <v>39</v>
      </c>
      <c r="K111" s="232" t="s">
        <v>40</v>
      </c>
      <c r="L111" s="232" t="s">
        <v>41</v>
      </c>
      <c r="M111" s="232" t="s">
        <v>42</v>
      </c>
      <c r="N111" s="232" t="s">
        <v>43</v>
      </c>
      <c r="O111" s="228"/>
      <c r="P111" s="584" t="s">
        <v>114</v>
      </c>
    </row>
    <row r="112" spans="1:17">
      <c r="B112" s="231" t="s">
        <v>115</v>
      </c>
      <c r="C112" s="329">
        <f>$D$71</f>
        <v>671822.16666666663</v>
      </c>
      <c r="D112" s="329">
        <f t="shared" ref="D112:N112" si="12">$D$71</f>
        <v>671822.16666666663</v>
      </c>
      <c r="E112" s="329">
        <f t="shared" si="12"/>
        <v>671822.16666666663</v>
      </c>
      <c r="F112" s="329">
        <f t="shared" si="12"/>
        <v>671822.16666666663</v>
      </c>
      <c r="G112" s="329">
        <f t="shared" si="12"/>
        <v>671822.16666666663</v>
      </c>
      <c r="H112" s="329">
        <f t="shared" si="12"/>
        <v>671822.16666666663</v>
      </c>
      <c r="I112" s="329">
        <f t="shared" si="12"/>
        <v>671822.16666666663</v>
      </c>
      <c r="J112" s="329">
        <f t="shared" si="12"/>
        <v>671822.16666666663</v>
      </c>
      <c r="K112" s="329">
        <f t="shared" si="12"/>
        <v>671822.16666666663</v>
      </c>
      <c r="L112" s="329">
        <f t="shared" si="12"/>
        <v>671822.16666666663</v>
      </c>
      <c r="M112" s="329">
        <f t="shared" si="12"/>
        <v>671822.16666666663</v>
      </c>
      <c r="N112" s="329">
        <f t="shared" si="12"/>
        <v>671822.16666666663</v>
      </c>
      <c r="O112" s="330">
        <f t="shared" ref="O112:O143" si="13">SUM(C112:N112)</f>
        <v>8061866.0000000009</v>
      </c>
    </row>
    <row r="113" spans="1:20" ht="13.5" thickBot="1">
      <c r="B113" s="247" t="s">
        <v>116</v>
      </c>
      <c r="C113" s="331">
        <f>$N$104</f>
        <v>1136571.75</v>
      </c>
      <c r="D113" s="331">
        <f t="shared" ref="D113:N113" si="14">$N$104</f>
        <v>1136571.75</v>
      </c>
      <c r="E113" s="331">
        <f t="shared" si="14"/>
        <v>1136571.75</v>
      </c>
      <c r="F113" s="331">
        <f t="shared" si="14"/>
        <v>1136571.75</v>
      </c>
      <c r="G113" s="331">
        <f t="shared" si="14"/>
        <v>1136571.75</v>
      </c>
      <c r="H113" s="331">
        <f t="shared" si="14"/>
        <v>1136571.75</v>
      </c>
      <c r="I113" s="331">
        <f t="shared" si="14"/>
        <v>1136571.75</v>
      </c>
      <c r="J113" s="331">
        <f t="shared" si="14"/>
        <v>1136571.75</v>
      </c>
      <c r="K113" s="331">
        <f t="shared" si="14"/>
        <v>1136571.75</v>
      </c>
      <c r="L113" s="331">
        <f t="shared" si="14"/>
        <v>1136571.75</v>
      </c>
      <c r="M113" s="331">
        <f t="shared" si="14"/>
        <v>1136571.75</v>
      </c>
      <c r="N113" s="331">
        <f t="shared" si="14"/>
        <v>1136571.75</v>
      </c>
      <c r="O113" s="332">
        <f t="shared" si="13"/>
        <v>13638861</v>
      </c>
      <c r="Q113" s="525"/>
    </row>
    <row r="114" spans="1:20" ht="13.5" thickBot="1">
      <c r="A114" s="226">
        <v>9845400000</v>
      </c>
      <c r="B114" s="333" t="s">
        <v>117</v>
      </c>
      <c r="C114" s="334">
        <f t="shared" ref="C114:N114" si="15">SUM(C112:C113)</f>
        <v>1808393.9166666665</v>
      </c>
      <c r="D114" s="334">
        <f t="shared" si="15"/>
        <v>1808393.9166666665</v>
      </c>
      <c r="E114" s="334">
        <f t="shared" si="15"/>
        <v>1808393.9166666665</v>
      </c>
      <c r="F114" s="334">
        <f t="shared" si="15"/>
        <v>1808393.9166666665</v>
      </c>
      <c r="G114" s="334">
        <f t="shared" si="15"/>
        <v>1808393.9166666665</v>
      </c>
      <c r="H114" s="334">
        <f t="shared" si="15"/>
        <v>1808393.9166666665</v>
      </c>
      <c r="I114" s="334">
        <f t="shared" si="15"/>
        <v>1808393.9166666665</v>
      </c>
      <c r="J114" s="334">
        <f t="shared" si="15"/>
        <v>1808393.9166666665</v>
      </c>
      <c r="K114" s="334">
        <f t="shared" si="15"/>
        <v>1808393.9166666665</v>
      </c>
      <c r="L114" s="334">
        <f t="shared" si="15"/>
        <v>1808393.9166666665</v>
      </c>
      <c r="M114" s="334">
        <f t="shared" si="15"/>
        <v>1808393.9166666665</v>
      </c>
      <c r="N114" s="334">
        <f t="shared" si="15"/>
        <v>1808393.9166666665</v>
      </c>
      <c r="O114" s="334">
        <f t="shared" si="13"/>
        <v>21700727</v>
      </c>
      <c r="P114" s="708">
        <v>19327852</v>
      </c>
    </row>
    <row r="115" spans="1:20">
      <c r="B115" s="336"/>
      <c r="C115" s="337"/>
      <c r="D115" s="337"/>
      <c r="E115" s="337"/>
      <c r="F115" s="337"/>
      <c r="G115" s="337"/>
      <c r="H115" s="338"/>
      <c r="I115" s="338"/>
      <c r="J115" s="338"/>
      <c r="K115" s="338"/>
      <c r="L115" s="338"/>
      <c r="M115" s="338"/>
      <c r="N115" s="338"/>
      <c r="O115" s="332">
        <f t="shared" si="13"/>
        <v>0</v>
      </c>
      <c r="P115" s="708"/>
    </row>
    <row r="116" spans="1:20">
      <c r="A116" s="226">
        <v>9870000000</v>
      </c>
      <c r="B116" s="228" t="s">
        <v>118</v>
      </c>
      <c r="C116" s="330"/>
      <c r="D116" s="330"/>
      <c r="E116" s="330"/>
      <c r="F116" s="330"/>
      <c r="G116" s="330"/>
      <c r="H116" s="330"/>
      <c r="I116" s="330"/>
      <c r="J116" s="330"/>
      <c r="K116" s="330"/>
      <c r="L116" s="330"/>
      <c r="M116" s="330"/>
      <c r="N116" s="330"/>
      <c r="O116" s="332">
        <f t="shared" si="13"/>
        <v>0</v>
      </c>
      <c r="P116" s="708">
        <v>1500000</v>
      </c>
    </row>
    <row r="117" spans="1:20">
      <c r="A117" s="226">
        <v>9820100000</v>
      </c>
      <c r="B117" s="228" t="s">
        <v>119</v>
      </c>
      <c r="C117" s="330"/>
      <c r="D117" s="329"/>
      <c r="E117" s="329"/>
      <c r="F117" s="329"/>
      <c r="G117" s="329"/>
      <c r="H117" s="329"/>
      <c r="I117" s="329"/>
      <c r="J117" s="329"/>
      <c r="K117" s="329"/>
      <c r="L117" s="329"/>
      <c r="M117" s="329"/>
      <c r="N117" s="329"/>
      <c r="O117" s="332">
        <f t="shared" si="13"/>
        <v>0</v>
      </c>
      <c r="P117" s="708">
        <v>20000</v>
      </c>
    </row>
    <row r="118" spans="1:20">
      <c r="B118" s="228"/>
      <c r="C118" s="330"/>
      <c r="D118" s="329"/>
      <c r="E118" s="329"/>
      <c r="F118" s="329"/>
      <c r="G118" s="329"/>
      <c r="H118" s="329"/>
      <c r="I118" s="329"/>
      <c r="J118" s="329"/>
      <c r="K118" s="329"/>
      <c r="L118" s="329"/>
      <c r="M118" s="329"/>
      <c r="N118" s="329"/>
      <c r="O118" s="332">
        <f t="shared" si="13"/>
        <v>0</v>
      </c>
      <c r="P118" s="708"/>
    </row>
    <row r="119" spans="1:20">
      <c r="A119" s="226">
        <v>7210400000</v>
      </c>
      <c r="B119" s="228" t="s">
        <v>120</v>
      </c>
      <c r="C119" s="330"/>
      <c r="D119" s="330"/>
      <c r="E119" s="330"/>
      <c r="F119" s="330"/>
      <c r="G119" s="330"/>
      <c r="H119" s="330"/>
      <c r="I119" s="330"/>
      <c r="J119" s="330"/>
      <c r="K119" s="330"/>
      <c r="L119" s="330"/>
      <c r="M119" s="330"/>
      <c r="N119" s="330"/>
      <c r="O119" s="332">
        <f t="shared" si="13"/>
        <v>0</v>
      </c>
      <c r="P119" s="708">
        <v>250000</v>
      </c>
    </row>
    <row r="120" spans="1:20">
      <c r="A120" s="226">
        <v>7909900000</v>
      </c>
      <c r="B120" s="228" t="s">
        <v>121</v>
      </c>
      <c r="C120" s="330">
        <v>58540</v>
      </c>
      <c r="D120" s="329">
        <v>66175</v>
      </c>
      <c r="E120" s="329">
        <v>116000</v>
      </c>
      <c r="F120" s="329">
        <v>52300</v>
      </c>
      <c r="G120" s="329">
        <v>132800</v>
      </c>
      <c r="H120" s="329">
        <v>67702</v>
      </c>
      <c r="I120" s="329"/>
      <c r="J120" s="329"/>
      <c r="K120" s="329"/>
      <c r="L120" s="329"/>
      <c r="M120" s="329"/>
      <c r="N120" s="329"/>
      <c r="O120" s="332">
        <f t="shared" si="13"/>
        <v>493517</v>
      </c>
      <c r="P120" s="708">
        <v>800000</v>
      </c>
    </row>
    <row r="121" spans="1:20">
      <c r="A121" s="525" t="s">
        <v>122</v>
      </c>
      <c r="B121" s="228" t="s">
        <v>123</v>
      </c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2">
        <f t="shared" si="13"/>
        <v>0</v>
      </c>
      <c r="P121" s="708">
        <v>3193000</v>
      </c>
      <c r="Q121" s="708" t="s">
        <v>124</v>
      </c>
    </row>
    <row r="122" spans="1:20">
      <c r="B122" s="292"/>
      <c r="C122" s="292"/>
      <c r="D122" s="292"/>
      <c r="E122" s="292"/>
      <c r="F122" s="292"/>
      <c r="G122" s="292"/>
      <c r="H122" s="292"/>
      <c r="I122" s="292"/>
      <c r="J122" s="292"/>
      <c r="K122" s="292"/>
      <c r="L122" s="292"/>
      <c r="M122" s="292"/>
      <c r="N122" s="292"/>
      <c r="O122" s="332">
        <f t="shared" si="13"/>
        <v>0</v>
      </c>
      <c r="P122" s="708"/>
    </row>
    <row r="123" spans="1:20" ht="13.5" thickBot="1">
      <c r="B123" s="228" t="s">
        <v>125</v>
      </c>
      <c r="C123" s="330"/>
      <c r="D123" s="329"/>
      <c r="E123" s="329"/>
      <c r="F123" s="329"/>
      <c r="G123" s="329"/>
      <c r="H123" s="329"/>
      <c r="I123" s="329"/>
      <c r="J123" s="329"/>
      <c r="K123" s="329"/>
      <c r="L123" s="329"/>
      <c r="M123" s="329"/>
      <c r="N123" s="329"/>
      <c r="O123" s="332">
        <f t="shared" si="13"/>
        <v>0</v>
      </c>
      <c r="P123" s="708"/>
    </row>
    <row r="124" spans="1:20" ht="13.5" thickBot="1">
      <c r="B124" s="341" t="s">
        <v>126</v>
      </c>
      <c r="C124" s="342">
        <f t="shared" ref="C124:N124" si="16">SUM(C115:C123)</f>
        <v>58540</v>
      </c>
      <c r="D124" s="342">
        <f t="shared" si="16"/>
        <v>66175</v>
      </c>
      <c r="E124" s="342">
        <f t="shared" si="16"/>
        <v>116000</v>
      </c>
      <c r="F124" s="342">
        <f t="shared" si="16"/>
        <v>52300</v>
      </c>
      <c r="G124" s="342">
        <f t="shared" si="16"/>
        <v>132800</v>
      </c>
      <c r="H124" s="342">
        <f t="shared" si="16"/>
        <v>67702</v>
      </c>
      <c r="I124" s="342">
        <f t="shared" si="16"/>
        <v>0</v>
      </c>
      <c r="J124" s="342">
        <f t="shared" si="16"/>
        <v>0</v>
      </c>
      <c r="K124" s="342">
        <f t="shared" si="16"/>
        <v>0</v>
      </c>
      <c r="L124" s="342">
        <f t="shared" si="16"/>
        <v>0</v>
      </c>
      <c r="M124" s="342">
        <f t="shared" si="16"/>
        <v>0</v>
      </c>
      <c r="N124" s="342">
        <f t="shared" si="16"/>
        <v>0</v>
      </c>
      <c r="O124" s="334">
        <f t="shared" si="13"/>
        <v>493517</v>
      </c>
      <c r="P124" s="708">
        <f>SUM(P114:P123)</f>
        <v>25090852</v>
      </c>
    </row>
    <row r="125" spans="1:20" ht="13.5" thickBot="1">
      <c r="B125" s="336" t="s">
        <v>127</v>
      </c>
      <c r="C125" s="673"/>
      <c r="D125" s="344"/>
      <c r="E125" s="344"/>
      <c r="F125" s="344"/>
      <c r="G125" s="344"/>
      <c r="H125" s="344"/>
      <c r="I125" s="344"/>
      <c r="J125" s="344"/>
      <c r="K125" s="344"/>
      <c r="L125" s="344"/>
      <c r="M125" s="344"/>
      <c r="N125" s="344"/>
      <c r="O125" s="332">
        <f t="shared" si="13"/>
        <v>0</v>
      </c>
      <c r="P125" s="584" t="s">
        <v>128</v>
      </c>
    </row>
    <row r="126" spans="1:20">
      <c r="B126" s="345" t="s">
        <v>129</v>
      </c>
      <c r="C126" s="346">
        <f t="shared" ref="C126:N126" si="17">SUM(C114,C124,C125)</f>
        <v>1866933.9166666665</v>
      </c>
      <c r="D126" s="346">
        <f t="shared" si="17"/>
        <v>1874568.9166666665</v>
      </c>
      <c r="E126" s="346">
        <f t="shared" si="17"/>
        <v>1924393.9166666665</v>
      </c>
      <c r="F126" s="346">
        <f t="shared" si="17"/>
        <v>1860693.9166666665</v>
      </c>
      <c r="G126" s="346">
        <f t="shared" si="17"/>
        <v>1941193.9166666665</v>
      </c>
      <c r="H126" s="346">
        <f t="shared" si="17"/>
        <v>1876095.9166666665</v>
      </c>
      <c r="I126" s="346">
        <f t="shared" si="17"/>
        <v>1808393.9166666665</v>
      </c>
      <c r="J126" s="346">
        <f t="shared" si="17"/>
        <v>1808393.9166666665</v>
      </c>
      <c r="K126" s="346">
        <f t="shared" si="17"/>
        <v>1808393.9166666665</v>
      </c>
      <c r="L126" s="346">
        <f t="shared" si="17"/>
        <v>1808393.9166666665</v>
      </c>
      <c r="M126" s="346">
        <f t="shared" si="17"/>
        <v>1808393.9166666665</v>
      </c>
      <c r="N126" s="346">
        <f t="shared" si="17"/>
        <v>1808393.9166666665</v>
      </c>
      <c r="O126" s="709">
        <f t="shared" si="13"/>
        <v>22194244</v>
      </c>
      <c r="P126" s="708"/>
    </row>
    <row r="127" spans="1:20" s="710" customFormat="1">
      <c r="A127" s="713" t="s">
        <v>130</v>
      </c>
      <c r="B127" s="711"/>
      <c r="C127" s="712"/>
      <c r="D127" s="712"/>
      <c r="E127" s="712"/>
      <c r="F127" s="712"/>
      <c r="G127" s="712"/>
      <c r="H127" s="712"/>
      <c r="I127" s="712"/>
      <c r="J127" s="712"/>
      <c r="K127" s="712"/>
      <c r="L127" s="712"/>
      <c r="M127" s="712"/>
      <c r="N127" s="712"/>
      <c r="O127" s="712"/>
    </row>
    <row r="128" spans="1:20">
      <c r="A128" s="314"/>
      <c r="B128" s="400" t="s">
        <v>131</v>
      </c>
      <c r="C128" s="329"/>
      <c r="D128" s="329"/>
      <c r="E128" s="329"/>
      <c r="F128" s="329"/>
      <c r="G128" s="329"/>
      <c r="H128" s="329"/>
      <c r="I128" s="329"/>
      <c r="J128" s="329"/>
      <c r="K128" s="329"/>
      <c r="L128" s="329"/>
      <c r="M128" s="329"/>
      <c r="N128" s="329"/>
      <c r="O128" s="329">
        <f>SUM(C128:N128)</f>
        <v>0</v>
      </c>
      <c r="P128" s="708">
        <v>22349016</v>
      </c>
      <c r="Q128" s="525">
        <f>25000*9.5*5</f>
        <v>1187500</v>
      </c>
      <c r="R128" s="504" t="s">
        <v>132</v>
      </c>
      <c r="S128" s="291"/>
      <c r="T128" s="291"/>
    </row>
    <row r="129" spans="1:17">
      <c r="A129" s="388">
        <v>2909900000</v>
      </c>
      <c r="B129" s="228" t="s">
        <v>133</v>
      </c>
      <c r="C129" s="329"/>
      <c r="D129" s="329"/>
      <c r="E129" s="329"/>
      <c r="F129" s="329"/>
      <c r="G129" s="329"/>
      <c r="H129" s="329"/>
      <c r="I129" s="329"/>
      <c r="J129" s="329"/>
      <c r="K129" s="329"/>
      <c r="L129" s="329"/>
      <c r="M129" s="329"/>
      <c r="N129" s="329"/>
      <c r="O129" s="330">
        <f t="shared" si="13"/>
        <v>0</v>
      </c>
      <c r="P129" s="708">
        <v>90000</v>
      </c>
    </row>
    <row r="130" spans="1:17">
      <c r="A130" s="388">
        <v>2910300000</v>
      </c>
      <c r="B130" s="228" t="s">
        <v>134</v>
      </c>
      <c r="C130" s="329"/>
      <c r="D130" s="329"/>
      <c r="E130" s="329"/>
      <c r="F130" s="329"/>
      <c r="G130" s="329"/>
      <c r="H130" s="329"/>
      <c r="I130" s="329"/>
      <c r="J130" s="329"/>
      <c r="K130" s="329"/>
      <c r="L130" s="329"/>
      <c r="M130" s="329"/>
      <c r="N130" s="329"/>
      <c r="O130" s="330">
        <f t="shared" si="13"/>
        <v>0</v>
      </c>
      <c r="P130" s="708">
        <v>5000</v>
      </c>
    </row>
    <row r="131" spans="1:17">
      <c r="A131" s="388">
        <v>2911800000</v>
      </c>
      <c r="B131" s="228" t="s">
        <v>135</v>
      </c>
      <c r="C131" s="329"/>
      <c r="D131" s="329"/>
      <c r="E131" s="329"/>
      <c r="F131" s="329"/>
      <c r="G131" s="329"/>
      <c r="H131" s="329"/>
      <c r="I131" s="329"/>
      <c r="J131" s="329"/>
      <c r="K131" s="329"/>
      <c r="L131" s="329"/>
      <c r="M131" s="329"/>
      <c r="N131" s="329"/>
      <c r="O131" s="330">
        <f t="shared" si="13"/>
        <v>0</v>
      </c>
      <c r="P131" s="814">
        <v>300000</v>
      </c>
    </row>
    <row r="132" spans="1:17">
      <c r="A132" s="388">
        <v>4009900000</v>
      </c>
      <c r="B132" s="228" t="s">
        <v>136</v>
      </c>
      <c r="C132" s="329"/>
      <c r="D132" s="329"/>
      <c r="E132" s="329"/>
      <c r="F132" s="329"/>
      <c r="G132" s="329"/>
      <c r="H132" s="329"/>
      <c r="I132" s="329"/>
      <c r="J132" s="329"/>
      <c r="K132" s="329"/>
      <c r="L132" s="329"/>
      <c r="M132" s="329"/>
      <c r="N132" s="329"/>
      <c r="O132" s="330">
        <f t="shared" si="13"/>
        <v>0</v>
      </c>
      <c r="P132" s="708">
        <v>15000</v>
      </c>
    </row>
    <row r="133" spans="1:17">
      <c r="A133" s="388">
        <v>9820000000</v>
      </c>
      <c r="B133" s="228" t="s">
        <v>137</v>
      </c>
      <c r="C133" s="329"/>
      <c r="D133" s="329"/>
      <c r="E133" s="329"/>
      <c r="F133" s="329"/>
      <c r="G133" s="329"/>
      <c r="H133" s="329"/>
      <c r="I133" s="329"/>
      <c r="J133" s="329"/>
      <c r="K133" s="329"/>
      <c r="L133" s="329"/>
      <c r="M133" s="329"/>
      <c r="N133" s="329"/>
      <c r="O133" s="330">
        <f t="shared" si="13"/>
        <v>0</v>
      </c>
      <c r="P133" s="708">
        <v>50000</v>
      </c>
    </row>
    <row r="134" spans="1:17">
      <c r="A134" s="388">
        <v>4013600000</v>
      </c>
      <c r="B134" s="228" t="s">
        <v>138</v>
      </c>
      <c r="C134" s="329"/>
      <c r="D134" s="329"/>
      <c r="E134" s="329"/>
      <c r="F134" s="329"/>
      <c r="G134" s="329"/>
      <c r="H134" s="329"/>
      <c r="I134" s="329"/>
      <c r="J134" s="329"/>
      <c r="K134" s="329"/>
      <c r="L134" s="329"/>
      <c r="M134" s="329"/>
      <c r="N134" s="329"/>
      <c r="O134" s="330">
        <f t="shared" si="13"/>
        <v>0</v>
      </c>
      <c r="P134" s="708">
        <v>3000</v>
      </c>
      <c r="Q134" s="525"/>
    </row>
    <row r="135" spans="1:17">
      <c r="A135" s="388">
        <v>4909900000</v>
      </c>
      <c r="B135" s="228" t="s">
        <v>139</v>
      </c>
      <c r="C135" s="329"/>
      <c r="D135" s="329"/>
      <c r="E135" s="329"/>
      <c r="F135" s="329"/>
      <c r="G135" s="329"/>
      <c r="H135" s="329"/>
      <c r="I135" s="329"/>
      <c r="J135" s="329"/>
      <c r="K135" s="329"/>
      <c r="L135" s="329"/>
      <c r="M135" s="329"/>
      <c r="N135" s="329"/>
      <c r="O135" s="330">
        <f t="shared" si="13"/>
        <v>0</v>
      </c>
      <c r="P135" s="708">
        <v>225000</v>
      </c>
    </row>
    <row r="136" spans="1:17">
      <c r="A136" s="388">
        <v>4011400000</v>
      </c>
      <c r="B136" s="228" t="s">
        <v>140</v>
      </c>
      <c r="C136" s="329"/>
      <c r="D136" s="329"/>
      <c r="E136" s="329"/>
      <c r="F136" s="329"/>
      <c r="G136" s="329"/>
      <c r="H136" s="329"/>
      <c r="I136" s="329"/>
      <c r="J136" s="329"/>
      <c r="K136" s="329"/>
      <c r="L136" s="329"/>
      <c r="M136" s="329"/>
      <c r="N136" s="329"/>
      <c r="O136" s="330">
        <f t="shared" si="13"/>
        <v>0</v>
      </c>
      <c r="P136" s="708">
        <v>2000</v>
      </c>
    </row>
    <row r="137" spans="1:17">
      <c r="A137" s="388">
        <v>9845500000</v>
      </c>
      <c r="B137" s="228" t="s">
        <v>141</v>
      </c>
      <c r="C137" s="329"/>
      <c r="D137" s="329"/>
      <c r="E137" s="329"/>
      <c r="F137" s="329"/>
      <c r="G137" s="329"/>
      <c r="H137" s="329"/>
      <c r="I137" s="329"/>
      <c r="J137" s="329"/>
      <c r="K137" s="329"/>
      <c r="L137" s="329"/>
      <c r="M137" s="329"/>
      <c r="N137" s="329"/>
      <c r="O137" s="330">
        <f t="shared" si="13"/>
        <v>0</v>
      </c>
      <c r="P137" s="708">
        <v>70000</v>
      </c>
    </row>
    <row r="138" spans="1:17">
      <c r="A138" s="813" t="s">
        <v>142</v>
      </c>
      <c r="B138" s="228" t="s">
        <v>143</v>
      </c>
      <c r="C138" s="329"/>
      <c r="D138" s="329"/>
      <c r="E138" s="329"/>
      <c r="F138" s="329"/>
      <c r="G138" s="329"/>
      <c r="H138" s="329"/>
      <c r="I138" s="329"/>
      <c r="J138" s="329"/>
      <c r="K138" s="329"/>
      <c r="L138" s="329"/>
      <c r="M138" s="329"/>
      <c r="N138" s="329"/>
      <c r="O138" s="330">
        <f t="shared" si="13"/>
        <v>0</v>
      </c>
      <c r="P138" s="708"/>
    </row>
    <row r="139" spans="1:17">
      <c r="A139" s="813" t="s">
        <v>144</v>
      </c>
      <c r="B139" s="228" t="s">
        <v>143</v>
      </c>
      <c r="C139" s="329"/>
      <c r="D139" s="329"/>
      <c r="E139" s="329"/>
      <c r="F139" s="329"/>
      <c r="G139" s="329"/>
      <c r="H139" s="329"/>
      <c r="I139" s="329"/>
      <c r="J139" s="329"/>
      <c r="K139" s="329"/>
      <c r="L139" s="329"/>
      <c r="M139" s="329"/>
      <c r="N139" s="329"/>
      <c r="O139" s="330">
        <f t="shared" si="13"/>
        <v>0</v>
      </c>
      <c r="P139" s="708"/>
    </row>
    <row r="140" spans="1:17">
      <c r="A140" s="388"/>
      <c r="B140" s="228"/>
      <c r="C140" s="329"/>
      <c r="D140" s="329"/>
      <c r="E140" s="329"/>
      <c r="F140" s="329"/>
      <c r="G140" s="329"/>
      <c r="H140" s="329"/>
      <c r="I140" s="329"/>
      <c r="J140" s="329"/>
      <c r="K140" s="329"/>
      <c r="L140" s="329"/>
      <c r="M140" s="329"/>
      <c r="N140" s="329"/>
      <c r="O140" s="330">
        <f t="shared" si="13"/>
        <v>0</v>
      </c>
      <c r="P140" s="708"/>
    </row>
    <row r="141" spans="1:17">
      <c r="A141" s="388"/>
      <c r="B141" s="292"/>
      <c r="C141" s="292"/>
      <c r="D141" s="292"/>
      <c r="E141" s="292"/>
      <c r="F141" s="292"/>
      <c r="G141" s="292"/>
      <c r="H141" s="292"/>
      <c r="I141" s="292"/>
      <c r="J141" s="292"/>
      <c r="K141" s="292"/>
      <c r="L141" s="292"/>
      <c r="M141" s="292"/>
      <c r="N141" s="292"/>
      <c r="O141" s="330">
        <f t="shared" si="13"/>
        <v>0</v>
      </c>
      <c r="P141" s="708"/>
    </row>
    <row r="142" spans="1:17" ht="13.5" thickBot="1">
      <c r="A142" s="388"/>
      <c r="B142" s="345" t="s">
        <v>145</v>
      </c>
      <c r="C142" s="346">
        <f>SUM(C128:C137)</f>
        <v>0</v>
      </c>
      <c r="D142" s="346">
        <f t="shared" ref="D142:N142" si="18">SUM(D128:D137)</f>
        <v>0</v>
      </c>
      <c r="E142" s="346">
        <f>SUM(E128:E138)</f>
        <v>0</v>
      </c>
      <c r="F142" s="346">
        <f t="shared" si="18"/>
        <v>0</v>
      </c>
      <c r="G142" s="346">
        <f t="shared" si="18"/>
        <v>0</v>
      </c>
      <c r="H142" s="346">
        <f t="shared" si="18"/>
        <v>0</v>
      </c>
      <c r="I142" s="346">
        <f t="shared" si="18"/>
        <v>0</v>
      </c>
      <c r="J142" s="346">
        <f t="shared" si="18"/>
        <v>0</v>
      </c>
      <c r="K142" s="346">
        <f t="shared" si="18"/>
        <v>0</v>
      </c>
      <c r="L142" s="346">
        <f t="shared" si="18"/>
        <v>0</v>
      </c>
      <c r="M142" s="346">
        <f t="shared" si="18"/>
        <v>0</v>
      </c>
      <c r="N142" s="346">
        <f t="shared" si="18"/>
        <v>0</v>
      </c>
      <c r="O142" s="346">
        <f>SUM(C142:N142)</f>
        <v>0</v>
      </c>
      <c r="P142" s="708">
        <f>SUM(P128:P141)</f>
        <v>23109016</v>
      </c>
    </row>
    <row r="143" spans="1:17" ht="13.5" thickBot="1">
      <c r="B143" s="350" t="s">
        <v>146</v>
      </c>
      <c r="C143" s="351">
        <f>C126-C142</f>
        <v>1866933.9166666665</v>
      </c>
      <c r="D143" s="351">
        <f t="shared" ref="D143:N143" si="19">D126-D142</f>
        <v>1874568.9166666665</v>
      </c>
      <c r="E143" s="351">
        <f t="shared" si="19"/>
        <v>1924393.9166666665</v>
      </c>
      <c r="F143" s="351">
        <f t="shared" si="19"/>
        <v>1860693.9166666665</v>
      </c>
      <c r="G143" s="351">
        <f t="shared" si="19"/>
        <v>1941193.9166666665</v>
      </c>
      <c r="H143" s="351">
        <f t="shared" si="19"/>
        <v>1876095.9166666665</v>
      </c>
      <c r="I143" s="351">
        <f t="shared" si="19"/>
        <v>1808393.9166666665</v>
      </c>
      <c r="J143" s="351">
        <f t="shared" si="19"/>
        <v>1808393.9166666665</v>
      </c>
      <c r="K143" s="351">
        <f t="shared" si="19"/>
        <v>1808393.9166666665</v>
      </c>
      <c r="L143" s="351">
        <f t="shared" si="19"/>
        <v>1808393.9166666665</v>
      </c>
      <c r="M143" s="351">
        <f t="shared" si="19"/>
        <v>1808393.9166666665</v>
      </c>
      <c r="N143" s="351">
        <f t="shared" si="19"/>
        <v>1808393.9166666665</v>
      </c>
      <c r="O143" s="351">
        <f t="shared" si="13"/>
        <v>22194244</v>
      </c>
      <c r="P143" s="291">
        <f>+P124-P142</f>
        <v>1981836</v>
      </c>
    </row>
    <row r="144" spans="1:17" ht="13.5" thickBot="1">
      <c r="A144" s="352"/>
      <c r="B144" s="353"/>
      <c r="C144" s="353"/>
      <c r="D144" s="353"/>
      <c r="E144" s="353"/>
      <c r="F144" s="353"/>
      <c r="G144" s="353"/>
      <c r="H144" s="353"/>
      <c r="I144" s="353"/>
      <c r="J144" s="353"/>
      <c r="K144" s="353"/>
      <c r="L144" s="353"/>
      <c r="M144" s="353"/>
      <c r="N144" s="353"/>
    </row>
    <row r="145" spans="1:14" ht="20.25">
      <c r="A145" s="825" t="s">
        <v>147</v>
      </c>
      <c r="B145" s="825"/>
      <c r="C145" s="825"/>
      <c r="D145" s="825"/>
      <c r="E145" s="825"/>
      <c r="F145" s="825"/>
      <c r="G145" s="825"/>
      <c r="H145" s="825"/>
      <c r="I145" s="825"/>
      <c r="J145" s="825"/>
      <c r="K145" s="825"/>
      <c r="L145" s="825"/>
      <c r="M145" s="825"/>
      <c r="N145" s="825"/>
    </row>
    <row r="146" spans="1:14">
      <c r="A146" s="227"/>
      <c r="B146" s="227"/>
      <c r="C146" s="227"/>
      <c r="D146" s="227"/>
      <c r="E146" s="227"/>
      <c r="F146" s="227"/>
      <c r="G146" s="227"/>
      <c r="H146" s="227"/>
      <c r="I146" s="227"/>
      <c r="J146" s="227"/>
      <c r="K146" s="227"/>
      <c r="L146" s="227"/>
      <c r="M146" s="227"/>
    </row>
    <row r="147" spans="1:14">
      <c r="A147" s="228"/>
      <c r="B147" s="229" t="s">
        <v>44</v>
      </c>
      <c r="C147" s="229" t="s">
        <v>45</v>
      </c>
      <c r="D147" s="230" t="s">
        <v>46</v>
      </c>
      <c r="E147" s="229" t="s">
        <v>47</v>
      </c>
      <c r="F147" s="229" t="s">
        <v>48</v>
      </c>
      <c r="G147" s="230" t="s">
        <v>49</v>
      </c>
      <c r="H147" s="229" t="s">
        <v>38</v>
      </c>
      <c r="I147" s="229" t="s">
        <v>39</v>
      </c>
      <c r="J147" s="229" t="s">
        <v>40</v>
      </c>
      <c r="K147" s="229" t="s">
        <v>41</v>
      </c>
      <c r="L147" s="229" t="s">
        <v>42</v>
      </c>
      <c r="M147" s="229" t="s">
        <v>43</v>
      </c>
      <c r="N147" s="228" t="s">
        <v>64</v>
      </c>
    </row>
    <row r="148" spans="1:14">
      <c r="A148" s="231" t="s">
        <v>65</v>
      </c>
      <c r="B148" s="620"/>
      <c r="C148" s="620"/>
      <c r="D148" s="620"/>
      <c r="E148" s="620"/>
      <c r="F148" s="620"/>
      <c r="G148" s="620"/>
      <c r="H148" s="620"/>
      <c r="I148" s="620"/>
      <c r="J148" s="620"/>
      <c r="K148" s="620"/>
      <c r="L148" s="620"/>
      <c r="M148" s="620"/>
      <c r="N148" s="620">
        <f t="shared" ref="N148:N158" si="20">SUM(B148:M148)</f>
        <v>0</v>
      </c>
    </row>
    <row r="149" spans="1:14">
      <c r="A149" s="231" t="s">
        <v>66</v>
      </c>
      <c r="B149" s="620"/>
      <c r="C149" s="620"/>
      <c r="D149" s="620"/>
      <c r="E149" s="620"/>
      <c r="F149" s="620"/>
      <c r="G149" s="621"/>
      <c r="H149" s="620"/>
      <c r="I149" s="620"/>
      <c r="J149" s="622"/>
      <c r="K149" s="620"/>
      <c r="L149" s="620"/>
      <c r="M149" s="620"/>
      <c r="N149" s="620">
        <f t="shared" si="20"/>
        <v>0</v>
      </c>
    </row>
    <row r="150" spans="1:14">
      <c r="A150" s="231" t="s">
        <v>148</v>
      </c>
      <c r="B150" s="620"/>
      <c r="C150" s="620"/>
      <c r="D150" s="620"/>
      <c r="E150" s="620"/>
      <c r="F150" s="620"/>
      <c r="G150" s="621"/>
      <c r="H150" s="620"/>
      <c r="I150" s="620"/>
      <c r="J150" s="620"/>
      <c r="K150" s="620"/>
      <c r="L150" s="620"/>
      <c r="M150" s="620"/>
      <c r="N150" s="620">
        <f t="shared" si="20"/>
        <v>0</v>
      </c>
    </row>
    <row r="151" spans="1:14">
      <c r="A151" s="231" t="s">
        <v>69</v>
      </c>
      <c r="B151" s="620"/>
      <c r="C151" s="620"/>
      <c r="D151" s="620"/>
      <c r="E151" s="620"/>
      <c r="F151" s="620"/>
      <c r="G151" s="621"/>
      <c r="H151" s="620"/>
      <c r="I151" s="620"/>
      <c r="J151" s="620"/>
      <c r="K151" s="620"/>
      <c r="L151" s="620"/>
      <c r="M151" s="620"/>
      <c r="N151" s="620">
        <f t="shared" si="20"/>
        <v>0</v>
      </c>
    </row>
    <row r="152" spans="1:14">
      <c r="A152" s="231" t="s">
        <v>70</v>
      </c>
      <c r="B152" s="620"/>
      <c r="C152" s="620"/>
      <c r="D152" s="620"/>
      <c r="E152" s="620"/>
      <c r="F152" s="620"/>
      <c r="G152" s="621"/>
      <c r="H152" s="620"/>
      <c r="I152" s="620"/>
      <c r="J152" s="620"/>
      <c r="K152" s="620"/>
      <c r="L152" s="620"/>
      <c r="M152" s="620"/>
      <c r="N152" s="620">
        <f t="shared" si="20"/>
        <v>0</v>
      </c>
    </row>
    <row r="153" spans="1:14">
      <c r="A153" s="231" t="s">
        <v>71</v>
      </c>
      <c r="B153" s="620"/>
      <c r="C153" s="620"/>
      <c r="D153" s="620"/>
      <c r="E153" s="620"/>
      <c r="F153" s="620"/>
      <c r="G153" s="621"/>
      <c r="H153" s="620"/>
      <c r="I153" s="620"/>
      <c r="J153" s="620"/>
      <c r="K153" s="620"/>
      <c r="L153" s="620"/>
      <c r="M153" s="620"/>
      <c r="N153" s="620">
        <f t="shared" si="20"/>
        <v>0</v>
      </c>
    </row>
    <row r="154" spans="1:14">
      <c r="A154" s="231" t="s">
        <v>72</v>
      </c>
      <c r="B154" s="620"/>
      <c r="C154" s="620"/>
      <c r="D154" s="620"/>
      <c r="E154" s="620"/>
      <c r="F154" s="620"/>
      <c r="G154" s="621"/>
      <c r="H154" s="620"/>
      <c r="I154" s="620"/>
      <c r="J154" s="620"/>
      <c r="K154" s="620"/>
      <c r="L154" s="620"/>
      <c r="M154" s="620"/>
      <c r="N154" s="620">
        <f t="shared" si="20"/>
        <v>0</v>
      </c>
    </row>
    <row r="155" spans="1:14">
      <c r="A155" s="231" t="s">
        <v>73</v>
      </c>
      <c r="B155" s="620"/>
      <c r="C155" s="620"/>
      <c r="D155" s="620"/>
      <c r="E155" s="620"/>
      <c r="F155" s="620"/>
      <c r="G155" s="621"/>
      <c r="H155" s="620"/>
      <c r="I155" s="620"/>
      <c r="J155" s="620"/>
      <c r="K155" s="620"/>
      <c r="L155" s="620"/>
      <c r="M155" s="620"/>
      <c r="N155" s="620">
        <f t="shared" si="20"/>
        <v>0</v>
      </c>
    </row>
    <row r="156" spans="1:14">
      <c r="A156" s="231" t="s">
        <v>74</v>
      </c>
      <c r="B156" s="620"/>
      <c r="C156" s="620"/>
      <c r="D156" s="620"/>
      <c r="E156" s="620"/>
      <c r="F156" s="620"/>
      <c r="G156" s="621"/>
      <c r="H156" s="620"/>
      <c r="I156" s="620"/>
      <c r="J156" s="620"/>
      <c r="K156" s="620"/>
      <c r="L156" s="620"/>
      <c r="M156" s="620"/>
      <c r="N156" s="620">
        <f t="shared" si="20"/>
        <v>0</v>
      </c>
    </row>
    <row r="157" spans="1:14">
      <c r="A157" s="231" t="s">
        <v>75</v>
      </c>
      <c r="B157" s="620"/>
      <c r="C157" s="620"/>
      <c r="D157" s="620"/>
      <c r="E157" s="620"/>
      <c r="F157" s="620"/>
      <c r="G157" s="621"/>
      <c r="H157" s="620"/>
      <c r="I157" s="620"/>
      <c r="J157" s="620"/>
      <c r="K157" s="620"/>
      <c r="L157" s="620"/>
      <c r="M157" s="620"/>
      <c r="N157" s="620">
        <f t="shared" si="20"/>
        <v>0</v>
      </c>
    </row>
    <row r="158" spans="1:14" ht="13.5" thickBot="1">
      <c r="A158" s="235" t="s">
        <v>76</v>
      </c>
      <c r="B158" s="623"/>
      <c r="C158" s="623"/>
      <c r="D158" s="623"/>
      <c r="E158" s="623"/>
      <c r="F158" s="623"/>
      <c r="G158" s="624"/>
      <c r="H158" s="623"/>
      <c r="I158" s="623"/>
      <c r="J158" s="623"/>
      <c r="K158" s="623"/>
      <c r="L158" s="623"/>
      <c r="M158" s="623"/>
      <c r="N158" s="625">
        <f t="shared" si="20"/>
        <v>0</v>
      </c>
    </row>
    <row r="159" spans="1:14" ht="13.5" thickBot="1">
      <c r="A159" s="239" t="s">
        <v>77</v>
      </c>
      <c r="B159" s="626">
        <f>SUM(B148:B158)</f>
        <v>0</v>
      </c>
      <c r="C159" s="626">
        <f t="shared" ref="C159:N159" si="21">SUM(C148:C158)</f>
        <v>0</v>
      </c>
      <c r="D159" s="626">
        <f t="shared" si="21"/>
        <v>0</v>
      </c>
      <c r="E159" s="626">
        <f t="shared" si="21"/>
        <v>0</v>
      </c>
      <c r="F159" s="626">
        <f t="shared" si="21"/>
        <v>0</v>
      </c>
      <c r="G159" s="626">
        <f t="shared" si="21"/>
        <v>0</v>
      </c>
      <c r="H159" s="626">
        <f t="shared" si="21"/>
        <v>0</v>
      </c>
      <c r="I159" s="626">
        <f t="shared" si="21"/>
        <v>0</v>
      </c>
      <c r="J159" s="626">
        <f t="shared" si="21"/>
        <v>0</v>
      </c>
      <c r="K159" s="626">
        <f t="shared" si="21"/>
        <v>0</v>
      </c>
      <c r="L159" s="626">
        <f t="shared" si="21"/>
        <v>0</v>
      </c>
      <c r="M159" s="626">
        <f t="shared" si="21"/>
        <v>0</v>
      </c>
      <c r="N159" s="632">
        <f t="shared" si="21"/>
        <v>0</v>
      </c>
    </row>
    <row r="160" spans="1:14">
      <c r="A160" s="243"/>
      <c r="B160" s="261"/>
      <c r="C160" s="261"/>
      <c r="D160" s="261"/>
      <c r="E160" s="261"/>
      <c r="F160" s="261"/>
      <c r="G160" s="261"/>
      <c r="H160" s="261"/>
      <c r="I160" s="261"/>
      <c r="J160" s="261"/>
      <c r="K160" s="261"/>
      <c r="L160" s="261"/>
      <c r="M160" s="261"/>
      <c r="N160" s="261"/>
    </row>
    <row r="161" spans="1:14">
      <c r="A161" s="243"/>
      <c r="B161" s="261"/>
      <c r="C161" s="261"/>
      <c r="D161" s="261"/>
      <c r="E161" s="261"/>
      <c r="F161" s="261"/>
      <c r="G161" s="261"/>
      <c r="H161" s="261"/>
      <c r="I161" s="261"/>
      <c r="J161" s="261"/>
      <c r="K161" s="261"/>
      <c r="L161" s="261"/>
      <c r="M161" s="261"/>
      <c r="N161" s="629" t="s">
        <v>78</v>
      </c>
    </row>
    <row r="162" spans="1:14">
      <c r="A162" s="231" t="s">
        <v>79</v>
      </c>
      <c r="B162" s="620">
        <f>IF(B159&lt;&gt;0,SUM(B149*100/B159),0)</f>
        <v>0</v>
      </c>
      <c r="C162" s="620">
        <f t="shared" ref="C162:M162" si="22">IF(C159&lt;&gt;0,SUM(C149*100/C159),0)</f>
        <v>0</v>
      </c>
      <c r="D162" s="620">
        <f t="shared" si="22"/>
        <v>0</v>
      </c>
      <c r="E162" s="620">
        <f t="shared" si="22"/>
        <v>0</v>
      </c>
      <c r="F162" s="620">
        <f t="shared" si="22"/>
        <v>0</v>
      </c>
      <c r="G162" s="620">
        <f t="shared" si="22"/>
        <v>0</v>
      </c>
      <c r="H162" s="620">
        <f t="shared" si="22"/>
        <v>0</v>
      </c>
      <c r="I162" s="620">
        <f t="shared" si="22"/>
        <v>0</v>
      </c>
      <c r="J162" s="620">
        <f t="shared" si="22"/>
        <v>0</v>
      </c>
      <c r="K162" s="620">
        <f t="shared" si="22"/>
        <v>0</v>
      </c>
      <c r="L162" s="620">
        <f t="shared" si="22"/>
        <v>0</v>
      </c>
      <c r="M162" s="620">
        <f t="shared" si="22"/>
        <v>0</v>
      </c>
      <c r="N162" s="630">
        <f>SUM(B162:M162)/12</f>
        <v>0</v>
      </c>
    </row>
    <row r="163" spans="1:14">
      <c r="A163" s="243"/>
      <c r="B163" s="261"/>
      <c r="C163" s="261"/>
      <c r="D163" s="261"/>
      <c r="E163" s="261"/>
      <c r="F163" s="261"/>
      <c r="G163" s="261"/>
      <c r="H163" s="261"/>
      <c r="I163" s="261"/>
      <c r="J163" s="261"/>
      <c r="K163" s="261"/>
      <c r="L163" s="261"/>
      <c r="M163" s="261"/>
      <c r="N163" s="261"/>
    </row>
    <row r="164" spans="1:14">
      <c r="A164" s="231" t="s">
        <v>80</v>
      </c>
      <c r="B164" s="620">
        <f>IF(B159&lt;&gt;0,SUM(B153*100/B159),0)</f>
        <v>0</v>
      </c>
      <c r="C164" s="620">
        <f t="shared" ref="C164:M164" si="23">IF(C159&lt;&gt;0,SUM(C153*100/C159),0)</f>
        <v>0</v>
      </c>
      <c r="D164" s="620">
        <f t="shared" si="23"/>
        <v>0</v>
      </c>
      <c r="E164" s="620">
        <f t="shared" si="23"/>
        <v>0</v>
      </c>
      <c r="F164" s="620">
        <f t="shared" si="23"/>
        <v>0</v>
      </c>
      <c r="G164" s="620">
        <f t="shared" si="23"/>
        <v>0</v>
      </c>
      <c r="H164" s="620">
        <f t="shared" si="23"/>
        <v>0</v>
      </c>
      <c r="I164" s="620">
        <f t="shared" si="23"/>
        <v>0</v>
      </c>
      <c r="J164" s="620">
        <f t="shared" si="23"/>
        <v>0</v>
      </c>
      <c r="K164" s="620">
        <f t="shared" si="23"/>
        <v>0</v>
      </c>
      <c r="L164" s="620">
        <f t="shared" si="23"/>
        <v>0</v>
      </c>
      <c r="M164" s="620">
        <f t="shared" si="23"/>
        <v>0</v>
      </c>
      <c r="N164" s="630">
        <f>SUM(B164:M164)/12</f>
        <v>0</v>
      </c>
    </row>
    <row r="165" spans="1:14" ht="13.5" thickBot="1">
      <c r="A165" s="247" t="s">
        <v>149</v>
      </c>
      <c r="B165" s="625">
        <f>IF(B159&lt;&gt;0,SUM(B154*100/B159),0)</f>
        <v>0</v>
      </c>
      <c r="C165" s="625">
        <f t="shared" ref="C165:M165" si="24">IF(C159&lt;&gt;0,SUM(C154*100/C159),0)</f>
        <v>0</v>
      </c>
      <c r="D165" s="625">
        <f t="shared" si="24"/>
        <v>0</v>
      </c>
      <c r="E165" s="625">
        <f t="shared" si="24"/>
        <v>0</v>
      </c>
      <c r="F165" s="625">
        <f t="shared" si="24"/>
        <v>0</v>
      </c>
      <c r="G165" s="625">
        <f t="shared" si="24"/>
        <v>0</v>
      </c>
      <c r="H165" s="625">
        <f t="shared" si="24"/>
        <v>0</v>
      </c>
      <c r="I165" s="625">
        <f t="shared" si="24"/>
        <v>0</v>
      </c>
      <c r="J165" s="625">
        <f t="shared" si="24"/>
        <v>0</v>
      </c>
      <c r="K165" s="625">
        <f t="shared" si="24"/>
        <v>0</v>
      </c>
      <c r="L165" s="625">
        <f t="shared" si="24"/>
        <v>0</v>
      </c>
      <c r="M165" s="625">
        <f t="shared" si="24"/>
        <v>0</v>
      </c>
      <c r="N165" s="631">
        <f>SUM(B165:M165)/12</f>
        <v>0</v>
      </c>
    </row>
    <row r="166" spans="1:14" ht="13.5" thickBot="1">
      <c r="A166" s="249" t="s">
        <v>82</v>
      </c>
      <c r="B166" s="632">
        <f t="shared" ref="B166" si="25">SUM(B164:B164)</f>
        <v>0</v>
      </c>
      <c r="C166" s="632">
        <f t="shared" ref="C166:M166" si="26">SUM(C164:C164)</f>
        <v>0</v>
      </c>
      <c r="D166" s="632">
        <f t="shared" si="26"/>
        <v>0</v>
      </c>
      <c r="E166" s="632">
        <f t="shared" si="26"/>
        <v>0</v>
      </c>
      <c r="F166" s="632">
        <f t="shared" si="26"/>
        <v>0</v>
      </c>
      <c r="G166" s="632">
        <f t="shared" si="26"/>
        <v>0</v>
      </c>
      <c r="H166" s="632">
        <f t="shared" si="26"/>
        <v>0</v>
      </c>
      <c r="I166" s="632">
        <f t="shared" si="26"/>
        <v>0</v>
      </c>
      <c r="J166" s="632">
        <f t="shared" si="26"/>
        <v>0</v>
      </c>
      <c r="K166" s="632">
        <f t="shared" si="26"/>
        <v>0</v>
      </c>
      <c r="L166" s="632">
        <f t="shared" si="26"/>
        <v>0</v>
      </c>
      <c r="M166" s="632">
        <f t="shared" si="26"/>
        <v>0</v>
      </c>
      <c r="N166" s="633">
        <f>SUM(N164:N165)</f>
        <v>0</v>
      </c>
    </row>
    <row r="167" spans="1:14">
      <c r="A167" s="243" t="s">
        <v>83</v>
      </c>
      <c r="B167" s="261"/>
      <c r="C167" s="261"/>
      <c r="D167" s="634">
        <f>SUM(B166:D166)/3</f>
        <v>0</v>
      </c>
      <c r="E167" s="261"/>
      <c r="F167" s="261"/>
      <c r="G167" s="634">
        <f>SUM(E166,F166,G166)/3</f>
        <v>0</v>
      </c>
      <c r="H167" s="261"/>
      <c r="I167" s="261"/>
      <c r="J167" s="634">
        <f>SUM(H166,I166,J166)/3</f>
        <v>0</v>
      </c>
      <c r="K167" s="261"/>
      <c r="L167" s="261"/>
      <c r="M167" s="634">
        <f>SUM(K166,L166,M166)/3</f>
        <v>0</v>
      </c>
      <c r="N167" s="635">
        <f>SUM(D167:M167)/4</f>
        <v>0</v>
      </c>
    </row>
    <row r="168" spans="1:14">
      <c r="A168" s="243" t="s">
        <v>84</v>
      </c>
      <c r="B168" s="261"/>
      <c r="C168" s="261"/>
      <c r="D168" s="262"/>
      <c r="E168" s="261"/>
      <c r="F168" s="261"/>
      <c r="G168" s="262"/>
      <c r="H168" s="261"/>
      <c r="I168" s="261"/>
      <c r="J168" s="262"/>
      <c r="K168" s="261"/>
      <c r="L168" s="261"/>
      <c r="M168" s="262"/>
      <c r="N168" s="630">
        <f>SUM(D168:G168,J168,M168)/4</f>
        <v>0</v>
      </c>
    </row>
    <row r="169" spans="1:14">
      <c r="A169" s="243"/>
      <c r="B169" s="261"/>
      <c r="C169" s="261"/>
      <c r="D169" s="261"/>
      <c r="E169" s="261"/>
      <c r="F169" s="261"/>
      <c r="G169" s="261"/>
      <c r="H169" s="261"/>
      <c r="I169" s="261"/>
      <c r="J169" s="261"/>
      <c r="K169" s="261"/>
      <c r="L169" s="261"/>
      <c r="M169" s="261"/>
      <c r="N169" s="261"/>
    </row>
    <row r="170" spans="1:14">
      <c r="A170" s="231" t="s">
        <v>85</v>
      </c>
      <c r="B170" s="620">
        <f>IF(B159&lt;&gt;0,B157*100/B159,0)</f>
        <v>0</v>
      </c>
      <c r="C170" s="620">
        <f t="shared" ref="C170:M170" si="27">IF(C159&lt;&gt;0,C157*100/C159,0)</f>
        <v>0</v>
      </c>
      <c r="D170" s="620">
        <f t="shared" si="27"/>
        <v>0</v>
      </c>
      <c r="E170" s="620">
        <f t="shared" si="27"/>
        <v>0</v>
      </c>
      <c r="F170" s="620">
        <f t="shared" si="27"/>
        <v>0</v>
      </c>
      <c r="G170" s="620">
        <f t="shared" si="27"/>
        <v>0</v>
      </c>
      <c r="H170" s="620">
        <f t="shared" si="27"/>
        <v>0</v>
      </c>
      <c r="I170" s="620">
        <f t="shared" si="27"/>
        <v>0</v>
      </c>
      <c r="J170" s="620">
        <f t="shared" si="27"/>
        <v>0</v>
      </c>
      <c r="K170" s="620">
        <f t="shared" si="27"/>
        <v>0</v>
      </c>
      <c r="L170" s="620">
        <f t="shared" si="27"/>
        <v>0</v>
      </c>
      <c r="M170" s="620">
        <f t="shared" si="27"/>
        <v>0</v>
      </c>
      <c r="N170" s="630">
        <f>SUM(B170:M170)/12</f>
        <v>0</v>
      </c>
    </row>
    <row r="171" spans="1:14">
      <c r="A171" s="231" t="s">
        <v>86</v>
      </c>
      <c r="B171" s="620">
        <f>IF(B159&lt;&gt;0,B155*100/B159,0)</f>
        <v>0</v>
      </c>
      <c r="C171" s="620">
        <f t="shared" ref="C171:M171" si="28">IF(C159&lt;&gt;0,C155*100/C159,0)</f>
        <v>0</v>
      </c>
      <c r="D171" s="620">
        <f t="shared" si="28"/>
        <v>0</v>
      </c>
      <c r="E171" s="620">
        <f t="shared" si="28"/>
        <v>0</v>
      </c>
      <c r="F171" s="620">
        <f t="shared" si="28"/>
        <v>0</v>
      </c>
      <c r="G171" s="620">
        <f t="shared" si="28"/>
        <v>0</v>
      </c>
      <c r="H171" s="620">
        <f t="shared" si="28"/>
        <v>0</v>
      </c>
      <c r="I171" s="620">
        <f t="shared" si="28"/>
        <v>0</v>
      </c>
      <c r="J171" s="620">
        <f t="shared" si="28"/>
        <v>0</v>
      </c>
      <c r="K171" s="620">
        <f t="shared" si="28"/>
        <v>0</v>
      </c>
      <c r="L171" s="620">
        <f t="shared" si="28"/>
        <v>0</v>
      </c>
      <c r="M171" s="620">
        <f t="shared" si="28"/>
        <v>0</v>
      </c>
      <c r="N171" s="630">
        <f>SUM(B171:M171)/12</f>
        <v>0</v>
      </c>
    </row>
    <row r="172" spans="1:14" ht="13.5" thickBot="1">
      <c r="A172" s="231" t="s">
        <v>87</v>
      </c>
      <c r="B172" s="620">
        <f>IF(B159&lt;&gt;0,B151*100/B159,0)</f>
        <v>0</v>
      </c>
      <c r="C172" s="620">
        <f t="shared" ref="C172:M172" si="29">IF(C159&lt;&gt;0,C151*100/C159,0)</f>
        <v>0</v>
      </c>
      <c r="D172" s="620">
        <f t="shared" si="29"/>
        <v>0</v>
      </c>
      <c r="E172" s="620">
        <f t="shared" si="29"/>
        <v>0</v>
      </c>
      <c r="F172" s="620">
        <f t="shared" si="29"/>
        <v>0</v>
      </c>
      <c r="G172" s="620">
        <f t="shared" si="29"/>
        <v>0</v>
      </c>
      <c r="H172" s="620">
        <f t="shared" si="29"/>
        <v>0</v>
      </c>
      <c r="I172" s="620">
        <f t="shared" si="29"/>
        <v>0</v>
      </c>
      <c r="J172" s="620">
        <f t="shared" si="29"/>
        <v>0</v>
      </c>
      <c r="K172" s="620">
        <f t="shared" si="29"/>
        <v>0</v>
      </c>
      <c r="L172" s="620">
        <f t="shared" si="29"/>
        <v>0</v>
      </c>
      <c r="M172" s="620">
        <f t="shared" si="29"/>
        <v>0</v>
      </c>
      <c r="N172" s="630">
        <f>SUM(B172:M172)/12</f>
        <v>0</v>
      </c>
    </row>
    <row r="173" spans="1:14" ht="13.5" thickBot="1">
      <c r="A173" s="255" t="s">
        <v>88</v>
      </c>
      <c r="B173" s="636">
        <f>IF(B159&lt;&gt;0,SUM(B148-B159)*100/B159,0)</f>
        <v>0</v>
      </c>
      <c r="C173" s="636">
        <f t="shared" ref="C173:M173" si="30">IF(C159&lt;&gt;0,SUM(C148-C159)*100/C159,0)</f>
        <v>0</v>
      </c>
      <c r="D173" s="636">
        <f t="shared" si="30"/>
        <v>0</v>
      </c>
      <c r="E173" s="636">
        <f t="shared" si="30"/>
        <v>0</v>
      </c>
      <c r="F173" s="636">
        <f t="shared" si="30"/>
        <v>0</v>
      </c>
      <c r="G173" s="636">
        <f t="shared" si="30"/>
        <v>0</v>
      </c>
      <c r="H173" s="636">
        <f t="shared" si="30"/>
        <v>0</v>
      </c>
      <c r="I173" s="636">
        <f t="shared" si="30"/>
        <v>0</v>
      </c>
      <c r="J173" s="636">
        <f t="shared" si="30"/>
        <v>0</v>
      </c>
      <c r="K173" s="636">
        <f t="shared" si="30"/>
        <v>0</v>
      </c>
      <c r="L173" s="636">
        <f t="shared" si="30"/>
        <v>0</v>
      </c>
      <c r="M173" s="636">
        <f t="shared" si="30"/>
        <v>0</v>
      </c>
      <c r="N173" s="637">
        <f>SUM(B173:M173)/12</f>
        <v>0</v>
      </c>
    </row>
    <row r="174" spans="1:14">
      <c r="A174" s="243"/>
      <c r="B174" s="244"/>
      <c r="C174" s="244"/>
      <c r="D174" s="244"/>
      <c r="E174" s="244"/>
      <c r="F174" s="244"/>
      <c r="G174" s="244"/>
      <c r="H174" s="244"/>
      <c r="I174" s="244"/>
      <c r="J174" s="244"/>
      <c r="K174" s="244"/>
      <c r="L174" s="244"/>
      <c r="M174" s="244"/>
      <c r="N174" s="227"/>
    </row>
    <row r="175" spans="1:14">
      <c r="A175" s="258" t="s">
        <v>89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27"/>
    </row>
    <row r="176" spans="1:14">
      <c r="A176" s="231" t="s">
        <v>90</v>
      </c>
      <c r="B176" s="259"/>
      <c r="C176" s="259"/>
      <c r="D176" s="259"/>
      <c r="E176" s="259"/>
      <c r="F176" s="259"/>
      <c r="G176" s="259"/>
      <c r="H176" s="259"/>
      <c r="I176" s="259"/>
      <c r="J176" s="259"/>
      <c r="K176" s="259"/>
      <c r="L176" s="259"/>
      <c r="M176" s="259"/>
      <c r="N176" s="259">
        <f t="shared" ref="N176" si="31">M179</f>
        <v>0</v>
      </c>
    </row>
    <row r="177" spans="1:14">
      <c r="A177" s="231" t="s">
        <v>91</v>
      </c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59"/>
      <c r="N177" s="259">
        <f>SUM(B177:M177)/12</f>
        <v>0</v>
      </c>
    </row>
    <row r="178" spans="1:14">
      <c r="A178" s="231" t="s">
        <v>92</v>
      </c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59"/>
      <c r="N178" s="259">
        <f>SUM(B177:M177)/12</f>
        <v>0</v>
      </c>
    </row>
    <row r="179" spans="1:14">
      <c r="A179" s="231" t="s">
        <v>89</v>
      </c>
      <c r="B179" s="259"/>
      <c r="C179" s="259"/>
      <c r="D179" s="259"/>
      <c r="E179" s="259"/>
      <c r="F179" s="259"/>
      <c r="G179" s="259"/>
      <c r="H179" s="259"/>
      <c r="I179" s="259"/>
      <c r="J179" s="259"/>
      <c r="K179" s="259"/>
      <c r="L179" s="259"/>
      <c r="M179" s="259"/>
      <c r="N179" s="259">
        <f>SUM(B178:M178)/12</f>
        <v>0</v>
      </c>
    </row>
    <row r="180" spans="1:14">
      <c r="A180" s="231" t="s">
        <v>93</v>
      </c>
      <c r="B180" s="260"/>
      <c r="C180" s="260"/>
      <c r="D180" s="260"/>
      <c r="E180" s="260"/>
      <c r="F180" s="260"/>
      <c r="G180" s="260"/>
      <c r="H180" s="260"/>
      <c r="I180" s="260"/>
      <c r="J180" s="260"/>
      <c r="K180" s="260"/>
      <c r="L180" s="260"/>
      <c r="M180" s="260"/>
      <c r="N180" s="259"/>
    </row>
    <row r="181" spans="1:14">
      <c r="A181" s="243" t="s">
        <v>94</v>
      </c>
      <c r="B181" s="261"/>
      <c r="C181" s="261"/>
      <c r="D181" s="262">
        <f>SUM(B180:D180/3)</f>
        <v>0</v>
      </c>
      <c r="E181" s="261"/>
      <c r="F181" s="261"/>
      <c r="G181" s="262">
        <f>SUM(E180:G180)/3</f>
        <v>0</v>
      </c>
      <c r="H181" s="261"/>
      <c r="I181" s="261"/>
      <c r="J181" s="262">
        <f>SUM(H180:J180)/3</f>
        <v>0</v>
      </c>
      <c r="K181" s="261"/>
      <c r="L181" s="261"/>
      <c r="M181" s="262">
        <f>SUM(K180:M180)/3</f>
        <v>0</v>
      </c>
      <c r="N181" s="261"/>
    </row>
    <row r="182" spans="1:14">
      <c r="A182" s="243"/>
      <c r="B182" s="244"/>
      <c r="C182" s="244"/>
      <c r="D182" s="244"/>
      <c r="E182" s="244"/>
      <c r="F182" s="244"/>
      <c r="G182" s="244"/>
      <c r="H182" s="244"/>
      <c r="I182" s="244"/>
      <c r="J182" s="244"/>
      <c r="K182" s="244"/>
      <c r="L182" s="244"/>
      <c r="M182" s="244"/>
      <c r="N182" s="227"/>
    </row>
    <row r="183" spans="1:14" ht="15.75">
      <c r="A183" s="258"/>
      <c r="B183" s="326"/>
      <c r="C183" s="326"/>
      <c r="D183" s="326"/>
      <c r="E183" s="326"/>
      <c r="F183" s="326"/>
      <c r="G183" s="355"/>
      <c r="H183" s="326"/>
      <c r="I183" s="326"/>
      <c r="J183" s="326"/>
      <c r="K183" s="326"/>
      <c r="L183" s="326"/>
      <c r="M183" s="326"/>
      <c r="N183" s="227"/>
    </row>
    <row r="184" spans="1:14">
      <c r="A184" s="328" t="s">
        <v>150</v>
      </c>
      <c r="B184" s="232" t="s">
        <v>44</v>
      </c>
      <c r="C184" s="232" t="s">
        <v>45</v>
      </c>
      <c r="D184" s="232" t="s">
        <v>46</v>
      </c>
      <c r="E184" s="232" t="s">
        <v>47</v>
      </c>
      <c r="F184" s="232" t="s">
        <v>48</v>
      </c>
      <c r="G184" s="232" t="s">
        <v>49</v>
      </c>
      <c r="H184" s="232" t="s">
        <v>38</v>
      </c>
      <c r="I184" s="232" t="s">
        <v>39</v>
      </c>
      <c r="J184" s="232" t="s">
        <v>40</v>
      </c>
      <c r="K184" s="232" t="s">
        <v>41</v>
      </c>
      <c r="L184" s="232" t="s">
        <v>42</v>
      </c>
      <c r="M184" s="232" t="s">
        <v>43</v>
      </c>
      <c r="N184" s="228" t="s">
        <v>64</v>
      </c>
    </row>
    <row r="185" spans="1:14">
      <c r="A185" s="231"/>
      <c r="B185" s="329"/>
      <c r="C185" s="329"/>
      <c r="D185" s="329"/>
      <c r="E185" s="329"/>
      <c r="F185" s="329"/>
      <c r="G185" s="329"/>
      <c r="H185" s="329"/>
      <c r="I185" s="329"/>
      <c r="J185" s="329"/>
      <c r="K185" s="329"/>
      <c r="L185" s="329"/>
      <c r="M185" s="329"/>
      <c r="N185" s="329">
        <f t="shared" ref="N185:N200" si="32">SUM(B185:M185)</f>
        <v>0</v>
      </c>
    </row>
    <row r="186" spans="1:14">
      <c r="A186" s="231"/>
      <c r="B186" s="329"/>
      <c r="C186" s="329"/>
      <c r="D186" s="329"/>
      <c r="E186" s="329"/>
      <c r="F186" s="329"/>
      <c r="G186" s="329"/>
      <c r="H186" s="329"/>
      <c r="I186" s="329"/>
      <c r="J186" s="329"/>
      <c r="K186" s="329"/>
      <c r="L186" s="329"/>
      <c r="M186" s="329"/>
      <c r="N186" s="329">
        <f t="shared" si="32"/>
        <v>0</v>
      </c>
    </row>
    <row r="187" spans="1:14">
      <c r="A187" s="231"/>
      <c r="B187" s="329"/>
      <c r="C187" s="329"/>
      <c r="D187" s="329"/>
      <c r="E187" s="329"/>
      <c r="F187" s="329"/>
      <c r="G187" s="329"/>
      <c r="H187" s="329"/>
      <c r="I187" s="329"/>
      <c r="J187" s="329"/>
      <c r="K187" s="329"/>
      <c r="L187" s="329"/>
      <c r="M187" s="329"/>
      <c r="N187" s="329">
        <f t="shared" si="32"/>
        <v>0</v>
      </c>
    </row>
    <row r="188" spans="1:14" ht="13.5" thickBot="1">
      <c r="A188" s="356"/>
      <c r="B188" s="357"/>
      <c r="C188" s="357"/>
      <c r="D188" s="357"/>
      <c r="E188" s="357"/>
      <c r="F188" s="357"/>
      <c r="G188" s="357"/>
      <c r="H188" s="357"/>
      <c r="I188" s="357"/>
      <c r="J188" s="357"/>
      <c r="K188" s="357"/>
      <c r="L188" s="357"/>
      <c r="M188" s="357"/>
      <c r="N188" s="329">
        <f t="shared" si="32"/>
        <v>0</v>
      </c>
    </row>
    <row r="189" spans="1:14" ht="13.5" thickBot="1">
      <c r="A189" s="333" t="s">
        <v>151</v>
      </c>
      <c r="B189" s="334">
        <f t="shared" ref="B189:M189" si="33">SUM(B185:B188)</f>
        <v>0</v>
      </c>
      <c r="C189" s="334">
        <f t="shared" si="33"/>
        <v>0</v>
      </c>
      <c r="D189" s="334">
        <f t="shared" si="33"/>
        <v>0</v>
      </c>
      <c r="E189" s="334">
        <f t="shared" si="33"/>
        <v>0</v>
      </c>
      <c r="F189" s="334">
        <f t="shared" si="33"/>
        <v>0</v>
      </c>
      <c r="G189" s="334">
        <f t="shared" si="33"/>
        <v>0</v>
      </c>
      <c r="H189" s="334">
        <f t="shared" si="33"/>
        <v>0</v>
      </c>
      <c r="I189" s="334">
        <f t="shared" si="33"/>
        <v>0</v>
      </c>
      <c r="J189" s="334">
        <f t="shared" si="33"/>
        <v>0</v>
      </c>
      <c r="K189" s="334">
        <f t="shared" si="33"/>
        <v>0</v>
      </c>
      <c r="L189" s="334">
        <f t="shared" si="33"/>
        <v>0</v>
      </c>
      <c r="M189" s="334">
        <f t="shared" si="33"/>
        <v>0</v>
      </c>
      <c r="N189" s="334">
        <f t="shared" si="32"/>
        <v>0</v>
      </c>
    </row>
    <row r="190" spans="1:14">
      <c r="A190" s="228" t="s">
        <v>152</v>
      </c>
      <c r="B190" s="329"/>
      <c r="C190" s="329"/>
      <c r="D190" s="329"/>
      <c r="E190" s="329"/>
      <c r="F190" s="329"/>
      <c r="G190" s="329"/>
      <c r="H190" s="329"/>
      <c r="I190" s="329"/>
      <c r="J190" s="329"/>
      <c r="K190" s="329"/>
      <c r="L190" s="329"/>
      <c r="M190" s="329"/>
      <c r="N190" s="329">
        <f t="shared" si="32"/>
        <v>0</v>
      </c>
    </row>
    <row r="191" spans="1:14">
      <c r="A191" s="231" t="s">
        <v>153</v>
      </c>
      <c r="B191" s="329"/>
      <c r="C191" s="329"/>
      <c r="D191" s="329"/>
      <c r="E191" s="329"/>
      <c r="F191" s="329"/>
      <c r="G191" s="358"/>
      <c r="H191" s="329"/>
      <c r="I191" s="329"/>
      <c r="J191" s="329"/>
      <c r="K191" s="329"/>
      <c r="L191" s="329"/>
      <c r="M191" s="329"/>
      <c r="N191" s="329">
        <f t="shared" si="32"/>
        <v>0</v>
      </c>
    </row>
    <row r="192" spans="1:14">
      <c r="A192" s="356" t="s">
        <v>154</v>
      </c>
      <c r="B192" s="329"/>
      <c r="C192" s="329"/>
      <c r="D192" s="329"/>
      <c r="E192" s="329"/>
      <c r="F192" s="329"/>
      <c r="G192" s="329"/>
      <c r="H192" s="329"/>
      <c r="I192" s="329"/>
      <c r="J192" s="329"/>
      <c r="K192" s="329"/>
      <c r="L192" s="329"/>
      <c r="M192" s="329"/>
      <c r="N192" s="329">
        <f t="shared" si="32"/>
        <v>0</v>
      </c>
    </row>
    <row r="193" spans="1:15">
      <c r="A193" s="228" t="s">
        <v>155</v>
      </c>
      <c r="B193" s="329"/>
      <c r="C193" s="329"/>
      <c r="D193" s="329"/>
      <c r="E193" s="329"/>
      <c r="F193" s="329"/>
      <c r="G193" s="329"/>
      <c r="H193" s="329"/>
      <c r="I193" s="329"/>
      <c r="J193" s="329"/>
      <c r="K193" s="329"/>
      <c r="L193" s="329"/>
      <c r="M193" s="329"/>
      <c r="N193" s="329">
        <f t="shared" si="32"/>
        <v>0</v>
      </c>
    </row>
    <row r="194" spans="1:15" ht="13.5" thickBot="1">
      <c r="A194" s="359" t="s">
        <v>156</v>
      </c>
      <c r="B194" s="357"/>
      <c r="C194" s="357"/>
      <c r="D194" s="357"/>
      <c r="E194" s="357"/>
      <c r="F194" s="357"/>
      <c r="G194" s="357"/>
      <c r="H194" s="357"/>
      <c r="I194" s="357"/>
      <c r="J194" s="357"/>
      <c r="K194" s="357"/>
      <c r="L194" s="357"/>
      <c r="M194" s="329"/>
      <c r="N194" s="329">
        <f t="shared" si="32"/>
        <v>0</v>
      </c>
    </row>
    <row r="195" spans="1:15" ht="13.5" thickBot="1">
      <c r="A195" s="360" t="s">
        <v>126</v>
      </c>
      <c r="B195" s="334">
        <f t="shared" ref="B195:M195" si="34">SUM(B190:B194)</f>
        <v>0</v>
      </c>
      <c r="C195" s="334">
        <f t="shared" si="34"/>
        <v>0</v>
      </c>
      <c r="D195" s="334">
        <f t="shared" si="34"/>
        <v>0</v>
      </c>
      <c r="E195" s="334">
        <f t="shared" si="34"/>
        <v>0</v>
      </c>
      <c r="F195" s="334">
        <f t="shared" si="34"/>
        <v>0</v>
      </c>
      <c r="G195" s="334">
        <f t="shared" si="34"/>
        <v>0</v>
      </c>
      <c r="H195" s="334">
        <f t="shared" si="34"/>
        <v>0</v>
      </c>
      <c r="I195" s="334">
        <f t="shared" si="34"/>
        <v>0</v>
      </c>
      <c r="J195" s="334">
        <f t="shared" si="34"/>
        <v>0</v>
      </c>
      <c r="K195" s="334">
        <f t="shared" si="34"/>
        <v>0</v>
      </c>
      <c r="L195" s="334">
        <f t="shared" si="34"/>
        <v>0</v>
      </c>
      <c r="M195" s="334">
        <f t="shared" si="34"/>
        <v>0</v>
      </c>
      <c r="N195" s="334">
        <f t="shared" si="32"/>
        <v>0</v>
      </c>
    </row>
    <row r="196" spans="1:15" ht="13.5" thickBot="1">
      <c r="A196" s="228" t="s">
        <v>127</v>
      </c>
      <c r="B196" s="331"/>
      <c r="C196" s="331"/>
      <c r="D196" s="331"/>
      <c r="E196" s="331"/>
      <c r="F196" s="331"/>
      <c r="G196" s="331"/>
      <c r="H196" s="331"/>
      <c r="I196" s="331"/>
      <c r="J196" s="331"/>
      <c r="K196" s="331"/>
      <c r="L196" s="331"/>
      <c r="M196" s="357">
        <v>0</v>
      </c>
      <c r="N196" s="329">
        <f t="shared" si="32"/>
        <v>0</v>
      </c>
      <c r="O196" s="291"/>
    </row>
    <row r="197" spans="1:15" ht="13.5" thickBot="1">
      <c r="A197" s="363" t="s">
        <v>129</v>
      </c>
      <c r="B197" s="364">
        <f t="shared" ref="B197:M197" si="35">SUM(B189,B195,B196)</f>
        <v>0</v>
      </c>
      <c r="C197" s="364">
        <f t="shared" si="35"/>
        <v>0</v>
      </c>
      <c r="D197" s="364">
        <f t="shared" si="35"/>
        <v>0</v>
      </c>
      <c r="E197" s="364">
        <f t="shared" si="35"/>
        <v>0</v>
      </c>
      <c r="F197" s="364">
        <f t="shared" si="35"/>
        <v>0</v>
      </c>
      <c r="G197" s="364">
        <f t="shared" si="35"/>
        <v>0</v>
      </c>
      <c r="H197" s="364">
        <f t="shared" si="35"/>
        <v>0</v>
      </c>
      <c r="I197" s="364">
        <f t="shared" si="35"/>
        <v>0</v>
      </c>
      <c r="J197" s="364">
        <f t="shared" si="35"/>
        <v>0</v>
      </c>
      <c r="K197" s="364">
        <f t="shared" si="35"/>
        <v>0</v>
      </c>
      <c r="L197" s="364">
        <f t="shared" si="35"/>
        <v>0</v>
      </c>
      <c r="M197" s="334">
        <f t="shared" si="35"/>
        <v>0</v>
      </c>
      <c r="N197" s="334">
        <f t="shared" si="32"/>
        <v>0</v>
      </c>
    </row>
    <row r="198" spans="1:15">
      <c r="A198" s="336" t="s">
        <v>131</v>
      </c>
      <c r="B198" s="365"/>
      <c r="C198" s="365"/>
      <c r="D198" s="365"/>
      <c r="E198" s="365"/>
      <c r="F198" s="365"/>
      <c r="G198" s="365"/>
      <c r="H198" s="365"/>
      <c r="I198" s="365"/>
      <c r="J198" s="365"/>
      <c r="K198" s="365"/>
      <c r="L198" s="365"/>
      <c r="M198" s="365"/>
      <c r="N198" s="329">
        <f t="shared" si="32"/>
        <v>0</v>
      </c>
    </row>
    <row r="199" spans="1:15">
      <c r="A199" s="336" t="s">
        <v>157</v>
      </c>
      <c r="B199" s="365"/>
      <c r="C199" s="365"/>
      <c r="D199" s="365"/>
      <c r="E199" s="365"/>
      <c r="F199" s="365"/>
      <c r="G199" s="365"/>
      <c r="H199" s="365"/>
      <c r="I199" s="365"/>
      <c r="J199" s="365"/>
      <c r="K199" s="365"/>
      <c r="L199" s="365"/>
      <c r="M199" s="365"/>
      <c r="N199" s="329">
        <f t="shared" si="32"/>
        <v>0</v>
      </c>
    </row>
    <row r="200" spans="1:15">
      <c r="A200" s="336" t="s">
        <v>158</v>
      </c>
      <c r="B200" s="365"/>
      <c r="C200" s="365"/>
      <c r="D200" s="365"/>
      <c r="E200" s="365"/>
      <c r="F200" s="365"/>
      <c r="G200" s="365"/>
      <c r="H200" s="365"/>
      <c r="I200" s="365"/>
      <c r="J200" s="365"/>
      <c r="K200" s="365"/>
      <c r="L200" s="365"/>
      <c r="M200" s="365"/>
      <c r="N200" s="329">
        <f t="shared" si="32"/>
        <v>0</v>
      </c>
    </row>
    <row r="201" spans="1:15">
      <c r="A201" s="367" t="s">
        <v>146</v>
      </c>
      <c r="B201" s="368">
        <f t="shared" ref="B201:N201" si="36">B197-SUM(B198:B200)</f>
        <v>0</v>
      </c>
      <c r="C201" s="368">
        <f t="shared" si="36"/>
        <v>0</v>
      </c>
      <c r="D201" s="368">
        <f t="shared" si="36"/>
        <v>0</v>
      </c>
      <c r="E201" s="368">
        <f t="shared" si="36"/>
        <v>0</v>
      </c>
      <c r="F201" s="368">
        <f t="shared" si="36"/>
        <v>0</v>
      </c>
      <c r="G201" s="368">
        <f t="shared" si="36"/>
        <v>0</v>
      </c>
      <c r="H201" s="368">
        <f t="shared" si="36"/>
        <v>0</v>
      </c>
      <c r="I201" s="368">
        <f t="shared" si="36"/>
        <v>0</v>
      </c>
      <c r="J201" s="368">
        <f t="shared" si="36"/>
        <v>0</v>
      </c>
      <c r="K201" s="368">
        <f t="shared" si="36"/>
        <v>0</v>
      </c>
      <c r="L201" s="368">
        <f t="shared" si="36"/>
        <v>0</v>
      </c>
      <c r="M201" s="368">
        <f t="shared" si="36"/>
        <v>0</v>
      </c>
      <c r="N201" s="368">
        <f t="shared" si="36"/>
        <v>0</v>
      </c>
    </row>
    <row r="202" spans="1:15" ht="13.5" thickBot="1">
      <c r="A202" s="369">
        <v>206552</v>
      </c>
      <c r="B202" s="369"/>
      <c r="C202" s="369"/>
      <c r="D202" s="369"/>
      <c r="E202" s="369"/>
      <c r="F202" s="369"/>
      <c r="G202" s="369"/>
      <c r="H202" s="369"/>
      <c r="I202" s="369"/>
      <c r="J202" s="369"/>
      <c r="K202" s="369"/>
      <c r="L202" s="369"/>
      <c r="M202" s="369"/>
      <c r="N202" s="369"/>
    </row>
    <row r="203" spans="1:15" ht="13.5" thickBot="1"/>
    <row r="204" spans="1:15" ht="20.25">
      <c r="A204" s="826" t="s">
        <v>159</v>
      </c>
      <c r="B204" s="826"/>
      <c r="C204" s="826"/>
      <c r="D204" s="826"/>
      <c r="E204" s="826"/>
      <c r="F204" s="826"/>
      <c r="G204" s="826"/>
      <c r="H204" s="826"/>
      <c r="I204" s="826"/>
      <c r="J204" s="826"/>
      <c r="K204" s="826"/>
      <c r="L204" s="826"/>
      <c r="M204" s="826"/>
      <c r="N204" s="826"/>
    </row>
    <row r="205" spans="1:15">
      <c r="A205" s="227"/>
      <c r="B205" s="227"/>
      <c r="C205" s="227"/>
      <c r="D205" s="227"/>
      <c r="E205" s="227"/>
      <c r="F205" s="227"/>
      <c r="G205" s="227"/>
      <c r="H205" s="227"/>
      <c r="I205" s="227"/>
      <c r="J205" s="227"/>
      <c r="K205" s="227"/>
      <c r="L205" s="227"/>
      <c r="M205" s="227"/>
    </row>
    <row r="206" spans="1:15">
      <c r="A206" s="228"/>
      <c r="B206" s="229" t="s">
        <v>44</v>
      </c>
      <c r="C206" s="229" t="s">
        <v>45</v>
      </c>
      <c r="D206" s="230" t="s">
        <v>46</v>
      </c>
      <c r="E206" s="229" t="s">
        <v>47</v>
      </c>
      <c r="F206" s="229" t="s">
        <v>48</v>
      </c>
      <c r="G206" s="230" t="s">
        <v>49</v>
      </c>
      <c r="H206" s="229" t="s">
        <v>38</v>
      </c>
      <c r="I206" s="229" t="s">
        <v>39</v>
      </c>
      <c r="J206" s="229" t="s">
        <v>40</v>
      </c>
      <c r="K206" s="229" t="s">
        <v>41</v>
      </c>
      <c r="L206" s="229" t="s">
        <v>42</v>
      </c>
      <c r="M206" s="229" t="s">
        <v>43</v>
      </c>
      <c r="N206" s="228" t="s">
        <v>64</v>
      </c>
    </row>
    <row r="207" spans="1:15">
      <c r="A207" s="231" t="s">
        <v>65</v>
      </c>
      <c r="B207" s="620"/>
      <c r="C207" s="620"/>
      <c r="D207" s="620"/>
      <c r="E207" s="620"/>
      <c r="F207" s="620"/>
      <c r="G207" s="620"/>
      <c r="H207" s="620"/>
      <c r="I207" s="620"/>
      <c r="J207" s="620"/>
      <c r="K207" s="620"/>
      <c r="L207" s="620"/>
      <c r="M207" s="620"/>
      <c r="N207" s="620">
        <f t="shared" ref="N207:N217" si="37">SUM(B207:M207)</f>
        <v>0</v>
      </c>
    </row>
    <row r="208" spans="1:15">
      <c r="A208" s="231" t="s">
        <v>66</v>
      </c>
      <c r="B208" s="620"/>
      <c r="C208" s="620"/>
      <c r="D208" s="620"/>
      <c r="E208" s="620"/>
      <c r="F208" s="620"/>
      <c r="G208" s="621"/>
      <c r="H208" s="620"/>
      <c r="I208" s="620"/>
      <c r="J208" s="622"/>
      <c r="K208" s="620"/>
      <c r="L208" s="620"/>
      <c r="M208" s="620"/>
      <c r="N208" s="620">
        <f t="shared" si="37"/>
        <v>0</v>
      </c>
    </row>
    <row r="209" spans="1:14">
      <c r="A209" s="231" t="s">
        <v>67</v>
      </c>
      <c r="B209" s="620"/>
      <c r="C209" s="620"/>
      <c r="D209" s="620"/>
      <c r="E209" s="620"/>
      <c r="F209" s="620"/>
      <c r="G209" s="621"/>
      <c r="H209" s="620"/>
      <c r="I209" s="620"/>
      <c r="J209" s="620"/>
      <c r="K209" s="620"/>
      <c r="L209" s="620"/>
      <c r="M209" s="620"/>
      <c r="N209" s="620">
        <f t="shared" si="37"/>
        <v>0</v>
      </c>
    </row>
    <row r="210" spans="1:14">
      <c r="A210" s="231" t="s">
        <v>69</v>
      </c>
      <c r="B210" s="620"/>
      <c r="C210" s="620"/>
      <c r="D210" s="620"/>
      <c r="E210" s="620"/>
      <c r="F210" s="620"/>
      <c r="G210" s="621"/>
      <c r="H210" s="620"/>
      <c r="I210" s="620"/>
      <c r="J210" s="620"/>
      <c r="K210" s="620"/>
      <c r="L210" s="620"/>
      <c r="M210" s="620"/>
      <c r="N210" s="620">
        <f t="shared" si="37"/>
        <v>0</v>
      </c>
    </row>
    <row r="211" spans="1:14">
      <c r="A211" s="231" t="s">
        <v>70</v>
      </c>
      <c r="B211" s="620"/>
      <c r="C211" s="620"/>
      <c r="D211" s="620"/>
      <c r="E211" s="620"/>
      <c r="F211" s="620"/>
      <c r="G211" s="621"/>
      <c r="H211" s="620"/>
      <c r="I211" s="620"/>
      <c r="J211" s="620"/>
      <c r="K211" s="620"/>
      <c r="L211" s="620"/>
      <c r="M211" s="620"/>
      <c r="N211" s="620">
        <f t="shared" si="37"/>
        <v>0</v>
      </c>
    </row>
    <row r="212" spans="1:14">
      <c r="A212" s="231" t="s">
        <v>71</v>
      </c>
      <c r="B212" s="620"/>
      <c r="C212" s="620"/>
      <c r="D212" s="620"/>
      <c r="E212" s="620"/>
      <c r="F212" s="620"/>
      <c r="G212" s="621"/>
      <c r="H212" s="620"/>
      <c r="I212" s="620"/>
      <c r="J212" s="620"/>
      <c r="K212" s="620"/>
      <c r="L212" s="620"/>
      <c r="M212" s="620"/>
      <c r="N212" s="620">
        <f t="shared" si="37"/>
        <v>0</v>
      </c>
    </row>
    <row r="213" spans="1:14">
      <c r="A213" s="231" t="s">
        <v>72</v>
      </c>
      <c r="B213" s="620"/>
      <c r="C213" s="620"/>
      <c r="D213" s="620"/>
      <c r="E213" s="620"/>
      <c r="F213" s="620"/>
      <c r="G213" s="621"/>
      <c r="H213" s="620"/>
      <c r="I213" s="620"/>
      <c r="J213" s="620"/>
      <c r="K213" s="620"/>
      <c r="L213" s="620"/>
      <c r="M213" s="620"/>
      <c r="N213" s="620">
        <f t="shared" si="37"/>
        <v>0</v>
      </c>
    </row>
    <row r="214" spans="1:14">
      <c r="A214" s="231" t="s">
        <v>73</v>
      </c>
      <c r="B214" s="620"/>
      <c r="C214" s="620"/>
      <c r="D214" s="620"/>
      <c r="E214" s="620"/>
      <c r="F214" s="620"/>
      <c r="G214" s="621"/>
      <c r="H214" s="620"/>
      <c r="I214" s="620"/>
      <c r="J214" s="620"/>
      <c r="K214" s="620"/>
      <c r="L214" s="620"/>
      <c r="M214" s="620"/>
      <c r="N214" s="620">
        <f t="shared" si="37"/>
        <v>0</v>
      </c>
    </row>
    <row r="215" spans="1:14">
      <c r="A215" s="231" t="s">
        <v>74</v>
      </c>
      <c r="B215" s="620"/>
      <c r="C215" s="620"/>
      <c r="D215" s="620"/>
      <c r="E215" s="620"/>
      <c r="F215" s="620"/>
      <c r="G215" s="621"/>
      <c r="H215" s="620"/>
      <c r="I215" s="620"/>
      <c r="J215" s="620"/>
      <c r="K215" s="620"/>
      <c r="L215" s="620"/>
      <c r="M215" s="620"/>
      <c r="N215" s="620">
        <f t="shared" si="37"/>
        <v>0</v>
      </c>
    </row>
    <row r="216" spans="1:14">
      <c r="A216" s="231" t="s">
        <v>75</v>
      </c>
      <c r="B216" s="620"/>
      <c r="C216" s="620"/>
      <c r="D216" s="620"/>
      <c r="E216" s="620"/>
      <c r="F216" s="620"/>
      <c r="G216" s="621"/>
      <c r="H216" s="620"/>
      <c r="I216" s="620"/>
      <c r="J216" s="620"/>
      <c r="K216" s="620"/>
      <c r="L216" s="620"/>
      <c r="M216" s="620"/>
      <c r="N216" s="620">
        <f t="shared" si="37"/>
        <v>0</v>
      </c>
    </row>
    <row r="217" spans="1:14" ht="13.5" thickBot="1">
      <c r="A217" s="235" t="s">
        <v>76</v>
      </c>
      <c r="B217" s="623"/>
      <c r="C217" s="623"/>
      <c r="D217" s="623"/>
      <c r="E217" s="623"/>
      <c r="F217" s="623"/>
      <c r="G217" s="624"/>
      <c r="H217" s="623"/>
      <c r="I217" s="623"/>
      <c r="J217" s="623"/>
      <c r="K217" s="623"/>
      <c r="L217" s="623"/>
      <c r="M217" s="623"/>
      <c r="N217" s="625">
        <f t="shared" si="37"/>
        <v>0</v>
      </c>
    </row>
    <row r="218" spans="1:14" ht="13.5" thickBot="1">
      <c r="A218" s="239" t="s">
        <v>77</v>
      </c>
      <c r="B218" s="626">
        <f>SUM(B207:B217)</f>
        <v>0</v>
      </c>
      <c r="C218" s="626">
        <f t="shared" ref="C218:N218" si="38">SUM(C207:C217)</f>
        <v>0</v>
      </c>
      <c r="D218" s="626">
        <f t="shared" si="38"/>
        <v>0</v>
      </c>
      <c r="E218" s="626">
        <f t="shared" si="38"/>
        <v>0</v>
      </c>
      <c r="F218" s="626">
        <f t="shared" si="38"/>
        <v>0</v>
      </c>
      <c r="G218" s="626">
        <f t="shared" si="38"/>
        <v>0</v>
      </c>
      <c r="H218" s="626">
        <f t="shared" si="38"/>
        <v>0</v>
      </c>
      <c r="I218" s="626">
        <f t="shared" si="38"/>
        <v>0</v>
      </c>
      <c r="J218" s="626">
        <f t="shared" si="38"/>
        <v>0</v>
      </c>
      <c r="K218" s="626">
        <f t="shared" si="38"/>
        <v>0</v>
      </c>
      <c r="L218" s="626">
        <f t="shared" si="38"/>
        <v>0</v>
      </c>
      <c r="M218" s="626">
        <f t="shared" si="38"/>
        <v>0</v>
      </c>
      <c r="N218" s="632">
        <f t="shared" si="38"/>
        <v>0</v>
      </c>
    </row>
    <row r="219" spans="1:14">
      <c r="A219" s="243"/>
      <c r="B219" s="261"/>
      <c r="C219" s="261"/>
      <c r="D219" s="261"/>
      <c r="E219" s="261"/>
      <c r="F219" s="261"/>
      <c r="G219" s="261"/>
      <c r="H219" s="261"/>
      <c r="I219" s="261"/>
      <c r="J219" s="261"/>
      <c r="K219" s="261"/>
      <c r="L219" s="261"/>
      <c r="M219" s="261"/>
      <c r="N219" s="261"/>
    </row>
    <row r="220" spans="1:14">
      <c r="A220" s="243"/>
      <c r="B220" s="261"/>
      <c r="C220" s="261"/>
      <c r="D220" s="261"/>
      <c r="E220" s="261"/>
      <c r="F220" s="261"/>
      <c r="G220" s="261"/>
      <c r="H220" s="261"/>
      <c r="I220" s="261"/>
      <c r="J220" s="261"/>
      <c r="K220" s="261"/>
      <c r="L220" s="261"/>
      <c r="M220" s="261"/>
      <c r="N220" s="629" t="s">
        <v>78</v>
      </c>
    </row>
    <row r="221" spans="1:14">
      <c r="A221" s="231" t="s">
        <v>79</v>
      </c>
      <c r="B221" s="620">
        <f>IF(B218&lt;&gt;0,SUM(B208*100/B218),0)</f>
        <v>0</v>
      </c>
      <c r="C221" s="620">
        <f t="shared" ref="C221:M221" si="39">IF(C218&lt;&gt;0,SUM(C208*100/C218),0)</f>
        <v>0</v>
      </c>
      <c r="D221" s="620">
        <f t="shared" si="39"/>
        <v>0</v>
      </c>
      <c r="E221" s="620">
        <f t="shared" si="39"/>
        <v>0</v>
      </c>
      <c r="F221" s="620">
        <f t="shared" si="39"/>
        <v>0</v>
      </c>
      <c r="G221" s="620">
        <f t="shared" si="39"/>
        <v>0</v>
      </c>
      <c r="H221" s="620">
        <f t="shared" si="39"/>
        <v>0</v>
      </c>
      <c r="I221" s="620">
        <f t="shared" si="39"/>
        <v>0</v>
      </c>
      <c r="J221" s="620">
        <f t="shared" si="39"/>
        <v>0</v>
      </c>
      <c r="K221" s="620">
        <f t="shared" si="39"/>
        <v>0</v>
      </c>
      <c r="L221" s="620">
        <f t="shared" si="39"/>
        <v>0</v>
      </c>
      <c r="M221" s="620">
        <f t="shared" si="39"/>
        <v>0</v>
      </c>
      <c r="N221" s="630">
        <f>SUM(B221:M221)/12</f>
        <v>0</v>
      </c>
    </row>
    <row r="222" spans="1:14">
      <c r="A222" s="243"/>
      <c r="B222" s="261"/>
      <c r="C222" s="261"/>
      <c r="D222" s="261"/>
      <c r="E222" s="261"/>
      <c r="F222" s="261"/>
      <c r="G222" s="261"/>
      <c r="H222" s="261"/>
      <c r="I222" s="261"/>
      <c r="J222" s="261"/>
      <c r="K222" s="261"/>
      <c r="L222" s="261"/>
      <c r="M222" s="261"/>
      <c r="N222" s="261"/>
    </row>
    <row r="223" spans="1:14">
      <c r="A223" s="231" t="s">
        <v>80</v>
      </c>
      <c r="B223" s="620">
        <f>IF(B218&lt;&gt;0,SUM(B212*100/B218),0)</f>
        <v>0</v>
      </c>
      <c r="C223" s="620">
        <f t="shared" ref="C223:M223" si="40">IF(C218&lt;&gt;0,SUM(C212*100/C218),0)</f>
        <v>0</v>
      </c>
      <c r="D223" s="620">
        <f t="shared" si="40"/>
        <v>0</v>
      </c>
      <c r="E223" s="620">
        <f t="shared" si="40"/>
        <v>0</v>
      </c>
      <c r="F223" s="620">
        <f t="shared" si="40"/>
        <v>0</v>
      </c>
      <c r="G223" s="620">
        <f t="shared" si="40"/>
        <v>0</v>
      </c>
      <c r="H223" s="620">
        <f t="shared" si="40"/>
        <v>0</v>
      </c>
      <c r="I223" s="620">
        <f t="shared" si="40"/>
        <v>0</v>
      </c>
      <c r="J223" s="620">
        <f t="shared" si="40"/>
        <v>0</v>
      </c>
      <c r="K223" s="620">
        <f t="shared" si="40"/>
        <v>0</v>
      </c>
      <c r="L223" s="620">
        <f t="shared" si="40"/>
        <v>0</v>
      </c>
      <c r="M223" s="620">
        <f t="shared" si="40"/>
        <v>0</v>
      </c>
      <c r="N223" s="630">
        <f>SUM(B223:M223)/12</f>
        <v>0</v>
      </c>
    </row>
    <row r="224" spans="1:14" ht="13.5" thickBot="1">
      <c r="A224" s="247" t="s">
        <v>81</v>
      </c>
      <c r="B224" s="625">
        <f>IF(B218&lt;&gt;0,SUM(B213*100/B218),0)</f>
        <v>0</v>
      </c>
      <c r="C224" s="625">
        <f t="shared" ref="C224:M224" si="41">IF(C218&lt;&gt;0,SUM(C213*100/C218),0)</f>
        <v>0</v>
      </c>
      <c r="D224" s="625">
        <f t="shared" si="41"/>
        <v>0</v>
      </c>
      <c r="E224" s="625">
        <f t="shared" si="41"/>
        <v>0</v>
      </c>
      <c r="F224" s="625">
        <f t="shared" si="41"/>
        <v>0</v>
      </c>
      <c r="G224" s="625">
        <f t="shared" si="41"/>
        <v>0</v>
      </c>
      <c r="H224" s="625">
        <f t="shared" si="41"/>
        <v>0</v>
      </c>
      <c r="I224" s="625">
        <f t="shared" si="41"/>
        <v>0</v>
      </c>
      <c r="J224" s="625">
        <f t="shared" si="41"/>
        <v>0</v>
      </c>
      <c r="K224" s="625">
        <f t="shared" si="41"/>
        <v>0</v>
      </c>
      <c r="L224" s="625">
        <f t="shared" si="41"/>
        <v>0</v>
      </c>
      <c r="M224" s="625">
        <f t="shared" si="41"/>
        <v>0</v>
      </c>
      <c r="N224" s="630">
        <f>SUM(B224:M224)/12</f>
        <v>0</v>
      </c>
    </row>
    <row r="225" spans="1:14" ht="13.5" thickBot="1">
      <c r="A225" s="249" t="s">
        <v>82</v>
      </c>
      <c r="B225" s="632">
        <f t="shared" ref="B225" si="42">SUM(B223:B223)</f>
        <v>0</v>
      </c>
      <c r="C225" s="632">
        <f t="shared" ref="C225:M225" si="43">SUM(C223:C223)</f>
        <v>0</v>
      </c>
      <c r="D225" s="632">
        <f t="shared" si="43"/>
        <v>0</v>
      </c>
      <c r="E225" s="632">
        <f t="shared" si="43"/>
        <v>0</v>
      </c>
      <c r="F225" s="632">
        <f t="shared" si="43"/>
        <v>0</v>
      </c>
      <c r="G225" s="632">
        <f t="shared" si="43"/>
        <v>0</v>
      </c>
      <c r="H225" s="632">
        <f t="shared" si="43"/>
        <v>0</v>
      </c>
      <c r="I225" s="632">
        <f t="shared" si="43"/>
        <v>0</v>
      </c>
      <c r="J225" s="632">
        <f t="shared" si="43"/>
        <v>0</v>
      </c>
      <c r="K225" s="632">
        <f t="shared" si="43"/>
        <v>0</v>
      </c>
      <c r="L225" s="632">
        <f t="shared" si="43"/>
        <v>0</v>
      </c>
      <c r="M225" s="632">
        <f t="shared" si="43"/>
        <v>0</v>
      </c>
      <c r="N225" s="633">
        <f>SUM(N223:N224)</f>
        <v>0</v>
      </c>
    </row>
    <row r="226" spans="1:14">
      <c r="A226" s="243" t="s">
        <v>83</v>
      </c>
      <c r="B226" s="261"/>
      <c r="C226" s="261"/>
      <c r="D226" s="634">
        <f>SUM(B225:D225)/3</f>
        <v>0</v>
      </c>
      <c r="E226" s="261"/>
      <c r="F226" s="261"/>
      <c r="G226" s="634">
        <f>SUM(E225,F225,G225)/3</f>
        <v>0</v>
      </c>
      <c r="H226" s="261"/>
      <c r="I226" s="261"/>
      <c r="J226" s="634">
        <f>SUM(H225,I225,J225)/3</f>
        <v>0</v>
      </c>
      <c r="K226" s="261"/>
      <c r="L226" s="261"/>
      <c r="M226" s="634">
        <f>SUM(K225,L225,M225)/3</f>
        <v>0</v>
      </c>
      <c r="N226" s="635">
        <f>SUM(D226:M226)/4</f>
        <v>0</v>
      </c>
    </row>
    <row r="227" spans="1:14">
      <c r="A227" s="243" t="s">
        <v>84</v>
      </c>
      <c r="B227" s="261"/>
      <c r="C227" s="261"/>
      <c r="D227" s="262"/>
      <c r="E227" s="261"/>
      <c r="F227" s="261"/>
      <c r="G227" s="262"/>
      <c r="H227" s="261"/>
      <c r="I227" s="261"/>
      <c r="J227" s="262"/>
      <c r="K227" s="261"/>
      <c r="L227" s="261"/>
      <c r="M227" s="262"/>
      <c r="N227" s="630">
        <f>SUM(D227:G227,J227,M227)/4</f>
        <v>0</v>
      </c>
    </row>
    <row r="228" spans="1:14">
      <c r="A228" s="243"/>
      <c r="B228" s="261"/>
      <c r="C228" s="261"/>
      <c r="D228" s="261"/>
      <c r="E228" s="261"/>
      <c r="F228" s="261"/>
      <c r="G228" s="261"/>
      <c r="H228" s="261"/>
      <c r="I228" s="261"/>
      <c r="J228" s="261"/>
      <c r="K228" s="261"/>
      <c r="L228" s="261"/>
      <c r="M228" s="261"/>
      <c r="N228" s="261"/>
    </row>
    <row r="229" spans="1:14">
      <c r="A229" s="231" t="s">
        <v>85</v>
      </c>
      <c r="B229" s="620">
        <f>IF(B218&lt;&gt;0,B216*100/B218,0)</f>
        <v>0</v>
      </c>
      <c r="C229" s="620">
        <f t="shared" ref="C229:M229" si="44">IF(C218&lt;&gt;0,C216*100/C218,0)</f>
        <v>0</v>
      </c>
      <c r="D229" s="620">
        <f t="shared" si="44"/>
        <v>0</v>
      </c>
      <c r="E229" s="620">
        <f t="shared" si="44"/>
        <v>0</v>
      </c>
      <c r="F229" s="620">
        <f t="shared" si="44"/>
        <v>0</v>
      </c>
      <c r="G229" s="620">
        <f t="shared" si="44"/>
        <v>0</v>
      </c>
      <c r="H229" s="620">
        <f t="shared" si="44"/>
        <v>0</v>
      </c>
      <c r="I229" s="620">
        <f t="shared" si="44"/>
        <v>0</v>
      </c>
      <c r="J229" s="620">
        <f t="shared" si="44"/>
        <v>0</v>
      </c>
      <c r="K229" s="620">
        <f t="shared" si="44"/>
        <v>0</v>
      </c>
      <c r="L229" s="620">
        <f t="shared" si="44"/>
        <v>0</v>
      </c>
      <c r="M229" s="620">
        <f t="shared" si="44"/>
        <v>0</v>
      </c>
      <c r="N229" s="630">
        <f>SUM(B229:M229)/12</f>
        <v>0</v>
      </c>
    </row>
    <row r="230" spans="1:14">
      <c r="A230" s="231" t="s">
        <v>86</v>
      </c>
      <c r="B230" s="620">
        <f>IF(B218&lt;&gt;0,B214*100/B218,0)</f>
        <v>0</v>
      </c>
      <c r="C230" s="620">
        <f t="shared" ref="C230:M230" si="45">IF(C218&lt;&gt;0,C214*100/C218,0)</f>
        <v>0</v>
      </c>
      <c r="D230" s="620">
        <f t="shared" si="45"/>
        <v>0</v>
      </c>
      <c r="E230" s="620">
        <f t="shared" si="45"/>
        <v>0</v>
      </c>
      <c r="F230" s="620">
        <f t="shared" si="45"/>
        <v>0</v>
      </c>
      <c r="G230" s="620">
        <f t="shared" si="45"/>
        <v>0</v>
      </c>
      <c r="H230" s="620">
        <f t="shared" si="45"/>
        <v>0</v>
      </c>
      <c r="I230" s="620">
        <f t="shared" si="45"/>
        <v>0</v>
      </c>
      <c r="J230" s="620">
        <f t="shared" si="45"/>
        <v>0</v>
      </c>
      <c r="K230" s="620">
        <f t="shared" si="45"/>
        <v>0</v>
      </c>
      <c r="L230" s="620">
        <f t="shared" si="45"/>
        <v>0</v>
      </c>
      <c r="M230" s="620">
        <f t="shared" si="45"/>
        <v>0</v>
      </c>
      <c r="N230" s="630">
        <f>SUM(B230:M230)/12</f>
        <v>0</v>
      </c>
    </row>
    <row r="231" spans="1:14" ht="13.5" thickBot="1">
      <c r="A231" s="231" t="s">
        <v>87</v>
      </c>
      <c r="B231" s="620">
        <f>IF(B218&lt;&gt;0,B210*100/B218,0)</f>
        <v>0</v>
      </c>
      <c r="C231" s="620">
        <f t="shared" ref="C231:M231" si="46">IF(C218&lt;&gt;0,C210*100/C218,0)</f>
        <v>0</v>
      </c>
      <c r="D231" s="620">
        <f t="shared" si="46"/>
        <v>0</v>
      </c>
      <c r="E231" s="620">
        <f t="shared" si="46"/>
        <v>0</v>
      </c>
      <c r="F231" s="620">
        <f t="shared" si="46"/>
        <v>0</v>
      </c>
      <c r="G231" s="620">
        <f t="shared" si="46"/>
        <v>0</v>
      </c>
      <c r="H231" s="620">
        <f t="shared" si="46"/>
        <v>0</v>
      </c>
      <c r="I231" s="620">
        <f t="shared" si="46"/>
        <v>0</v>
      </c>
      <c r="J231" s="620">
        <f t="shared" si="46"/>
        <v>0</v>
      </c>
      <c r="K231" s="620">
        <f t="shared" si="46"/>
        <v>0</v>
      </c>
      <c r="L231" s="620">
        <f t="shared" si="46"/>
        <v>0</v>
      </c>
      <c r="M231" s="620">
        <f t="shared" si="46"/>
        <v>0</v>
      </c>
      <c r="N231" s="631">
        <f>SUM(B231:M231)/12</f>
        <v>0</v>
      </c>
    </row>
    <row r="232" spans="1:14" ht="13.5" thickBot="1">
      <c r="A232" s="255" t="s">
        <v>88</v>
      </c>
      <c r="B232" s="636">
        <f>IF(B218&lt;&gt;0,SUM(B207-B218)*100/B218,0)</f>
        <v>0</v>
      </c>
      <c r="C232" s="636">
        <f t="shared" ref="C232:M232" si="47">IF(C218&lt;&gt;0,SUM(C207-C218)*100/C218,0)</f>
        <v>0</v>
      </c>
      <c r="D232" s="636">
        <f t="shared" si="47"/>
        <v>0</v>
      </c>
      <c r="E232" s="636">
        <f t="shared" si="47"/>
        <v>0</v>
      </c>
      <c r="F232" s="636">
        <f t="shared" si="47"/>
        <v>0</v>
      </c>
      <c r="G232" s="636">
        <f t="shared" si="47"/>
        <v>0</v>
      </c>
      <c r="H232" s="636">
        <f t="shared" si="47"/>
        <v>0</v>
      </c>
      <c r="I232" s="636">
        <f t="shared" si="47"/>
        <v>0</v>
      </c>
      <c r="J232" s="636">
        <f t="shared" si="47"/>
        <v>0</v>
      </c>
      <c r="K232" s="636">
        <f t="shared" si="47"/>
        <v>0</v>
      </c>
      <c r="L232" s="636">
        <f t="shared" si="47"/>
        <v>0</v>
      </c>
      <c r="M232" s="638">
        <f t="shared" si="47"/>
        <v>0</v>
      </c>
      <c r="N232" s="639">
        <f>SUM(B232:M232)/12</f>
        <v>0</v>
      </c>
    </row>
    <row r="233" spans="1:14">
      <c r="A233" s="243"/>
      <c r="B233" s="244"/>
      <c r="C233" s="244"/>
      <c r="D233" s="244"/>
      <c r="E233" s="244"/>
      <c r="F233" s="244"/>
      <c r="G233" s="244"/>
      <c r="H233" s="244"/>
      <c r="I233" s="244"/>
      <c r="J233" s="244"/>
      <c r="K233" s="244"/>
      <c r="L233" s="244"/>
      <c r="M233" s="244"/>
      <c r="N233" s="227"/>
    </row>
    <row r="234" spans="1:14">
      <c r="A234" s="258" t="s">
        <v>89</v>
      </c>
      <c r="B234" s="244"/>
      <c r="C234" s="244"/>
      <c r="D234" s="244"/>
      <c r="E234" s="244"/>
      <c r="F234" s="244"/>
      <c r="G234" s="244"/>
      <c r="H234" s="244"/>
      <c r="I234" s="244"/>
      <c r="J234" s="244"/>
      <c r="K234" s="244"/>
      <c r="L234" s="244"/>
      <c r="M234" s="244"/>
      <c r="N234" s="227"/>
    </row>
    <row r="235" spans="1:14">
      <c r="A235" s="231" t="s">
        <v>90</v>
      </c>
      <c r="B235" s="259">
        <v>12</v>
      </c>
      <c r="C235" s="259">
        <v>12</v>
      </c>
      <c r="D235" s="259">
        <v>12</v>
      </c>
      <c r="E235" s="259">
        <v>12</v>
      </c>
      <c r="F235" s="259">
        <f t="shared" ref="F235:N235" si="48">E238</f>
        <v>12</v>
      </c>
      <c r="G235" s="259">
        <f t="shared" si="48"/>
        <v>12</v>
      </c>
      <c r="H235" s="259">
        <f t="shared" si="48"/>
        <v>12</v>
      </c>
      <c r="I235" s="259">
        <f t="shared" si="48"/>
        <v>12</v>
      </c>
      <c r="J235" s="259">
        <f t="shared" si="48"/>
        <v>12</v>
      </c>
      <c r="K235" s="259">
        <f t="shared" si="48"/>
        <v>12</v>
      </c>
      <c r="L235" s="259">
        <f t="shared" si="48"/>
        <v>12</v>
      </c>
      <c r="M235" s="259">
        <f t="shared" si="48"/>
        <v>12</v>
      </c>
      <c r="N235" s="259">
        <f t="shared" si="48"/>
        <v>12</v>
      </c>
    </row>
    <row r="236" spans="1:14">
      <c r="A236" s="231" t="s">
        <v>91</v>
      </c>
      <c r="B236" s="259"/>
      <c r="C236" s="259"/>
      <c r="D236" s="259"/>
      <c r="E236" s="259"/>
      <c r="F236" s="259"/>
      <c r="G236" s="259"/>
      <c r="H236" s="259"/>
      <c r="I236" s="259"/>
      <c r="J236" s="259"/>
      <c r="K236" s="259"/>
      <c r="L236" s="259"/>
      <c r="M236" s="259"/>
      <c r="N236" s="259">
        <f>SUM(B236:M236)/12</f>
        <v>0</v>
      </c>
    </row>
    <row r="237" spans="1:14">
      <c r="A237" s="231" t="s">
        <v>92</v>
      </c>
      <c r="B237" s="259"/>
      <c r="C237" s="259"/>
      <c r="D237" s="259"/>
      <c r="E237" s="259"/>
      <c r="F237" s="259"/>
      <c r="G237" s="259"/>
      <c r="H237" s="259"/>
      <c r="I237" s="259"/>
      <c r="J237" s="259"/>
      <c r="K237" s="259"/>
      <c r="L237" s="259"/>
      <c r="M237" s="259"/>
      <c r="N237" s="259">
        <f>SUM(B236:M236)/12</f>
        <v>0</v>
      </c>
    </row>
    <row r="238" spans="1:14">
      <c r="A238" s="231" t="s">
        <v>89</v>
      </c>
      <c r="B238" s="259">
        <f t="shared" ref="B238:M238" si="49">SUM(B235+B236-B237)</f>
        <v>12</v>
      </c>
      <c r="C238" s="259">
        <f t="shared" si="49"/>
        <v>12</v>
      </c>
      <c r="D238" s="259">
        <f t="shared" si="49"/>
        <v>12</v>
      </c>
      <c r="E238" s="259">
        <f t="shared" si="49"/>
        <v>12</v>
      </c>
      <c r="F238" s="259">
        <f t="shared" si="49"/>
        <v>12</v>
      </c>
      <c r="G238" s="259">
        <f t="shared" si="49"/>
        <v>12</v>
      </c>
      <c r="H238" s="259">
        <f t="shared" si="49"/>
        <v>12</v>
      </c>
      <c r="I238" s="259">
        <f t="shared" si="49"/>
        <v>12</v>
      </c>
      <c r="J238" s="259">
        <f t="shared" si="49"/>
        <v>12</v>
      </c>
      <c r="K238" s="259">
        <f t="shared" si="49"/>
        <v>12</v>
      </c>
      <c r="L238" s="259">
        <f t="shared" si="49"/>
        <v>12</v>
      </c>
      <c r="M238" s="259">
        <f t="shared" si="49"/>
        <v>12</v>
      </c>
      <c r="N238" s="259">
        <f>SUM(B237:M237)/12</f>
        <v>0</v>
      </c>
    </row>
    <row r="239" spans="1:14">
      <c r="A239" s="231" t="s">
        <v>93</v>
      </c>
      <c r="B239" s="260">
        <f t="shared" ref="B239:M239" si="50">SUM(B238*100)/B235-100</f>
        <v>0</v>
      </c>
      <c r="C239" s="260">
        <f t="shared" si="50"/>
        <v>0</v>
      </c>
      <c r="D239" s="260">
        <f t="shared" si="50"/>
        <v>0</v>
      </c>
      <c r="E239" s="260">
        <f t="shared" si="50"/>
        <v>0</v>
      </c>
      <c r="F239" s="260">
        <f t="shared" si="50"/>
        <v>0</v>
      </c>
      <c r="G239" s="260">
        <f t="shared" si="50"/>
        <v>0</v>
      </c>
      <c r="H239" s="260">
        <f t="shared" si="50"/>
        <v>0</v>
      </c>
      <c r="I239" s="260">
        <f t="shared" si="50"/>
        <v>0</v>
      </c>
      <c r="J239" s="260">
        <f t="shared" si="50"/>
        <v>0</v>
      </c>
      <c r="K239" s="260">
        <f t="shared" si="50"/>
        <v>0</v>
      </c>
      <c r="L239" s="260">
        <f t="shared" si="50"/>
        <v>0</v>
      </c>
      <c r="M239" s="260">
        <f t="shared" si="50"/>
        <v>0</v>
      </c>
      <c r="N239" s="259"/>
    </row>
    <row r="240" spans="1:14">
      <c r="A240" s="243" t="s">
        <v>94</v>
      </c>
      <c r="B240" s="261"/>
      <c r="C240" s="261"/>
      <c r="D240" s="262">
        <f>SUM(B239:D239/3)</f>
        <v>0</v>
      </c>
      <c r="E240" s="261"/>
      <c r="F240" s="261"/>
      <c r="G240" s="262">
        <f>SUM(E239:G239)/3</f>
        <v>0</v>
      </c>
      <c r="H240" s="261"/>
      <c r="I240" s="261"/>
      <c r="J240" s="262">
        <f>SUM(H239:J239)/3</f>
        <v>0</v>
      </c>
      <c r="K240" s="261"/>
      <c r="L240" s="261"/>
      <c r="M240" s="262">
        <f>SUM(K239:M239)/3</f>
        <v>0</v>
      </c>
      <c r="N240" s="261"/>
    </row>
    <row r="241" spans="1:17">
      <c r="A241" s="243"/>
      <c r="B241" s="244"/>
      <c r="C241" s="244"/>
      <c r="D241" s="244"/>
      <c r="E241" s="244"/>
      <c r="F241" s="244"/>
      <c r="G241" s="244"/>
      <c r="H241" s="244"/>
      <c r="I241" s="244"/>
      <c r="J241" s="244"/>
      <c r="K241" s="244"/>
      <c r="L241" s="244"/>
      <c r="M241" s="244"/>
      <c r="N241" s="227"/>
    </row>
    <row r="242" spans="1:17" ht="15.75">
      <c r="E242" s="282"/>
      <c r="M242" s="244"/>
      <c r="N242" s="227"/>
    </row>
    <row r="243" spans="1:17">
      <c r="A243" s="299"/>
      <c r="B243" s="283" t="s">
        <v>160</v>
      </c>
      <c r="C243" s="377"/>
      <c r="D243" s="377"/>
      <c r="E243" s="377"/>
      <c r="F243" s="288"/>
      <c r="N243" s="227"/>
    </row>
    <row r="244" spans="1:17">
      <c r="A244" s="691"/>
      <c r="B244" s="455"/>
      <c r="C244" s="455" t="s">
        <v>161</v>
      </c>
      <c r="D244" s="510"/>
      <c r="E244" s="270" t="s">
        <v>162</v>
      </c>
      <c r="F244" s="487" t="s">
        <v>163</v>
      </c>
    </row>
    <row r="245" spans="1:17">
      <c r="A245" s="691"/>
      <c r="B245" s="286"/>
      <c r="C245" s="303"/>
      <c r="D245" s="289"/>
      <c r="E245" s="292"/>
      <c r="F245" s="311"/>
      <c r="H245" s="584" t="s">
        <v>164</v>
      </c>
      <c r="N245" s="227"/>
    </row>
    <row r="246" spans="1:17">
      <c r="A246" s="691"/>
      <c r="B246" s="286"/>
      <c r="C246" s="303"/>
      <c r="D246" s="289"/>
      <c r="E246" s="292"/>
      <c r="F246" s="290"/>
      <c r="N246" s="227"/>
    </row>
    <row r="247" spans="1:17" ht="13.5" thickBot="1">
      <c r="A247" s="691"/>
      <c r="B247" s="309" t="s">
        <v>165</v>
      </c>
      <c r="C247" s="528" t="s">
        <v>166</v>
      </c>
      <c r="D247" s="314"/>
      <c r="E247" s="312"/>
      <c r="F247" s="692">
        <f>'[6]Øvrige Kontrakter 2015'!$K$44</f>
        <v>2699795</v>
      </c>
      <c r="N247" s="300"/>
    </row>
    <row r="248" spans="1:17" ht="13.5" thickBot="1">
      <c r="A248" s="691"/>
      <c r="B248" s="382" t="s">
        <v>167</v>
      </c>
      <c r="C248" s="383"/>
      <c r="D248" s="384"/>
      <c r="E248" s="385"/>
      <c r="F248" s="488">
        <f>SUM(F245:F247)</f>
        <v>2699795</v>
      </c>
      <c r="N248" s="227"/>
    </row>
    <row r="249" spans="1:17">
      <c r="A249" s="691"/>
      <c r="B249" s="286" t="s">
        <v>168</v>
      </c>
      <c r="C249" s="284"/>
      <c r="D249" s="284"/>
      <c r="E249" s="386"/>
      <c r="F249" s="393">
        <f>F248/12</f>
        <v>224982.91666666666</v>
      </c>
      <c r="N249" s="227"/>
    </row>
    <row r="250" spans="1:17">
      <c r="A250" s="299"/>
      <c r="B250" s="244"/>
      <c r="C250" s="244"/>
      <c r="D250" s="244"/>
      <c r="E250" s="320"/>
      <c r="F250" s="244"/>
      <c r="G250" s="244"/>
      <c r="H250" s="244"/>
      <c r="N250" s="227"/>
    </row>
    <row r="251" spans="1:17">
      <c r="A251" s="258" t="s">
        <v>113</v>
      </c>
      <c r="B251" s="244"/>
      <c r="C251" s="244"/>
      <c r="D251" s="244"/>
      <c r="E251" s="244"/>
      <c r="F251" s="244"/>
      <c r="G251" s="244"/>
      <c r="H251" s="244"/>
      <c r="I251" s="244"/>
      <c r="J251" s="244"/>
      <c r="K251" s="244"/>
      <c r="L251" s="244"/>
      <c r="M251" s="244"/>
      <c r="N251" s="227"/>
    </row>
    <row r="252" spans="1:17">
      <c r="A252" s="525" t="s">
        <v>112</v>
      </c>
      <c r="B252" s="328"/>
      <c r="C252" s="232" t="s">
        <v>44</v>
      </c>
      <c r="D252" s="232" t="s">
        <v>45</v>
      </c>
      <c r="E252" s="232" t="s">
        <v>46</v>
      </c>
      <c r="F252" s="232" t="s">
        <v>47</v>
      </c>
      <c r="G252" s="232" t="s">
        <v>48</v>
      </c>
      <c r="H252" s="232" t="s">
        <v>49</v>
      </c>
      <c r="I252" s="232" t="s">
        <v>38</v>
      </c>
      <c r="J252" s="232" t="s">
        <v>39</v>
      </c>
      <c r="K252" s="232" t="s">
        <v>40</v>
      </c>
      <c r="L252" s="232" t="s">
        <v>41</v>
      </c>
      <c r="M252" s="232" t="s">
        <v>42</v>
      </c>
      <c r="N252" s="232" t="s">
        <v>43</v>
      </c>
      <c r="O252" s="228"/>
    </row>
    <row r="253" spans="1:17" ht="13.5" thickBot="1">
      <c r="B253" s="247" t="s">
        <v>116</v>
      </c>
      <c r="C253" s="331">
        <f t="shared" ref="C253:N253" si="51">$F$249</f>
        <v>224982.91666666666</v>
      </c>
      <c r="D253" s="331">
        <f t="shared" si="51"/>
        <v>224982.91666666666</v>
      </c>
      <c r="E253" s="331">
        <f t="shared" si="51"/>
        <v>224982.91666666666</v>
      </c>
      <c r="F253" s="331">
        <f t="shared" si="51"/>
        <v>224982.91666666666</v>
      </c>
      <c r="G253" s="331">
        <f t="shared" si="51"/>
        <v>224982.91666666666</v>
      </c>
      <c r="H253" s="331">
        <f t="shared" si="51"/>
        <v>224982.91666666666</v>
      </c>
      <c r="I253" s="331">
        <f t="shared" si="51"/>
        <v>224982.91666666666</v>
      </c>
      <c r="J253" s="331">
        <f t="shared" si="51"/>
        <v>224982.91666666666</v>
      </c>
      <c r="K253" s="331">
        <f t="shared" si="51"/>
        <v>224982.91666666666</v>
      </c>
      <c r="L253" s="331">
        <f t="shared" si="51"/>
        <v>224982.91666666666</v>
      </c>
      <c r="M253" s="331">
        <f t="shared" si="51"/>
        <v>224982.91666666666</v>
      </c>
      <c r="N253" s="331">
        <f t="shared" si="51"/>
        <v>224982.91666666666</v>
      </c>
      <c r="O253" s="331">
        <f t="shared" ref="O253:O278" si="52">SUM(C253:N253)</f>
        <v>2699795</v>
      </c>
      <c r="P253" s="708"/>
    </row>
    <row r="254" spans="1:17" ht="13.5" thickBot="1">
      <c r="A254" s="226">
        <v>9845400000</v>
      </c>
      <c r="B254" s="333" t="s">
        <v>169</v>
      </c>
      <c r="C254" s="395">
        <f>C253</f>
        <v>224982.91666666666</v>
      </c>
      <c r="D254" s="395">
        <f t="shared" ref="D254:N254" si="53">D253</f>
        <v>224982.91666666666</v>
      </c>
      <c r="E254" s="395">
        <f t="shared" si="53"/>
        <v>224982.91666666666</v>
      </c>
      <c r="F254" s="395">
        <f t="shared" si="53"/>
        <v>224982.91666666666</v>
      </c>
      <c r="G254" s="395">
        <f t="shared" si="53"/>
        <v>224982.91666666666</v>
      </c>
      <c r="H254" s="395">
        <f t="shared" si="53"/>
        <v>224982.91666666666</v>
      </c>
      <c r="I254" s="395">
        <f t="shared" si="53"/>
        <v>224982.91666666666</v>
      </c>
      <c r="J254" s="395">
        <f t="shared" si="53"/>
        <v>224982.91666666666</v>
      </c>
      <c r="K254" s="395">
        <f t="shared" si="53"/>
        <v>224982.91666666666</v>
      </c>
      <c r="L254" s="395">
        <f t="shared" si="53"/>
        <v>224982.91666666666</v>
      </c>
      <c r="M254" s="395">
        <f t="shared" si="53"/>
        <v>224982.91666666666</v>
      </c>
      <c r="N254" s="395">
        <f t="shared" si="53"/>
        <v>224982.91666666666</v>
      </c>
      <c r="O254" s="395">
        <f t="shared" si="52"/>
        <v>2699795</v>
      </c>
      <c r="P254" s="708"/>
    </row>
    <row r="255" spans="1:17">
      <c r="A255" s="226">
        <v>9870000000</v>
      </c>
      <c r="B255" s="336" t="s">
        <v>170</v>
      </c>
      <c r="C255" s="365"/>
      <c r="D255" s="365"/>
      <c r="E255" s="365"/>
      <c r="F255" s="365"/>
      <c r="G255" s="365"/>
      <c r="H255" s="693"/>
      <c r="I255" s="365"/>
      <c r="J255" s="365"/>
      <c r="K255" s="365"/>
      <c r="L255" s="365"/>
      <c r="M255" s="365"/>
      <c r="N255" s="365"/>
      <c r="O255" s="365">
        <f t="shared" si="52"/>
        <v>0</v>
      </c>
      <c r="P255" s="708">
        <v>1875000</v>
      </c>
      <c r="Q255" s="291"/>
    </row>
    <row r="256" spans="1:17">
      <c r="A256" s="226">
        <v>9840000000</v>
      </c>
      <c r="B256" s="336" t="s">
        <v>171</v>
      </c>
      <c r="C256" s="365"/>
      <c r="D256" s="365"/>
      <c r="E256" s="365"/>
      <c r="F256" s="365"/>
      <c r="G256" s="365"/>
      <c r="H256" s="365"/>
      <c r="I256" s="365"/>
      <c r="J256" s="365"/>
      <c r="K256" s="365"/>
      <c r="L256" s="365"/>
      <c r="M256" s="365"/>
      <c r="N256" s="365"/>
      <c r="O256" s="365">
        <f t="shared" si="52"/>
        <v>0</v>
      </c>
      <c r="P256" s="708">
        <v>125000</v>
      </c>
    </row>
    <row r="257" spans="1:18">
      <c r="A257" s="226">
        <v>7909900000</v>
      </c>
      <c r="B257" s="228" t="s">
        <v>121</v>
      </c>
      <c r="C257" s="329"/>
      <c r="D257" s="329"/>
      <c r="E257" s="329"/>
      <c r="F257" s="329"/>
      <c r="G257" s="329"/>
      <c r="H257" s="358"/>
      <c r="I257" s="329"/>
      <c r="J257" s="329"/>
      <c r="K257" s="329"/>
      <c r="L257" s="329"/>
      <c r="M257" s="329"/>
      <c r="N257" s="329"/>
      <c r="O257" s="365">
        <f t="shared" si="52"/>
        <v>0</v>
      </c>
      <c r="P257" s="708">
        <v>80000</v>
      </c>
    </row>
    <row r="258" spans="1:18">
      <c r="B258" s="349"/>
      <c r="C258" s="329"/>
      <c r="D258" s="329"/>
      <c r="E258" s="329"/>
      <c r="F258" s="329"/>
      <c r="G258" s="329"/>
      <c r="H258" s="358"/>
      <c r="I258" s="329"/>
      <c r="J258" s="329"/>
      <c r="K258" s="329"/>
      <c r="L258" s="329"/>
      <c r="M258" s="329"/>
      <c r="N258" s="329"/>
      <c r="O258" s="365">
        <f t="shared" si="52"/>
        <v>0</v>
      </c>
      <c r="P258" s="708"/>
    </row>
    <row r="259" spans="1:18" ht="13.5" thickBot="1">
      <c r="B259" s="228"/>
      <c r="C259" s="357"/>
      <c r="D259" s="357"/>
      <c r="E259" s="357"/>
      <c r="F259" s="357"/>
      <c r="G259" s="357"/>
      <c r="H259" s="694"/>
      <c r="I259" s="357"/>
      <c r="J259" s="357"/>
      <c r="K259" s="329"/>
      <c r="L259" s="357"/>
      <c r="M259" s="357"/>
      <c r="N259" s="357"/>
      <c r="O259" s="365">
        <f t="shared" si="52"/>
        <v>0</v>
      </c>
      <c r="P259" s="708"/>
    </row>
    <row r="260" spans="1:18" ht="13.5" thickBot="1">
      <c r="B260" s="361" t="s">
        <v>112</v>
      </c>
      <c r="C260" s="395">
        <f t="shared" ref="C260:N260" si="54">SUM(C255:C259)</f>
        <v>0</v>
      </c>
      <c r="D260" s="395">
        <f t="shared" si="54"/>
        <v>0</v>
      </c>
      <c r="E260" s="395">
        <f t="shared" si="54"/>
        <v>0</v>
      </c>
      <c r="F260" s="395">
        <f t="shared" si="54"/>
        <v>0</v>
      </c>
      <c r="G260" s="395">
        <f t="shared" si="54"/>
        <v>0</v>
      </c>
      <c r="H260" s="395">
        <f t="shared" si="54"/>
        <v>0</v>
      </c>
      <c r="I260" s="395">
        <f t="shared" si="54"/>
        <v>0</v>
      </c>
      <c r="J260" s="395">
        <f t="shared" si="54"/>
        <v>0</v>
      </c>
      <c r="K260" s="395">
        <f t="shared" si="54"/>
        <v>0</v>
      </c>
      <c r="L260" s="395">
        <f t="shared" si="54"/>
        <v>0</v>
      </c>
      <c r="M260" s="395">
        <f t="shared" si="54"/>
        <v>0</v>
      </c>
      <c r="N260" s="395">
        <f t="shared" si="54"/>
        <v>0</v>
      </c>
      <c r="O260" s="395">
        <f t="shared" si="52"/>
        <v>0</v>
      </c>
      <c r="P260" s="708"/>
    </row>
    <row r="261" spans="1:18" ht="13.5" thickBot="1">
      <c r="B261" s="349" t="s">
        <v>127</v>
      </c>
      <c r="C261" s="332"/>
      <c r="D261" s="332"/>
      <c r="E261" s="332"/>
      <c r="F261" s="332"/>
      <c r="G261" s="332"/>
      <c r="H261" s="398"/>
      <c r="I261" s="332"/>
      <c r="J261" s="332"/>
      <c r="K261" s="332"/>
      <c r="L261" s="332"/>
      <c r="M261" s="332"/>
      <c r="N261" s="332"/>
      <c r="O261" s="331">
        <f t="shared" si="52"/>
        <v>0</v>
      </c>
      <c r="P261" s="708"/>
    </row>
    <row r="262" spans="1:18" ht="13.5" thickBot="1">
      <c r="B262" s="690" t="s">
        <v>129</v>
      </c>
      <c r="C262" s="334">
        <f t="shared" ref="C262:N262" si="55">SUM(C254,C260,C261)</f>
        <v>224982.91666666666</v>
      </c>
      <c r="D262" s="334">
        <f t="shared" si="55"/>
        <v>224982.91666666666</v>
      </c>
      <c r="E262" s="334">
        <f t="shared" si="55"/>
        <v>224982.91666666666</v>
      </c>
      <c r="F262" s="334">
        <f t="shared" si="55"/>
        <v>224982.91666666666</v>
      </c>
      <c r="G262" s="334">
        <f t="shared" si="55"/>
        <v>224982.91666666666</v>
      </c>
      <c r="H262" s="334">
        <f t="shared" si="55"/>
        <v>224982.91666666666</v>
      </c>
      <c r="I262" s="334">
        <f t="shared" si="55"/>
        <v>224982.91666666666</v>
      </c>
      <c r="J262" s="334">
        <f t="shared" si="55"/>
        <v>224982.91666666666</v>
      </c>
      <c r="K262" s="334">
        <f t="shared" si="55"/>
        <v>224982.91666666666</v>
      </c>
      <c r="L262" s="334">
        <f t="shared" si="55"/>
        <v>224982.91666666666</v>
      </c>
      <c r="M262" s="334">
        <f t="shared" si="55"/>
        <v>224982.91666666666</v>
      </c>
      <c r="N262" s="334">
        <f t="shared" si="55"/>
        <v>224982.91666666666</v>
      </c>
      <c r="O262" s="709">
        <f t="shared" si="52"/>
        <v>2699795</v>
      </c>
      <c r="P262" s="708"/>
    </row>
    <row r="263" spans="1:18">
      <c r="A263" s="525" t="s">
        <v>130</v>
      </c>
      <c r="B263" s="689" t="s">
        <v>172</v>
      </c>
      <c r="D263" s="357"/>
      <c r="E263" s="357"/>
      <c r="F263" s="357"/>
      <c r="G263" s="357"/>
      <c r="H263" s="357"/>
      <c r="I263" s="357"/>
      <c r="J263" s="357"/>
      <c r="K263" s="357"/>
      <c r="L263" s="357"/>
      <c r="M263" s="357"/>
      <c r="N263" s="357"/>
      <c r="O263" s="329">
        <f t="shared" si="52"/>
        <v>0</v>
      </c>
      <c r="P263" s="708" t="s">
        <v>173</v>
      </c>
      <c r="Q263" s="291">
        <v>1574800</v>
      </c>
    </row>
    <row r="264" spans="1:18">
      <c r="A264" s="226">
        <v>9845000000</v>
      </c>
      <c r="B264" s="228" t="s">
        <v>174</v>
      </c>
      <c r="C264" s="331"/>
      <c r="D264" s="331"/>
      <c r="E264" s="331"/>
      <c r="F264" s="331"/>
      <c r="G264" s="331"/>
      <c r="H264" s="331"/>
      <c r="I264" s="331"/>
      <c r="J264" s="331"/>
      <c r="K264" s="331"/>
      <c r="L264" s="331"/>
      <c r="M264" s="331"/>
      <c r="N264" s="331"/>
      <c r="O264" s="365">
        <f t="shared" si="52"/>
        <v>0</v>
      </c>
      <c r="P264" s="708">
        <v>40000</v>
      </c>
    </row>
    <row r="265" spans="1:18">
      <c r="A265" s="226">
        <v>4009900000</v>
      </c>
      <c r="B265" s="228" t="s">
        <v>136</v>
      </c>
      <c r="C265" s="331"/>
      <c r="D265" s="331"/>
      <c r="E265" s="331"/>
      <c r="F265" s="331"/>
      <c r="G265" s="331"/>
      <c r="H265" s="331"/>
      <c r="I265" s="331"/>
      <c r="J265" s="331"/>
      <c r="K265" s="331"/>
      <c r="L265" s="331"/>
      <c r="M265" s="331"/>
      <c r="N265" s="331"/>
      <c r="O265" s="365">
        <f t="shared" si="52"/>
        <v>0</v>
      </c>
      <c r="P265" s="708">
        <v>40000</v>
      </c>
      <c r="Q265" s="525"/>
    </row>
    <row r="266" spans="1:18">
      <c r="A266" s="226">
        <v>2709900000</v>
      </c>
      <c r="B266" s="228" t="s">
        <v>175</v>
      </c>
      <c r="C266" s="331"/>
      <c r="D266" s="331"/>
      <c r="E266" s="331"/>
      <c r="F266" s="331"/>
      <c r="G266" s="331"/>
      <c r="H266" s="331"/>
      <c r="I266" s="331"/>
      <c r="J266" s="331"/>
      <c r="K266" s="331"/>
      <c r="L266" s="331"/>
      <c r="M266" s="331"/>
      <c r="N266" s="331"/>
      <c r="O266" s="365">
        <f t="shared" si="52"/>
        <v>0</v>
      </c>
      <c r="P266" s="708">
        <v>200000</v>
      </c>
      <c r="Q266" s="584" t="s">
        <v>176</v>
      </c>
    </row>
    <row r="267" spans="1:18">
      <c r="A267" s="388">
        <v>2911800000</v>
      </c>
      <c r="B267" s="228" t="s">
        <v>135</v>
      </c>
      <c r="C267" s="331"/>
      <c r="D267" s="331"/>
      <c r="E267" s="331"/>
      <c r="F267" s="331"/>
      <c r="G267" s="331"/>
      <c r="H267" s="331"/>
      <c r="I267" s="331"/>
      <c r="J267" s="331"/>
      <c r="K267" s="331"/>
      <c r="L267" s="331"/>
      <c r="M267" s="331"/>
      <c r="N267" s="331"/>
      <c r="O267" s="365">
        <f t="shared" si="52"/>
        <v>0</v>
      </c>
      <c r="P267" s="708"/>
      <c r="Q267" s="525"/>
    </row>
    <row r="268" spans="1:18">
      <c r="A268" s="226">
        <v>2310100000</v>
      </c>
      <c r="B268" s="228" t="s">
        <v>177</v>
      </c>
      <c r="C268" s="331"/>
      <c r="D268" s="331"/>
      <c r="E268" s="331"/>
      <c r="F268" s="331"/>
      <c r="G268" s="331"/>
      <c r="H268" s="331"/>
      <c r="I268" s="331"/>
      <c r="J268" s="331"/>
      <c r="K268" s="331"/>
      <c r="L268" s="331"/>
      <c r="M268" s="331"/>
      <c r="N268" s="331"/>
      <c r="O268" s="365">
        <f t="shared" si="52"/>
        <v>0</v>
      </c>
      <c r="P268" s="708">
        <v>60000</v>
      </c>
    </row>
    <row r="269" spans="1:18">
      <c r="A269" s="388">
        <v>9845500000</v>
      </c>
      <c r="B269" s="228" t="s">
        <v>178</v>
      </c>
      <c r="C269" s="331"/>
      <c r="D269" s="331"/>
      <c r="E269" s="331"/>
      <c r="F269" s="331"/>
      <c r="G269" s="331"/>
      <c r="H269" s="331"/>
      <c r="I269" s="331"/>
      <c r="J269" s="331"/>
      <c r="K269" s="331"/>
      <c r="L269" s="331"/>
      <c r="M269" s="331"/>
      <c r="N269" s="331"/>
      <c r="O269" s="329">
        <f t="shared" si="52"/>
        <v>0</v>
      </c>
      <c r="P269" s="708">
        <v>130000</v>
      </c>
    </row>
    <row r="270" spans="1:18">
      <c r="A270" s="226">
        <v>4909900000</v>
      </c>
      <c r="B270" s="228" t="s">
        <v>179</v>
      </c>
      <c r="C270" s="331"/>
      <c r="D270" s="331"/>
      <c r="E270" s="331"/>
      <c r="F270" s="331"/>
      <c r="G270" s="331"/>
      <c r="H270" s="331"/>
      <c r="I270" s="331"/>
      <c r="J270" s="331"/>
      <c r="K270" s="331"/>
      <c r="L270" s="331"/>
      <c r="M270" s="331"/>
      <c r="N270" s="331"/>
      <c r="O270" s="329">
        <f t="shared" si="52"/>
        <v>0</v>
      </c>
      <c r="P270" s="708">
        <v>200000</v>
      </c>
    </row>
    <row r="271" spans="1:18">
      <c r="A271" s="226">
        <v>4516500000</v>
      </c>
      <c r="B271" s="228" t="s">
        <v>180</v>
      </c>
      <c r="C271" s="331"/>
      <c r="D271" s="331"/>
      <c r="E271" s="331"/>
      <c r="F271" s="331"/>
      <c r="G271" s="331"/>
      <c r="H271" s="331"/>
      <c r="I271" s="331"/>
      <c r="J271" s="331"/>
      <c r="K271" s="331"/>
      <c r="L271" s="331"/>
      <c r="M271" s="331"/>
      <c r="N271" s="331"/>
      <c r="O271" s="329">
        <f t="shared" si="52"/>
        <v>0</v>
      </c>
      <c r="P271" s="708">
        <v>80000</v>
      </c>
      <c r="R271" s="525"/>
    </row>
    <row r="272" spans="1:18">
      <c r="A272" s="226">
        <v>2909900000</v>
      </c>
      <c r="B272" s="228" t="s">
        <v>181</v>
      </c>
      <c r="C272" s="331"/>
      <c r="D272" s="331"/>
      <c r="E272" s="357"/>
      <c r="F272" s="331"/>
      <c r="G272" s="331"/>
      <c r="H272" s="331"/>
      <c r="I272" s="331"/>
      <c r="J272" s="331"/>
      <c r="K272" s="331"/>
      <c r="L272" s="331"/>
      <c r="M272" s="331"/>
      <c r="N272" s="331"/>
      <c r="O272" s="329">
        <f t="shared" si="52"/>
        <v>0</v>
      </c>
      <c r="P272" s="708">
        <v>60000</v>
      </c>
    </row>
    <row r="273" spans="1:17">
      <c r="A273" s="226">
        <v>4010400000</v>
      </c>
      <c r="B273" s="228" t="s">
        <v>182</v>
      </c>
      <c r="C273" s="331"/>
      <c r="D273" s="331"/>
      <c r="E273" s="331"/>
      <c r="F273" s="331"/>
      <c r="G273" s="331"/>
      <c r="H273" s="331"/>
      <c r="I273" s="331"/>
      <c r="J273" s="331"/>
      <c r="K273" s="331"/>
      <c r="L273" s="331"/>
      <c r="M273" s="331"/>
      <c r="N273" s="331"/>
      <c r="O273" s="329">
        <f t="shared" si="52"/>
        <v>0</v>
      </c>
      <c r="P273" s="708">
        <v>1800000</v>
      </c>
      <c r="Q273" s="291"/>
    </row>
    <row r="274" spans="1:17">
      <c r="A274" s="226">
        <v>4910300000</v>
      </c>
      <c r="B274" s="228" t="s">
        <v>171</v>
      </c>
      <c r="C274" s="329"/>
      <c r="D274" s="329"/>
      <c r="E274" s="329"/>
      <c r="F274" s="329"/>
      <c r="G274" s="329"/>
      <c r="H274" s="329"/>
      <c r="I274" s="329"/>
      <c r="J274" s="329"/>
      <c r="K274" s="329"/>
      <c r="L274" s="329"/>
      <c r="M274" s="329"/>
      <c r="N274" s="329"/>
      <c r="O274" s="329">
        <f t="shared" si="52"/>
        <v>0</v>
      </c>
      <c r="P274" s="708">
        <v>60000</v>
      </c>
    </row>
    <row r="275" spans="1:17">
      <c r="B275" s="349"/>
      <c r="C275" s="331"/>
      <c r="D275" s="331"/>
      <c r="E275" s="331"/>
      <c r="F275" s="331"/>
      <c r="G275" s="331"/>
      <c r="H275" s="331"/>
      <c r="I275" s="331"/>
      <c r="J275" s="331"/>
      <c r="K275" s="331"/>
      <c r="L275" s="331"/>
      <c r="M275" s="331"/>
      <c r="N275" s="331"/>
      <c r="O275" s="329">
        <f t="shared" si="52"/>
        <v>0</v>
      </c>
      <c r="P275" s="708"/>
    </row>
    <row r="276" spans="1:17" ht="13.5" thickBot="1">
      <c r="A276" s="226">
        <v>4911800000</v>
      </c>
      <c r="B276" s="349" t="s">
        <v>183</v>
      </c>
      <c r="C276" s="331"/>
      <c r="D276" s="331"/>
      <c r="E276" s="331"/>
      <c r="F276" s="331"/>
      <c r="G276" s="331"/>
      <c r="H276" s="331"/>
      <c r="I276" s="331"/>
      <c r="J276" s="331"/>
      <c r="K276" s="331"/>
      <c r="L276" s="331"/>
      <c r="M276" s="331"/>
      <c r="N276" s="331"/>
      <c r="O276" s="329">
        <f t="shared" si="52"/>
        <v>0</v>
      </c>
      <c r="P276" s="708">
        <v>120000</v>
      </c>
      <c r="Q276" s="525"/>
    </row>
    <row r="277" spans="1:17" ht="13.5" thickBot="1">
      <c r="B277" s="690" t="s">
        <v>145</v>
      </c>
      <c r="C277" s="334">
        <f>SUM(C263:C276)</f>
        <v>0</v>
      </c>
      <c r="D277" s="334">
        <f t="shared" ref="D277:O277" si="56">SUM(D263:D276)</f>
        <v>0</v>
      </c>
      <c r="E277" s="334">
        <f t="shared" si="56"/>
        <v>0</v>
      </c>
      <c r="F277" s="334">
        <f t="shared" si="56"/>
        <v>0</v>
      </c>
      <c r="G277" s="334">
        <f t="shared" si="56"/>
        <v>0</v>
      </c>
      <c r="H277" s="334">
        <f t="shared" si="56"/>
        <v>0</v>
      </c>
      <c r="I277" s="334">
        <f t="shared" si="56"/>
        <v>0</v>
      </c>
      <c r="J277" s="334">
        <f t="shared" si="56"/>
        <v>0</v>
      </c>
      <c r="K277" s="334">
        <f t="shared" si="56"/>
        <v>0</v>
      </c>
      <c r="L277" s="334">
        <f t="shared" si="56"/>
        <v>0</v>
      </c>
      <c r="M277" s="334">
        <f t="shared" si="56"/>
        <v>0</v>
      </c>
      <c r="N277" s="334">
        <f t="shared" si="56"/>
        <v>0</v>
      </c>
      <c r="O277" s="334">
        <f t="shared" si="56"/>
        <v>0</v>
      </c>
      <c r="P277" s="708"/>
    </row>
    <row r="278" spans="1:17" ht="13.5" thickBot="1">
      <c r="B278" s="695" t="s">
        <v>146</v>
      </c>
      <c r="C278" s="351">
        <f>C262-SUM(C263:C276)</f>
        <v>224982.91666666666</v>
      </c>
      <c r="D278" s="351">
        <f t="shared" ref="D278:N278" si="57">D262-SUM(D263:D276)</f>
        <v>224982.91666666666</v>
      </c>
      <c r="E278" s="351">
        <f t="shared" si="57"/>
        <v>224982.91666666666</v>
      </c>
      <c r="F278" s="351">
        <f t="shared" si="57"/>
        <v>224982.91666666666</v>
      </c>
      <c r="G278" s="351">
        <f t="shared" si="57"/>
        <v>224982.91666666666</v>
      </c>
      <c r="H278" s="351">
        <f t="shared" si="57"/>
        <v>224982.91666666666</v>
      </c>
      <c r="I278" s="351">
        <f t="shared" si="57"/>
        <v>224982.91666666666</v>
      </c>
      <c r="J278" s="351">
        <f t="shared" si="57"/>
        <v>224982.91666666666</v>
      </c>
      <c r="K278" s="351">
        <f t="shared" si="57"/>
        <v>224982.91666666666</v>
      </c>
      <c r="L278" s="351">
        <f t="shared" si="57"/>
        <v>224982.91666666666</v>
      </c>
      <c r="M278" s="351">
        <f t="shared" si="57"/>
        <v>224982.91666666666</v>
      </c>
      <c r="N278" s="351">
        <f t="shared" si="57"/>
        <v>224982.91666666666</v>
      </c>
      <c r="O278" s="351">
        <f t="shared" si="52"/>
        <v>2699795</v>
      </c>
    </row>
    <row r="279" spans="1:17" ht="15" customHeight="1">
      <c r="A279" s="406"/>
      <c r="B279" s="517"/>
      <c r="C279" s="517"/>
      <c r="D279" s="517"/>
      <c r="E279" s="517"/>
      <c r="F279" s="517"/>
      <c r="G279" s="517"/>
      <c r="H279" s="517"/>
      <c r="I279" s="517"/>
      <c r="J279" s="517"/>
      <c r="K279" s="517"/>
      <c r="L279" s="517"/>
      <c r="M279" s="517"/>
      <c r="N279" s="517"/>
    </row>
    <row r="280" spans="1:17" ht="15" customHeight="1" thickBot="1">
      <c r="A280" s="406"/>
      <c r="B280" s="517"/>
      <c r="C280" s="517"/>
      <c r="D280" s="517"/>
      <c r="E280" s="517"/>
      <c r="F280" s="517"/>
      <c r="G280" s="517"/>
      <c r="H280" s="517"/>
      <c r="I280" s="517"/>
      <c r="J280" s="517"/>
      <c r="K280" s="517"/>
      <c r="L280" s="517"/>
      <c r="M280" s="517"/>
      <c r="N280" s="517"/>
    </row>
    <row r="281" spans="1:17" ht="20.25">
      <c r="A281" s="826" t="s">
        <v>184</v>
      </c>
      <c r="B281" s="826"/>
      <c r="C281" s="826"/>
      <c r="D281" s="826"/>
      <c r="E281" s="826"/>
      <c r="F281" s="826"/>
      <c r="G281" s="826"/>
      <c r="H281" s="826"/>
      <c r="I281" s="826"/>
      <c r="J281" s="826"/>
      <c r="K281" s="826"/>
      <c r="L281" s="826"/>
      <c r="M281" s="826"/>
      <c r="N281" s="826"/>
    </row>
    <row r="282" spans="1:17">
      <c r="A282" s="227"/>
      <c r="B282" s="227"/>
      <c r="C282" s="227"/>
      <c r="D282" s="227"/>
      <c r="E282" s="227"/>
      <c r="F282" s="227"/>
      <c r="G282" s="227"/>
      <c r="H282" s="227"/>
      <c r="I282" s="227"/>
      <c r="J282" s="227"/>
      <c r="K282" s="227"/>
      <c r="L282" s="227"/>
      <c r="M282" s="227"/>
    </row>
    <row r="283" spans="1:17">
      <c r="A283" s="228"/>
      <c r="B283" s="229" t="s">
        <v>44</v>
      </c>
      <c r="C283" s="229" t="s">
        <v>45</v>
      </c>
      <c r="D283" s="230" t="s">
        <v>46</v>
      </c>
      <c r="E283" s="229" t="s">
        <v>47</v>
      </c>
      <c r="F283" s="229" t="s">
        <v>48</v>
      </c>
      <c r="G283" s="230" t="s">
        <v>49</v>
      </c>
      <c r="H283" s="229" t="s">
        <v>38</v>
      </c>
      <c r="I283" s="229" t="s">
        <v>39</v>
      </c>
      <c r="J283" s="229" t="s">
        <v>40</v>
      </c>
      <c r="K283" s="229" t="s">
        <v>41</v>
      </c>
      <c r="L283" s="229" t="s">
        <v>42</v>
      </c>
      <c r="M283" s="229" t="s">
        <v>43</v>
      </c>
      <c r="N283" s="228" t="s">
        <v>64</v>
      </c>
    </row>
    <row r="284" spans="1:17">
      <c r="A284" s="231" t="s">
        <v>65</v>
      </c>
      <c r="B284" s="620"/>
      <c r="C284" s="620"/>
      <c r="D284" s="620"/>
      <c r="E284" s="620"/>
      <c r="F284" s="620"/>
      <c r="G284" s="620"/>
      <c r="H284" s="620"/>
      <c r="I284" s="620"/>
      <c r="J284" s="620"/>
      <c r="K284" s="620"/>
      <c r="L284" s="620"/>
      <c r="M284" s="620"/>
      <c r="N284" s="620">
        <f t="shared" ref="N284:N294" si="58">SUM(B284:M284)</f>
        <v>0</v>
      </c>
    </row>
    <row r="285" spans="1:17">
      <c r="A285" s="231" t="s">
        <v>66</v>
      </c>
      <c r="B285" s="620"/>
      <c r="C285" s="620"/>
      <c r="D285" s="620"/>
      <c r="E285" s="620"/>
      <c r="F285" s="620"/>
      <c r="G285" s="621"/>
      <c r="H285" s="620"/>
      <c r="I285" s="620"/>
      <c r="J285" s="622"/>
      <c r="K285" s="620"/>
      <c r="L285" s="620"/>
      <c r="M285" s="620"/>
      <c r="N285" s="620">
        <f t="shared" si="58"/>
        <v>0</v>
      </c>
    </row>
    <row r="286" spans="1:17">
      <c r="A286" s="231" t="s">
        <v>67</v>
      </c>
      <c r="B286" s="620"/>
      <c r="C286" s="620"/>
      <c r="D286" s="620"/>
      <c r="E286" s="620"/>
      <c r="F286" s="620"/>
      <c r="G286" s="621"/>
      <c r="H286" s="620"/>
      <c r="I286" s="620"/>
      <c r="J286" s="620"/>
      <c r="K286" s="620"/>
      <c r="L286" s="620"/>
      <c r="M286" s="620"/>
      <c r="N286" s="620">
        <f t="shared" si="58"/>
        <v>0</v>
      </c>
    </row>
    <row r="287" spans="1:17">
      <c r="A287" s="231" t="s">
        <v>69</v>
      </c>
      <c r="B287" s="620"/>
      <c r="C287" s="620"/>
      <c r="D287" s="620"/>
      <c r="E287" s="620"/>
      <c r="F287" s="620"/>
      <c r="G287" s="621"/>
      <c r="H287" s="620"/>
      <c r="I287" s="620"/>
      <c r="J287" s="620"/>
      <c r="K287" s="620"/>
      <c r="L287" s="620"/>
      <c r="M287" s="620"/>
      <c r="N287" s="620">
        <f t="shared" si="58"/>
        <v>0</v>
      </c>
    </row>
    <row r="288" spans="1:17">
      <c r="A288" s="231" t="s">
        <v>70</v>
      </c>
      <c r="B288" s="620"/>
      <c r="C288" s="620"/>
      <c r="D288" s="620"/>
      <c r="E288" s="620"/>
      <c r="F288" s="620"/>
      <c r="G288" s="621"/>
      <c r="H288" s="620"/>
      <c r="I288" s="620"/>
      <c r="J288" s="620"/>
      <c r="K288" s="620"/>
      <c r="L288" s="620"/>
      <c r="M288" s="620"/>
      <c r="N288" s="620">
        <f t="shared" si="58"/>
        <v>0</v>
      </c>
    </row>
    <row r="289" spans="1:14">
      <c r="A289" s="231" t="s">
        <v>71</v>
      </c>
      <c r="B289" s="620"/>
      <c r="C289" s="620"/>
      <c r="D289" s="620"/>
      <c r="E289" s="620"/>
      <c r="F289" s="620"/>
      <c r="G289" s="621"/>
      <c r="H289" s="620"/>
      <c r="I289" s="620"/>
      <c r="J289" s="620"/>
      <c r="K289" s="620"/>
      <c r="L289" s="620"/>
      <c r="M289" s="620"/>
      <c r="N289" s="620">
        <f t="shared" si="58"/>
        <v>0</v>
      </c>
    </row>
    <row r="290" spans="1:14">
      <c r="A290" s="231" t="s">
        <v>72</v>
      </c>
      <c r="B290" s="620"/>
      <c r="C290" s="620"/>
      <c r="D290" s="620"/>
      <c r="E290" s="620"/>
      <c r="F290" s="620"/>
      <c r="G290" s="621"/>
      <c r="H290" s="620"/>
      <c r="I290" s="620"/>
      <c r="J290" s="620"/>
      <c r="K290" s="620"/>
      <c r="L290" s="620"/>
      <c r="M290" s="620"/>
      <c r="N290" s="620">
        <f t="shared" si="58"/>
        <v>0</v>
      </c>
    </row>
    <row r="291" spans="1:14">
      <c r="A291" s="231" t="s">
        <v>73</v>
      </c>
      <c r="B291" s="620"/>
      <c r="C291" s="620"/>
      <c r="D291" s="620"/>
      <c r="E291" s="620"/>
      <c r="F291" s="620"/>
      <c r="G291" s="621"/>
      <c r="H291" s="620"/>
      <c r="I291" s="620"/>
      <c r="J291" s="620"/>
      <c r="K291" s="620"/>
      <c r="L291" s="620"/>
      <c r="M291" s="620"/>
      <c r="N291" s="620">
        <f t="shared" si="58"/>
        <v>0</v>
      </c>
    </row>
    <row r="292" spans="1:14">
      <c r="A292" s="231" t="s">
        <v>74</v>
      </c>
      <c r="B292" s="620"/>
      <c r="C292" s="620"/>
      <c r="D292" s="620"/>
      <c r="E292" s="620"/>
      <c r="F292" s="620"/>
      <c r="G292" s="621"/>
      <c r="H292" s="620"/>
      <c r="I292" s="620"/>
      <c r="J292" s="620"/>
      <c r="K292" s="620"/>
      <c r="L292" s="620"/>
      <c r="M292" s="620"/>
      <c r="N292" s="620">
        <f t="shared" si="58"/>
        <v>0</v>
      </c>
    </row>
    <row r="293" spans="1:14">
      <c r="A293" s="231" t="s">
        <v>75</v>
      </c>
      <c r="B293" s="620"/>
      <c r="C293" s="620"/>
      <c r="D293" s="620"/>
      <c r="E293" s="620"/>
      <c r="F293" s="620"/>
      <c r="G293" s="621"/>
      <c r="H293" s="620"/>
      <c r="I293" s="620"/>
      <c r="J293" s="620"/>
      <c r="K293" s="620"/>
      <c r="L293" s="620"/>
      <c r="M293" s="620"/>
      <c r="N293" s="620">
        <f t="shared" si="58"/>
        <v>0</v>
      </c>
    </row>
    <row r="294" spans="1:14" ht="13.5" thickBot="1">
      <c r="A294" s="235" t="s">
        <v>76</v>
      </c>
      <c r="B294" s="623"/>
      <c r="C294" s="623"/>
      <c r="D294" s="623"/>
      <c r="E294" s="623"/>
      <c r="F294" s="623"/>
      <c r="G294" s="624"/>
      <c r="H294" s="623"/>
      <c r="I294" s="623"/>
      <c r="J294" s="623"/>
      <c r="K294" s="623"/>
      <c r="L294" s="623"/>
      <c r="M294" s="623"/>
      <c r="N294" s="625">
        <f t="shared" si="58"/>
        <v>0</v>
      </c>
    </row>
    <row r="295" spans="1:14" ht="13.5" thickBot="1">
      <c r="A295" s="239" t="s">
        <v>77</v>
      </c>
      <c r="B295" s="626">
        <f>SUM(B284:B294)</f>
        <v>0</v>
      </c>
      <c r="C295" s="626">
        <f t="shared" ref="C295:N295" si="59">SUM(C284:C294)</f>
        <v>0</v>
      </c>
      <c r="D295" s="626">
        <f t="shared" si="59"/>
        <v>0</v>
      </c>
      <c r="E295" s="626">
        <f t="shared" si="59"/>
        <v>0</v>
      </c>
      <c r="F295" s="626">
        <f t="shared" si="59"/>
        <v>0</v>
      </c>
      <c r="G295" s="626">
        <f t="shared" si="59"/>
        <v>0</v>
      </c>
      <c r="H295" s="626">
        <f t="shared" si="59"/>
        <v>0</v>
      </c>
      <c r="I295" s="626">
        <f t="shared" si="59"/>
        <v>0</v>
      </c>
      <c r="J295" s="626">
        <f t="shared" si="59"/>
        <v>0</v>
      </c>
      <c r="K295" s="626">
        <f t="shared" si="59"/>
        <v>0</v>
      </c>
      <c r="L295" s="626">
        <f t="shared" si="59"/>
        <v>0</v>
      </c>
      <c r="M295" s="626">
        <f t="shared" si="59"/>
        <v>0</v>
      </c>
      <c r="N295" s="632">
        <f t="shared" si="59"/>
        <v>0</v>
      </c>
    </row>
    <row r="296" spans="1:14">
      <c r="A296" s="243"/>
      <c r="B296" s="261"/>
      <c r="C296" s="261"/>
      <c r="D296" s="261"/>
      <c r="E296" s="261"/>
      <c r="F296" s="261"/>
      <c r="G296" s="261"/>
      <c r="H296" s="261"/>
      <c r="I296" s="261"/>
      <c r="J296" s="261"/>
      <c r="K296" s="261"/>
      <c r="L296" s="261"/>
      <c r="M296" s="261"/>
      <c r="N296" s="261"/>
    </row>
    <row r="297" spans="1:14">
      <c r="A297" s="243"/>
      <c r="B297" s="261"/>
      <c r="C297" s="261"/>
      <c r="D297" s="261"/>
      <c r="E297" s="261"/>
      <c r="F297" s="261"/>
      <c r="G297" s="261"/>
      <c r="H297" s="261"/>
      <c r="I297" s="261"/>
      <c r="J297" s="261"/>
      <c r="K297" s="261"/>
      <c r="L297" s="261"/>
      <c r="M297" s="261"/>
      <c r="N297" s="629" t="s">
        <v>78</v>
      </c>
    </row>
    <row r="298" spans="1:14">
      <c r="A298" s="231" t="s">
        <v>79</v>
      </c>
      <c r="B298" s="620">
        <f>IF(B295&lt;&gt;0,SUM(B285*100/B295),0)</f>
        <v>0</v>
      </c>
      <c r="C298" s="620">
        <f t="shared" ref="C298:M298" si="60">IF(C295&lt;&gt;0,SUM(C285*100/C295),0)</f>
        <v>0</v>
      </c>
      <c r="D298" s="620">
        <f t="shared" si="60"/>
        <v>0</v>
      </c>
      <c r="E298" s="620">
        <f t="shared" si="60"/>
        <v>0</v>
      </c>
      <c r="F298" s="620">
        <f t="shared" si="60"/>
        <v>0</v>
      </c>
      <c r="G298" s="620">
        <f t="shared" si="60"/>
        <v>0</v>
      </c>
      <c r="H298" s="620">
        <f t="shared" si="60"/>
        <v>0</v>
      </c>
      <c r="I298" s="620">
        <f t="shared" si="60"/>
        <v>0</v>
      </c>
      <c r="J298" s="620">
        <f t="shared" si="60"/>
        <v>0</v>
      </c>
      <c r="K298" s="620">
        <f t="shared" si="60"/>
        <v>0</v>
      </c>
      <c r="L298" s="620">
        <f t="shared" si="60"/>
        <v>0</v>
      </c>
      <c r="M298" s="620">
        <f t="shared" si="60"/>
        <v>0</v>
      </c>
      <c r="N298" s="630">
        <f>SUM(B298:M298)/12</f>
        <v>0</v>
      </c>
    </row>
    <row r="299" spans="1:14">
      <c r="A299" s="243"/>
      <c r="B299" s="261"/>
      <c r="C299" s="261"/>
      <c r="D299" s="261"/>
      <c r="E299" s="261"/>
      <c r="F299" s="261"/>
      <c r="G299" s="261"/>
      <c r="H299" s="261"/>
      <c r="I299" s="261"/>
      <c r="J299" s="261"/>
      <c r="K299" s="261"/>
      <c r="L299" s="261"/>
      <c r="M299" s="261"/>
      <c r="N299" s="261"/>
    </row>
    <row r="300" spans="1:14">
      <c r="A300" s="231" t="s">
        <v>80</v>
      </c>
      <c r="B300" s="620">
        <f>IF(B295&lt;&gt;0,SUM(B289*100/B295),0)</f>
        <v>0</v>
      </c>
      <c r="C300" s="620">
        <f t="shared" ref="C300:M300" si="61">IF(C295&lt;&gt;0,SUM(C289*100/C295),0)</f>
        <v>0</v>
      </c>
      <c r="D300" s="620">
        <f t="shared" si="61"/>
        <v>0</v>
      </c>
      <c r="E300" s="620">
        <f t="shared" si="61"/>
        <v>0</v>
      </c>
      <c r="F300" s="620">
        <f t="shared" si="61"/>
        <v>0</v>
      </c>
      <c r="G300" s="620">
        <f t="shared" si="61"/>
        <v>0</v>
      </c>
      <c r="H300" s="620">
        <f t="shared" si="61"/>
        <v>0</v>
      </c>
      <c r="I300" s="620">
        <f t="shared" si="61"/>
        <v>0</v>
      </c>
      <c r="J300" s="620">
        <f t="shared" si="61"/>
        <v>0</v>
      </c>
      <c r="K300" s="620">
        <f t="shared" si="61"/>
        <v>0</v>
      </c>
      <c r="L300" s="620">
        <f t="shared" si="61"/>
        <v>0</v>
      </c>
      <c r="M300" s="620">
        <f t="shared" si="61"/>
        <v>0</v>
      </c>
      <c r="N300" s="630">
        <f>SUM(B300:M300)/12</f>
        <v>0</v>
      </c>
    </row>
    <row r="301" spans="1:14" ht="13.5" thickBot="1">
      <c r="A301" s="247" t="s">
        <v>81</v>
      </c>
      <c r="B301" s="625">
        <f>IF(B295&lt;&gt;0,SUM(B290*100/B295),0)</f>
        <v>0</v>
      </c>
      <c r="C301" s="625">
        <f t="shared" ref="C301:M301" si="62">IF(C295&lt;&gt;0,SUM(C290*100/C295),0)</f>
        <v>0</v>
      </c>
      <c r="D301" s="625">
        <f t="shared" si="62"/>
        <v>0</v>
      </c>
      <c r="E301" s="625">
        <f t="shared" si="62"/>
        <v>0</v>
      </c>
      <c r="F301" s="625">
        <f t="shared" si="62"/>
        <v>0</v>
      </c>
      <c r="G301" s="625">
        <f t="shared" si="62"/>
        <v>0</v>
      </c>
      <c r="H301" s="625">
        <f t="shared" si="62"/>
        <v>0</v>
      </c>
      <c r="I301" s="625">
        <f t="shared" si="62"/>
        <v>0</v>
      </c>
      <c r="J301" s="625">
        <f t="shared" si="62"/>
        <v>0</v>
      </c>
      <c r="K301" s="625">
        <f t="shared" si="62"/>
        <v>0</v>
      </c>
      <c r="L301" s="625">
        <f t="shared" si="62"/>
        <v>0</v>
      </c>
      <c r="M301" s="625">
        <f t="shared" si="62"/>
        <v>0</v>
      </c>
      <c r="N301" s="630">
        <f>SUM(B301:M301)/12</f>
        <v>0</v>
      </c>
    </row>
    <row r="302" spans="1:14" ht="13.5" thickBot="1">
      <c r="A302" s="249" t="s">
        <v>82</v>
      </c>
      <c r="B302" s="632">
        <f t="shared" ref="B302:M302" si="63">SUM(B300:B300)</f>
        <v>0</v>
      </c>
      <c r="C302" s="632">
        <f t="shared" si="63"/>
        <v>0</v>
      </c>
      <c r="D302" s="632">
        <f t="shared" si="63"/>
        <v>0</v>
      </c>
      <c r="E302" s="632">
        <f t="shared" si="63"/>
        <v>0</v>
      </c>
      <c r="F302" s="632">
        <f t="shared" si="63"/>
        <v>0</v>
      </c>
      <c r="G302" s="632">
        <f t="shared" si="63"/>
        <v>0</v>
      </c>
      <c r="H302" s="632">
        <f t="shared" si="63"/>
        <v>0</v>
      </c>
      <c r="I302" s="632">
        <f t="shared" si="63"/>
        <v>0</v>
      </c>
      <c r="J302" s="632">
        <f t="shared" si="63"/>
        <v>0</v>
      </c>
      <c r="K302" s="632">
        <f t="shared" si="63"/>
        <v>0</v>
      </c>
      <c r="L302" s="632">
        <f t="shared" si="63"/>
        <v>0</v>
      </c>
      <c r="M302" s="632">
        <f t="shared" si="63"/>
        <v>0</v>
      </c>
      <c r="N302" s="633">
        <f>SUM(N300:N301)</f>
        <v>0</v>
      </c>
    </row>
    <row r="303" spans="1:14">
      <c r="A303" s="243" t="s">
        <v>83</v>
      </c>
      <c r="B303" s="261"/>
      <c r="C303" s="261"/>
      <c r="D303" s="634">
        <f>SUM(B302:D302)/3</f>
        <v>0</v>
      </c>
      <c r="E303" s="261"/>
      <c r="F303" s="261"/>
      <c r="G303" s="634">
        <f>SUM(E302,F302,G302)/3</f>
        <v>0</v>
      </c>
      <c r="H303" s="261"/>
      <c r="I303" s="261"/>
      <c r="J303" s="634">
        <f>SUM(H302,I302,J302)/3</f>
        <v>0</v>
      </c>
      <c r="K303" s="261"/>
      <c r="L303" s="261"/>
      <c r="M303" s="634">
        <f>SUM(K302,L302,M302)/3</f>
        <v>0</v>
      </c>
      <c r="N303" s="635">
        <f>SUM(D303:M303)/4</f>
        <v>0</v>
      </c>
    </row>
    <row r="304" spans="1:14">
      <c r="A304" s="243" t="s">
        <v>84</v>
      </c>
      <c r="B304" s="261"/>
      <c r="C304" s="261"/>
      <c r="D304" s="262"/>
      <c r="E304" s="261"/>
      <c r="F304" s="261"/>
      <c r="G304" s="262"/>
      <c r="H304" s="261"/>
      <c r="I304" s="261"/>
      <c r="J304" s="262"/>
      <c r="K304" s="261"/>
      <c r="L304" s="261"/>
      <c r="M304" s="262"/>
      <c r="N304" s="630">
        <f>SUM(D304:G304,J304,M304)/4</f>
        <v>0</v>
      </c>
    </row>
    <row r="305" spans="1:14">
      <c r="A305" s="243"/>
      <c r="B305" s="261"/>
      <c r="C305" s="261"/>
      <c r="D305" s="261"/>
      <c r="E305" s="261"/>
      <c r="F305" s="261"/>
      <c r="G305" s="261"/>
      <c r="H305" s="261"/>
      <c r="I305" s="261"/>
      <c r="J305" s="261"/>
      <c r="K305" s="261"/>
      <c r="L305" s="261"/>
      <c r="M305" s="261"/>
      <c r="N305" s="261"/>
    </row>
    <row r="306" spans="1:14">
      <c r="A306" s="231" t="s">
        <v>85</v>
      </c>
      <c r="B306" s="620">
        <f>IF(B295&lt;&gt;0,B293*100/B295,0)</f>
        <v>0</v>
      </c>
      <c r="C306" s="620">
        <f t="shared" ref="C306:M306" si="64">IF(C295&lt;&gt;0,C293*100/C295,0)</f>
        <v>0</v>
      </c>
      <c r="D306" s="620">
        <f t="shared" si="64"/>
        <v>0</v>
      </c>
      <c r="E306" s="620">
        <f t="shared" si="64"/>
        <v>0</v>
      </c>
      <c r="F306" s="620">
        <f t="shared" si="64"/>
        <v>0</v>
      </c>
      <c r="G306" s="620">
        <f t="shared" si="64"/>
        <v>0</v>
      </c>
      <c r="H306" s="620">
        <f t="shared" si="64"/>
        <v>0</v>
      </c>
      <c r="I306" s="620">
        <f t="shared" si="64"/>
        <v>0</v>
      </c>
      <c r="J306" s="620">
        <f t="shared" si="64"/>
        <v>0</v>
      </c>
      <c r="K306" s="620">
        <f t="shared" si="64"/>
        <v>0</v>
      </c>
      <c r="L306" s="620">
        <f t="shared" si="64"/>
        <v>0</v>
      </c>
      <c r="M306" s="620">
        <f t="shared" si="64"/>
        <v>0</v>
      </c>
      <c r="N306" s="630">
        <f>SUM(B306:M306)/12</f>
        <v>0</v>
      </c>
    </row>
    <row r="307" spans="1:14">
      <c r="A307" s="231" t="s">
        <v>86</v>
      </c>
      <c r="B307" s="620">
        <f>IF(B295&lt;&gt;0,B291*100/B295,0)</f>
        <v>0</v>
      </c>
      <c r="C307" s="620">
        <f t="shared" ref="C307:M307" si="65">IF(C295&lt;&gt;0,C291*100/C295,0)</f>
        <v>0</v>
      </c>
      <c r="D307" s="620">
        <f t="shared" si="65"/>
        <v>0</v>
      </c>
      <c r="E307" s="620">
        <f t="shared" si="65"/>
        <v>0</v>
      </c>
      <c r="F307" s="620">
        <f t="shared" si="65"/>
        <v>0</v>
      </c>
      <c r="G307" s="620">
        <f t="shared" si="65"/>
        <v>0</v>
      </c>
      <c r="H307" s="620">
        <f t="shared" si="65"/>
        <v>0</v>
      </c>
      <c r="I307" s="620">
        <f t="shared" si="65"/>
        <v>0</v>
      </c>
      <c r="J307" s="620">
        <f t="shared" si="65"/>
        <v>0</v>
      </c>
      <c r="K307" s="620">
        <f t="shared" si="65"/>
        <v>0</v>
      </c>
      <c r="L307" s="620">
        <f t="shared" si="65"/>
        <v>0</v>
      </c>
      <c r="M307" s="620">
        <f t="shared" si="65"/>
        <v>0</v>
      </c>
      <c r="N307" s="630">
        <f>SUM(B307:M307)/12</f>
        <v>0</v>
      </c>
    </row>
    <row r="308" spans="1:14" ht="13.5" thickBot="1">
      <c r="A308" s="231" t="s">
        <v>87</v>
      </c>
      <c r="B308" s="620">
        <f>IF(B295&lt;&gt;0,B287*100/B295,0)</f>
        <v>0</v>
      </c>
      <c r="C308" s="620">
        <f t="shared" ref="C308:M308" si="66">IF(C295&lt;&gt;0,C287*100/C295,0)</f>
        <v>0</v>
      </c>
      <c r="D308" s="620">
        <f t="shared" si="66"/>
        <v>0</v>
      </c>
      <c r="E308" s="620">
        <f t="shared" si="66"/>
        <v>0</v>
      </c>
      <c r="F308" s="620">
        <f t="shared" si="66"/>
        <v>0</v>
      </c>
      <c r="G308" s="620">
        <f t="shared" si="66"/>
        <v>0</v>
      </c>
      <c r="H308" s="620">
        <f t="shared" si="66"/>
        <v>0</v>
      </c>
      <c r="I308" s="620">
        <f t="shared" si="66"/>
        <v>0</v>
      </c>
      <c r="J308" s="620">
        <f t="shared" si="66"/>
        <v>0</v>
      </c>
      <c r="K308" s="620">
        <f t="shared" si="66"/>
        <v>0</v>
      </c>
      <c r="L308" s="620">
        <f t="shared" si="66"/>
        <v>0</v>
      </c>
      <c r="M308" s="620">
        <f t="shared" si="66"/>
        <v>0</v>
      </c>
      <c r="N308" s="631">
        <f>SUM(B308:M308)/12</f>
        <v>0</v>
      </c>
    </row>
    <row r="309" spans="1:14" ht="13.5" thickBot="1">
      <c r="A309" s="255" t="s">
        <v>88</v>
      </c>
      <c r="B309" s="636">
        <f>IF(B295&lt;&gt;0,SUM(B284-B295)*100/B295,0)</f>
        <v>0</v>
      </c>
      <c r="C309" s="636">
        <f t="shared" ref="C309:M309" si="67">IF(C295&lt;&gt;0,SUM(C284-C295)*100/C295,0)</f>
        <v>0</v>
      </c>
      <c r="D309" s="636">
        <f t="shared" si="67"/>
        <v>0</v>
      </c>
      <c r="E309" s="636">
        <f t="shared" si="67"/>
        <v>0</v>
      </c>
      <c r="F309" s="636">
        <f t="shared" si="67"/>
        <v>0</v>
      </c>
      <c r="G309" s="636">
        <f t="shared" si="67"/>
        <v>0</v>
      </c>
      <c r="H309" s="636">
        <f t="shared" si="67"/>
        <v>0</v>
      </c>
      <c r="I309" s="636">
        <f t="shared" si="67"/>
        <v>0</v>
      </c>
      <c r="J309" s="636">
        <f t="shared" si="67"/>
        <v>0</v>
      </c>
      <c r="K309" s="636">
        <f t="shared" si="67"/>
        <v>0</v>
      </c>
      <c r="L309" s="636">
        <f t="shared" si="67"/>
        <v>0</v>
      </c>
      <c r="M309" s="638">
        <f t="shared" si="67"/>
        <v>0</v>
      </c>
      <c r="N309" s="639">
        <f>SUM(B309:M309)/12</f>
        <v>0</v>
      </c>
    </row>
    <row r="310" spans="1:14">
      <c r="A310" s="243"/>
      <c r="B310" s="244"/>
      <c r="C310" s="244"/>
      <c r="D310" s="244"/>
      <c r="E310" s="244"/>
      <c r="F310" s="244"/>
      <c r="G310" s="244"/>
      <c r="H310" s="244"/>
      <c r="I310" s="244"/>
      <c r="J310" s="244"/>
      <c r="K310" s="244"/>
      <c r="L310" s="244"/>
      <c r="M310" s="244"/>
      <c r="N310" s="227"/>
    </row>
    <row r="311" spans="1:14">
      <c r="A311" s="258" t="s">
        <v>89</v>
      </c>
      <c r="B311" s="244"/>
      <c r="C311" s="244"/>
      <c r="D311" s="244"/>
      <c r="E311" s="244"/>
      <c r="F311" s="244"/>
      <c r="G311" s="244"/>
      <c r="H311" s="244"/>
      <c r="I311" s="244"/>
      <c r="J311" s="244"/>
      <c r="K311" s="244"/>
      <c r="L311" s="244"/>
      <c r="M311" s="244"/>
      <c r="N311" s="227"/>
    </row>
    <row r="312" spans="1:14">
      <c r="A312" s="231" t="s">
        <v>90</v>
      </c>
      <c r="B312" s="259">
        <v>12</v>
      </c>
      <c r="C312" s="259">
        <v>12</v>
      </c>
      <c r="D312" s="259">
        <v>12</v>
      </c>
      <c r="E312" s="259">
        <v>12</v>
      </c>
      <c r="F312" s="259">
        <f t="shared" ref="F312:N312" si="68">E315</f>
        <v>12</v>
      </c>
      <c r="G312" s="259">
        <f t="shared" si="68"/>
        <v>12</v>
      </c>
      <c r="H312" s="259">
        <f t="shared" si="68"/>
        <v>12</v>
      </c>
      <c r="I312" s="259">
        <f t="shared" si="68"/>
        <v>12</v>
      </c>
      <c r="J312" s="259">
        <f t="shared" si="68"/>
        <v>12</v>
      </c>
      <c r="K312" s="259">
        <f t="shared" si="68"/>
        <v>12</v>
      </c>
      <c r="L312" s="259">
        <f t="shared" si="68"/>
        <v>12</v>
      </c>
      <c r="M312" s="259">
        <f t="shared" si="68"/>
        <v>12</v>
      </c>
      <c r="N312" s="259">
        <f t="shared" si="68"/>
        <v>12</v>
      </c>
    </row>
    <row r="313" spans="1:14">
      <c r="A313" s="231" t="s">
        <v>91</v>
      </c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59"/>
      <c r="N313" s="259">
        <f>SUM(B313:M313)/12</f>
        <v>0</v>
      </c>
    </row>
    <row r="314" spans="1:14">
      <c r="A314" s="231" t="s">
        <v>92</v>
      </c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59"/>
      <c r="N314" s="259">
        <f>SUM(B313:M313)/12</f>
        <v>0</v>
      </c>
    </row>
    <row r="315" spans="1:14">
      <c r="A315" s="231" t="s">
        <v>89</v>
      </c>
      <c r="B315" s="259">
        <f t="shared" ref="B315:M315" si="69">SUM(B312+B313-B314)</f>
        <v>12</v>
      </c>
      <c r="C315" s="259">
        <f t="shared" si="69"/>
        <v>12</v>
      </c>
      <c r="D315" s="259">
        <f t="shared" si="69"/>
        <v>12</v>
      </c>
      <c r="E315" s="259">
        <f t="shared" si="69"/>
        <v>12</v>
      </c>
      <c r="F315" s="259">
        <f t="shared" si="69"/>
        <v>12</v>
      </c>
      <c r="G315" s="259">
        <f t="shared" si="69"/>
        <v>12</v>
      </c>
      <c r="H315" s="259">
        <f t="shared" si="69"/>
        <v>12</v>
      </c>
      <c r="I315" s="259">
        <f t="shared" si="69"/>
        <v>12</v>
      </c>
      <c r="J315" s="259">
        <f t="shared" si="69"/>
        <v>12</v>
      </c>
      <c r="K315" s="259">
        <f t="shared" si="69"/>
        <v>12</v>
      </c>
      <c r="L315" s="259">
        <f t="shared" si="69"/>
        <v>12</v>
      </c>
      <c r="M315" s="259">
        <f t="shared" si="69"/>
        <v>12</v>
      </c>
      <c r="N315" s="259">
        <f>SUM(B314:M314)/12</f>
        <v>0</v>
      </c>
    </row>
    <row r="316" spans="1:14">
      <c r="A316" s="231" t="s">
        <v>93</v>
      </c>
      <c r="B316" s="260">
        <f t="shared" ref="B316:M316" si="70">SUM(B315*100)/B312-100</f>
        <v>0</v>
      </c>
      <c r="C316" s="260">
        <f t="shared" si="70"/>
        <v>0</v>
      </c>
      <c r="D316" s="260">
        <f t="shared" si="70"/>
        <v>0</v>
      </c>
      <c r="E316" s="260">
        <f t="shared" si="70"/>
        <v>0</v>
      </c>
      <c r="F316" s="260">
        <f t="shared" si="70"/>
        <v>0</v>
      </c>
      <c r="G316" s="260">
        <f t="shared" si="70"/>
        <v>0</v>
      </c>
      <c r="H316" s="260">
        <f t="shared" si="70"/>
        <v>0</v>
      </c>
      <c r="I316" s="260">
        <f t="shared" si="70"/>
        <v>0</v>
      </c>
      <c r="J316" s="260">
        <f t="shared" si="70"/>
        <v>0</v>
      </c>
      <c r="K316" s="260">
        <f t="shared" si="70"/>
        <v>0</v>
      </c>
      <c r="L316" s="260">
        <f t="shared" si="70"/>
        <v>0</v>
      </c>
      <c r="M316" s="260">
        <f t="shared" si="70"/>
        <v>0</v>
      </c>
      <c r="N316" s="259"/>
    </row>
    <row r="317" spans="1:14">
      <c r="A317" s="243" t="s">
        <v>94</v>
      </c>
      <c r="B317" s="261"/>
      <c r="C317" s="261"/>
      <c r="D317" s="262">
        <f>SUM(B316:D316/3)</f>
        <v>0</v>
      </c>
      <c r="E317" s="261"/>
      <c r="F317" s="261"/>
      <c r="G317" s="262">
        <f>SUM(E316:G316)/3</f>
        <v>0</v>
      </c>
      <c r="H317" s="261"/>
      <c r="I317" s="261"/>
      <c r="J317" s="262">
        <f>SUM(H316:J316)/3</f>
        <v>0</v>
      </c>
      <c r="K317" s="261"/>
      <c r="L317" s="261"/>
      <c r="M317" s="262">
        <f>SUM(K316:M316)/3</f>
        <v>0</v>
      </c>
      <c r="N317" s="261"/>
    </row>
    <row r="318" spans="1:14">
      <c r="A318" s="243"/>
      <c r="B318" s="244"/>
      <c r="C318" s="244"/>
      <c r="D318" s="244"/>
      <c r="E318" s="244"/>
      <c r="F318" s="244"/>
      <c r="G318" s="244"/>
      <c r="H318" s="244"/>
      <c r="I318" s="244"/>
      <c r="J318" s="244"/>
      <c r="K318" s="244"/>
      <c r="L318" s="244"/>
      <c r="M318" s="244"/>
      <c r="N318" s="227"/>
    </row>
    <row r="319" spans="1:14" ht="15" customHeight="1">
      <c r="A319" s="406"/>
      <c r="B319" s="517"/>
      <c r="C319" s="517"/>
      <c r="D319" s="517"/>
      <c r="E319" s="517"/>
      <c r="F319" s="517"/>
      <c r="G319" s="517"/>
      <c r="H319" s="517"/>
      <c r="I319" s="517"/>
      <c r="J319" s="517"/>
      <c r="K319" s="517"/>
      <c r="L319" s="517"/>
      <c r="M319" s="517"/>
      <c r="N319" s="517"/>
    </row>
    <row r="320" spans="1:14">
      <c r="A320" s="376" t="s">
        <v>185</v>
      </c>
      <c r="B320" s="377"/>
      <c r="C320" s="378"/>
      <c r="D320" s="292" t="s">
        <v>186</v>
      </c>
      <c r="F320" s="291"/>
      <c r="I320" s="299"/>
      <c r="M320" s="299"/>
      <c r="N320" s="227"/>
    </row>
    <row r="321" spans="1:16">
      <c r="A321" s="379" t="s">
        <v>187</v>
      </c>
      <c r="B321" s="380"/>
      <c r="C321" s="381"/>
      <c r="D321" s="290">
        <v>291144</v>
      </c>
      <c r="E321" s="291"/>
      <c r="I321" s="494"/>
      <c r="J321" s="494"/>
      <c r="K321" s="494"/>
      <c r="L321" s="494"/>
      <c r="M321" s="494"/>
    </row>
    <row r="322" spans="1:16">
      <c r="A322" s="379" t="s">
        <v>188</v>
      </c>
      <c r="B322" s="380"/>
      <c r="C322" s="289"/>
      <c r="D322" s="290">
        <v>370486</v>
      </c>
      <c r="E322" s="291"/>
      <c r="F322" s="291"/>
      <c r="J322" s="404"/>
      <c r="M322" s="291"/>
      <c r="N322" s="227"/>
    </row>
    <row r="323" spans="1:16">
      <c r="A323" s="379" t="s">
        <v>189</v>
      </c>
      <c r="B323" s="380"/>
      <c r="C323" s="289"/>
      <c r="D323" s="290">
        <v>346872</v>
      </c>
      <c r="E323" s="291"/>
      <c r="J323" s="404"/>
      <c r="M323" s="291"/>
      <c r="N323" s="227"/>
    </row>
    <row r="324" spans="1:16">
      <c r="A324" s="379" t="s">
        <v>190</v>
      </c>
      <c r="B324" s="380"/>
      <c r="C324" s="289"/>
      <c r="D324" s="290">
        <v>175000</v>
      </c>
      <c r="E324" s="291"/>
      <c r="J324" s="404"/>
      <c r="M324" s="291"/>
      <c r="N324" s="227"/>
    </row>
    <row r="325" spans="1:16">
      <c r="A325" s="379" t="s">
        <v>191</v>
      </c>
      <c r="B325" s="284"/>
      <c r="C325" s="289"/>
      <c r="D325" s="290">
        <v>432476</v>
      </c>
      <c r="E325" s="291"/>
      <c r="J325" s="688"/>
      <c r="L325" s="291"/>
      <c r="M325" s="300"/>
      <c r="N325" s="300"/>
    </row>
    <row r="326" spans="1:16">
      <c r="A326" s="379" t="s">
        <v>192</v>
      </c>
      <c r="B326" s="284"/>
      <c r="C326" s="289"/>
      <c r="D326" s="290">
        <v>433593</v>
      </c>
      <c r="E326" s="291"/>
      <c r="F326" s="291"/>
      <c r="M326" s="300"/>
      <c r="N326" s="227"/>
    </row>
    <row r="327" spans="1:16">
      <c r="A327" s="379" t="s">
        <v>193</v>
      </c>
      <c r="B327" s="284"/>
      <c r="C327" s="289"/>
      <c r="D327" s="290">
        <v>386336</v>
      </c>
      <c r="E327" s="291"/>
      <c r="F327" s="291"/>
      <c r="L327" s="394"/>
      <c r="M327" s="291"/>
      <c r="N327" s="227"/>
    </row>
    <row r="328" spans="1:16">
      <c r="A328" s="283" t="s">
        <v>194</v>
      </c>
      <c r="B328" s="284"/>
      <c r="C328" s="289"/>
      <c r="D328" s="290">
        <v>263550</v>
      </c>
      <c r="E328" s="291"/>
      <c r="G328" s="244"/>
      <c r="H328" s="244"/>
      <c r="I328" s="244"/>
      <c r="J328" s="244"/>
      <c r="K328" s="244"/>
      <c r="L328" s="320"/>
      <c r="M328" s="244"/>
      <c r="N328" s="227"/>
    </row>
    <row r="329" spans="1:16">
      <c r="A329" s="527" t="s">
        <v>195</v>
      </c>
      <c r="B329" s="286"/>
      <c r="C329" s="289"/>
      <c r="D329" s="290">
        <v>55220</v>
      </c>
      <c r="E329" s="291"/>
      <c r="G329" s="244"/>
      <c r="H329" s="244"/>
      <c r="I329" s="244"/>
      <c r="J329" s="244"/>
      <c r="K329" s="244"/>
      <c r="L329" s="320"/>
      <c r="M329" s="244"/>
      <c r="N329" s="227"/>
    </row>
    <row r="330" spans="1:16">
      <c r="A330" s="526" t="s">
        <v>196</v>
      </c>
      <c r="C330" s="388"/>
      <c r="D330" s="290">
        <v>26500</v>
      </c>
      <c r="E330" s="291"/>
      <c r="G330" s="244"/>
      <c r="H330" s="244"/>
      <c r="I330" s="244"/>
      <c r="J330" s="244"/>
      <c r="K330" s="244"/>
      <c r="L330" s="320"/>
      <c r="M330" s="244"/>
      <c r="N330" s="227"/>
    </row>
    <row r="331" spans="1:16" ht="13.5" thickBot="1">
      <c r="A331" s="299" t="s">
        <v>197</v>
      </c>
      <c r="D331" s="815">
        <v>644838</v>
      </c>
      <c r="E331" s="291"/>
      <c r="G331" s="244"/>
      <c r="H331" s="244"/>
      <c r="I331" s="244"/>
      <c r="J331" s="244"/>
      <c r="K331" s="244"/>
      <c r="L331" s="320"/>
      <c r="M331" s="244"/>
      <c r="N331" s="227"/>
    </row>
    <row r="332" spans="1:16" ht="13.5" thickBot="1">
      <c r="A332" s="294" t="s">
        <v>167</v>
      </c>
      <c r="B332" s="296"/>
      <c r="C332" s="389"/>
      <c r="D332" s="488">
        <f>SUM(D321:D331)</f>
        <v>3426015</v>
      </c>
      <c r="E332" s="291"/>
      <c r="G332" s="244"/>
      <c r="H332" s="244"/>
      <c r="I332" s="244"/>
      <c r="J332" s="244"/>
      <c r="K332" s="244"/>
      <c r="L332" s="517"/>
      <c r="M332" s="244"/>
      <c r="N332" s="227"/>
    </row>
    <row r="333" spans="1:16">
      <c r="A333" s="390" t="s">
        <v>168</v>
      </c>
      <c r="B333" s="391"/>
      <c r="C333" s="392"/>
      <c r="D333" s="393">
        <f>D332/12</f>
        <v>285501.25</v>
      </c>
      <c r="E333" s="291"/>
      <c r="G333" s="244"/>
      <c r="H333" s="244"/>
      <c r="I333" s="244"/>
      <c r="J333" s="244"/>
      <c r="K333" s="244"/>
      <c r="L333" s="517"/>
      <c r="M333" s="244"/>
      <c r="N333" s="227"/>
    </row>
    <row r="334" spans="1:16">
      <c r="C334" s="394"/>
      <c r="E334" s="291"/>
      <c r="G334" s="244"/>
      <c r="H334" s="244"/>
      <c r="I334" s="244"/>
      <c r="J334" s="244"/>
      <c r="K334" s="244"/>
      <c r="L334" s="517"/>
      <c r="M334" s="244"/>
      <c r="N334" s="227"/>
    </row>
    <row r="335" spans="1:16">
      <c r="B335" s="258" t="s">
        <v>113</v>
      </c>
      <c r="C335" s="244"/>
      <c r="D335" s="244"/>
      <c r="E335" s="244"/>
      <c r="F335" s="244"/>
      <c r="G335" s="244"/>
      <c r="H335" s="244"/>
      <c r="I335" s="244"/>
      <c r="J335" s="244"/>
      <c r="K335" s="244"/>
      <c r="L335" s="244"/>
      <c r="M335" s="244"/>
      <c r="N335" s="244"/>
      <c r="O335" s="227"/>
    </row>
    <row r="336" spans="1:16">
      <c r="A336" s="525" t="s">
        <v>112</v>
      </c>
      <c r="B336" s="328"/>
      <c r="C336" s="232" t="s">
        <v>44</v>
      </c>
      <c r="D336" s="232" t="s">
        <v>45</v>
      </c>
      <c r="E336" s="232" t="s">
        <v>46</v>
      </c>
      <c r="F336" s="232" t="s">
        <v>47</v>
      </c>
      <c r="G336" s="232" t="s">
        <v>48</v>
      </c>
      <c r="H336" s="232" t="s">
        <v>49</v>
      </c>
      <c r="I336" s="232" t="s">
        <v>38</v>
      </c>
      <c r="J336" s="232" t="s">
        <v>39</v>
      </c>
      <c r="K336" s="232" t="s">
        <v>40</v>
      </c>
      <c r="L336" s="232" t="s">
        <v>41</v>
      </c>
      <c r="M336" s="232" t="s">
        <v>42</v>
      </c>
      <c r="N336" s="232" t="s">
        <v>43</v>
      </c>
      <c r="O336" s="228"/>
      <c r="P336" s="708"/>
    </row>
    <row r="337" spans="1:17" ht="13.5" thickBot="1">
      <c r="B337" s="231" t="s">
        <v>115</v>
      </c>
      <c r="C337" s="329">
        <f t="shared" ref="C337:N337" si="71">$D$333</f>
        <v>285501.25</v>
      </c>
      <c r="D337" s="329">
        <f t="shared" si="71"/>
        <v>285501.25</v>
      </c>
      <c r="E337" s="329">
        <f t="shared" si="71"/>
        <v>285501.25</v>
      </c>
      <c r="F337" s="329">
        <f t="shared" si="71"/>
        <v>285501.25</v>
      </c>
      <c r="G337" s="329">
        <f t="shared" si="71"/>
        <v>285501.25</v>
      </c>
      <c r="H337" s="329">
        <f t="shared" si="71"/>
        <v>285501.25</v>
      </c>
      <c r="I337" s="329">
        <f t="shared" si="71"/>
        <v>285501.25</v>
      </c>
      <c r="J337" s="329">
        <f t="shared" si="71"/>
        <v>285501.25</v>
      </c>
      <c r="K337" s="329">
        <f t="shared" si="71"/>
        <v>285501.25</v>
      </c>
      <c r="L337" s="329">
        <f t="shared" si="71"/>
        <v>285501.25</v>
      </c>
      <c r="M337" s="329">
        <f t="shared" si="71"/>
        <v>285501.25</v>
      </c>
      <c r="N337" s="329">
        <f t="shared" si="71"/>
        <v>285501.25</v>
      </c>
      <c r="O337" s="329">
        <f t="shared" ref="O337:O345" si="72">SUM(C337:N337)</f>
        <v>3426015</v>
      </c>
      <c r="P337" s="708"/>
    </row>
    <row r="338" spans="1:17" ht="13.5" thickBot="1">
      <c r="B338" s="333" t="s">
        <v>169</v>
      </c>
      <c r="C338" s="395">
        <f>C337</f>
        <v>285501.25</v>
      </c>
      <c r="D338" s="395">
        <f t="shared" ref="D338:N338" si="73">D337</f>
        <v>285501.25</v>
      </c>
      <c r="E338" s="395">
        <f t="shared" si="73"/>
        <v>285501.25</v>
      </c>
      <c r="F338" s="395">
        <f t="shared" si="73"/>
        <v>285501.25</v>
      </c>
      <c r="G338" s="395">
        <f t="shared" si="73"/>
        <v>285501.25</v>
      </c>
      <c r="H338" s="395">
        <f t="shared" si="73"/>
        <v>285501.25</v>
      </c>
      <c r="I338" s="395">
        <f t="shared" si="73"/>
        <v>285501.25</v>
      </c>
      <c r="J338" s="395">
        <f t="shared" si="73"/>
        <v>285501.25</v>
      </c>
      <c r="K338" s="395">
        <f t="shared" si="73"/>
        <v>285501.25</v>
      </c>
      <c r="L338" s="395">
        <f t="shared" si="73"/>
        <v>285501.25</v>
      </c>
      <c r="M338" s="395">
        <f t="shared" si="73"/>
        <v>285501.25</v>
      </c>
      <c r="N338" s="395">
        <f t="shared" si="73"/>
        <v>285501.25</v>
      </c>
      <c r="O338" s="395">
        <f t="shared" si="72"/>
        <v>3426015</v>
      </c>
      <c r="P338" s="708"/>
    </row>
    <row r="339" spans="1:17">
      <c r="A339" s="226">
        <v>9840000000</v>
      </c>
      <c r="B339" s="336" t="s">
        <v>198</v>
      </c>
      <c r="C339" s="337"/>
      <c r="D339" s="337"/>
      <c r="E339" s="337"/>
      <c r="F339" s="337"/>
      <c r="G339" s="337"/>
      <c r="H339" s="338"/>
      <c r="I339" s="337"/>
      <c r="J339" s="337"/>
      <c r="K339" s="337"/>
      <c r="L339" s="337"/>
      <c r="M339" s="337"/>
      <c r="N339" s="337"/>
      <c r="O339" s="337">
        <f t="shared" si="72"/>
        <v>0</v>
      </c>
      <c r="P339" s="708"/>
    </row>
    <row r="340" spans="1:17">
      <c r="A340" s="226">
        <v>9840000000</v>
      </c>
      <c r="B340" s="336" t="s">
        <v>199</v>
      </c>
      <c r="C340" s="337"/>
      <c r="D340" s="337"/>
      <c r="E340" s="337"/>
      <c r="F340" s="337"/>
      <c r="G340" s="337"/>
      <c r="H340" s="338"/>
      <c r="I340" s="337"/>
      <c r="J340" s="337"/>
      <c r="K340" s="337"/>
      <c r="L340" s="337"/>
      <c r="M340" s="337"/>
      <c r="N340" s="337"/>
      <c r="O340" s="337">
        <f t="shared" si="72"/>
        <v>0</v>
      </c>
      <c r="P340" s="708"/>
    </row>
    <row r="341" spans="1:17" ht="13.5" thickBot="1">
      <c r="B341" s="349"/>
      <c r="C341" s="344"/>
      <c r="D341" s="344"/>
      <c r="E341" s="344"/>
      <c r="F341" s="344"/>
      <c r="G341" s="344"/>
      <c r="H341" s="518"/>
      <c r="I341" s="344"/>
      <c r="J341" s="344"/>
      <c r="K341" s="330"/>
      <c r="L341" s="344"/>
      <c r="M341" s="344"/>
      <c r="N341" s="344"/>
      <c r="O341" s="344">
        <f t="shared" si="72"/>
        <v>0</v>
      </c>
      <c r="P341" s="708"/>
    </row>
    <row r="342" spans="1:17" ht="13.5" thickBot="1">
      <c r="B342" s="360" t="s">
        <v>129</v>
      </c>
      <c r="C342" s="361">
        <f t="shared" ref="C342:N342" si="74">SUM(C339:C341)</f>
        <v>0</v>
      </c>
      <c r="D342" s="361">
        <f t="shared" si="74"/>
        <v>0</v>
      </c>
      <c r="E342" s="361">
        <f t="shared" si="74"/>
        <v>0</v>
      </c>
      <c r="F342" s="361">
        <f t="shared" si="74"/>
        <v>0</v>
      </c>
      <c r="G342" s="361">
        <f t="shared" si="74"/>
        <v>0</v>
      </c>
      <c r="H342" s="361">
        <f t="shared" si="74"/>
        <v>0</v>
      </c>
      <c r="I342" s="361">
        <f t="shared" si="74"/>
        <v>0</v>
      </c>
      <c r="J342" s="361">
        <f t="shared" si="74"/>
        <v>0</v>
      </c>
      <c r="K342" s="361">
        <f t="shared" si="74"/>
        <v>0</v>
      </c>
      <c r="L342" s="361">
        <f t="shared" si="74"/>
        <v>0</v>
      </c>
      <c r="M342" s="361">
        <f t="shared" si="74"/>
        <v>0</v>
      </c>
      <c r="N342" s="361">
        <f t="shared" si="74"/>
        <v>0</v>
      </c>
      <c r="O342" s="397">
        <f t="shared" si="72"/>
        <v>0</v>
      </c>
      <c r="P342" s="708"/>
    </row>
    <row r="343" spans="1:17">
      <c r="B343" s="228" t="s">
        <v>127</v>
      </c>
      <c r="C343" s="332"/>
      <c r="D343" s="332"/>
      <c r="E343" s="332"/>
      <c r="F343" s="332"/>
      <c r="G343" s="332"/>
      <c r="H343" s="398"/>
      <c r="I343" s="332"/>
      <c r="J343" s="332"/>
      <c r="K343" s="332"/>
      <c r="L343" s="332"/>
      <c r="M343" s="332"/>
      <c r="N343" s="332"/>
      <c r="O343" s="332">
        <f t="shared" si="72"/>
        <v>0</v>
      </c>
      <c r="P343" s="708"/>
    </row>
    <row r="344" spans="1:17">
      <c r="B344" s="363" t="s">
        <v>129</v>
      </c>
      <c r="C344" s="399">
        <f t="shared" ref="C344:N344" si="75">SUM(C338,C342,C343)</f>
        <v>285501.25</v>
      </c>
      <c r="D344" s="399">
        <f t="shared" si="75"/>
        <v>285501.25</v>
      </c>
      <c r="E344" s="399">
        <f t="shared" si="75"/>
        <v>285501.25</v>
      </c>
      <c r="F344" s="399">
        <f t="shared" si="75"/>
        <v>285501.25</v>
      </c>
      <c r="G344" s="399">
        <f t="shared" si="75"/>
        <v>285501.25</v>
      </c>
      <c r="H344" s="399">
        <f t="shared" si="75"/>
        <v>285501.25</v>
      </c>
      <c r="I344" s="399">
        <f t="shared" si="75"/>
        <v>285501.25</v>
      </c>
      <c r="J344" s="399">
        <f t="shared" si="75"/>
        <v>285501.25</v>
      </c>
      <c r="K344" s="399">
        <f t="shared" si="75"/>
        <v>285501.25</v>
      </c>
      <c r="L344" s="399">
        <f t="shared" si="75"/>
        <v>285501.25</v>
      </c>
      <c r="M344" s="399">
        <f t="shared" si="75"/>
        <v>285501.25</v>
      </c>
      <c r="N344" s="399">
        <f t="shared" si="75"/>
        <v>285501.25</v>
      </c>
      <c r="O344" s="399">
        <f t="shared" si="72"/>
        <v>3426015</v>
      </c>
      <c r="P344" s="708"/>
    </row>
    <row r="345" spans="1:17">
      <c r="A345" s="525" t="s">
        <v>130</v>
      </c>
      <c r="B345" s="400" t="s">
        <v>172</v>
      </c>
      <c r="C345" s="331"/>
      <c r="D345" s="331"/>
      <c r="E345" s="331"/>
      <c r="F345" s="331"/>
      <c r="G345" s="331"/>
      <c r="H345" s="331"/>
      <c r="I345" s="331"/>
      <c r="J345" s="331"/>
      <c r="K345" s="331"/>
      <c r="L345" s="331"/>
      <c r="M345" s="331"/>
      <c r="N345" s="331"/>
      <c r="O345" s="331">
        <f t="shared" si="72"/>
        <v>0</v>
      </c>
      <c r="P345" s="817">
        <v>2211400</v>
      </c>
    </row>
    <row r="346" spans="1:17">
      <c r="A346" s="226">
        <v>2911800000</v>
      </c>
      <c r="B346" s="228" t="s">
        <v>135</v>
      </c>
      <c r="C346" s="331"/>
      <c r="D346" s="331"/>
      <c r="E346" s="331"/>
      <c r="F346" s="331"/>
      <c r="G346" s="331"/>
      <c r="H346" s="331"/>
      <c r="I346" s="331"/>
      <c r="J346" s="331"/>
      <c r="K346" s="331"/>
      <c r="L346" s="331"/>
      <c r="M346" s="331"/>
      <c r="N346" s="331"/>
      <c r="O346" s="331">
        <f t="shared" ref="O346:O354" si="76">SUM(C346:N346)</f>
        <v>0</v>
      </c>
      <c r="P346" s="708"/>
    </row>
    <row r="347" spans="1:17">
      <c r="A347" s="226">
        <v>4909900000</v>
      </c>
      <c r="B347" s="228" t="s">
        <v>139</v>
      </c>
      <c r="C347" s="331"/>
      <c r="D347" s="331"/>
      <c r="E347" s="331"/>
      <c r="F347" s="331"/>
      <c r="G347" s="331"/>
      <c r="H347" s="331"/>
      <c r="I347" s="331"/>
      <c r="J347" s="331"/>
      <c r="K347" s="331"/>
      <c r="L347" s="331"/>
      <c r="M347" s="331"/>
      <c r="N347" s="331"/>
      <c r="O347" s="331">
        <f t="shared" si="76"/>
        <v>0</v>
      </c>
      <c r="P347" s="708"/>
      <c r="Q347" s="525"/>
    </row>
    <row r="348" spans="1:17">
      <c r="A348" s="226">
        <v>9845500000</v>
      </c>
      <c r="B348" s="228" t="s">
        <v>178</v>
      </c>
      <c r="C348" s="331"/>
      <c r="D348" s="331"/>
      <c r="E348" s="331"/>
      <c r="F348" s="331"/>
      <c r="G348" s="331"/>
      <c r="H348" s="331"/>
      <c r="I348" s="331"/>
      <c r="J348" s="331"/>
      <c r="K348" s="331"/>
      <c r="L348" s="331"/>
      <c r="M348" s="331"/>
      <c r="N348" s="331"/>
      <c r="O348" s="331">
        <f t="shared" si="76"/>
        <v>0</v>
      </c>
      <c r="P348" s="817">
        <v>110000</v>
      </c>
    </row>
    <row r="349" spans="1:17">
      <c r="A349" s="226">
        <v>4009900000</v>
      </c>
      <c r="B349" s="228" t="s">
        <v>136</v>
      </c>
      <c r="C349" s="331"/>
      <c r="D349" s="331"/>
      <c r="E349" s="331"/>
      <c r="F349" s="331"/>
      <c r="G349" s="331"/>
      <c r="H349" s="331"/>
      <c r="I349" s="331"/>
      <c r="J349" s="331"/>
      <c r="K349" s="331"/>
      <c r="L349" s="331"/>
      <c r="M349" s="331"/>
      <c r="N349" s="331"/>
      <c r="O349" s="331">
        <f t="shared" si="76"/>
        <v>0</v>
      </c>
      <c r="P349" s="708"/>
      <c r="Q349" s="525"/>
    </row>
    <row r="350" spans="1:17">
      <c r="A350" s="226">
        <v>4516500000</v>
      </c>
      <c r="B350" s="228" t="s">
        <v>180</v>
      </c>
      <c r="C350" s="331"/>
      <c r="D350" s="331"/>
      <c r="E350" s="331"/>
      <c r="F350" s="331"/>
      <c r="G350" s="331"/>
      <c r="H350" s="331"/>
      <c r="I350" s="331"/>
      <c r="J350" s="331"/>
      <c r="K350" s="331"/>
      <c r="L350" s="331"/>
      <c r="M350" s="331"/>
      <c r="N350" s="331"/>
      <c r="O350" s="331">
        <f t="shared" si="76"/>
        <v>0</v>
      </c>
      <c r="P350" s="817">
        <v>25000</v>
      </c>
    </row>
    <row r="351" spans="1:17">
      <c r="A351" s="226">
        <v>2909900000</v>
      </c>
      <c r="B351" s="228" t="s">
        <v>181</v>
      </c>
      <c r="C351" s="331"/>
      <c r="D351" s="331"/>
      <c r="E351" s="331"/>
      <c r="F351" s="331"/>
      <c r="G351" s="331"/>
      <c r="H351" s="331"/>
      <c r="I351" s="331"/>
      <c r="J351" s="331"/>
      <c r="K351" s="331"/>
      <c r="L351" s="331"/>
      <c r="M351" s="331"/>
      <c r="N351" s="331"/>
      <c r="O351" s="331">
        <f t="shared" si="76"/>
        <v>0</v>
      </c>
      <c r="P351" s="708"/>
    </row>
    <row r="352" spans="1:17">
      <c r="B352" s="228"/>
      <c r="C352" s="331"/>
      <c r="D352" s="331"/>
      <c r="E352" s="331"/>
      <c r="F352" s="331"/>
      <c r="G352" s="331"/>
      <c r="H352" s="331"/>
      <c r="I352" s="331"/>
      <c r="J352" s="331"/>
      <c r="K352" s="331"/>
      <c r="L352" s="331"/>
      <c r="M352" s="331"/>
      <c r="N352" s="331"/>
      <c r="O352" s="331">
        <f t="shared" si="76"/>
        <v>0</v>
      </c>
      <c r="P352" s="708"/>
    </row>
    <row r="353" spans="1:16">
      <c r="B353" s="228"/>
      <c r="C353" s="329"/>
      <c r="D353" s="329"/>
      <c r="E353" s="329"/>
      <c r="F353" s="329"/>
      <c r="G353" s="329"/>
      <c r="H353" s="329"/>
      <c r="I353" s="329"/>
      <c r="J353" s="329"/>
      <c r="K353" s="329"/>
      <c r="L353" s="329"/>
      <c r="M353" s="329"/>
      <c r="N353" s="329"/>
      <c r="O353" s="331">
        <f t="shared" si="76"/>
        <v>0</v>
      </c>
      <c r="P353" s="708"/>
    </row>
    <row r="354" spans="1:16" ht="13.5" thickBot="1">
      <c r="B354" s="349"/>
      <c r="C354" s="331"/>
      <c r="D354" s="331"/>
      <c r="E354" s="331"/>
      <c r="F354" s="331"/>
      <c r="G354" s="331"/>
      <c r="H354" s="331"/>
      <c r="I354" s="331"/>
      <c r="J354" s="331"/>
      <c r="K354" s="331"/>
      <c r="L354" s="331"/>
      <c r="M354" s="331"/>
      <c r="N354" s="331"/>
      <c r="O354" s="331">
        <f t="shared" si="76"/>
        <v>0</v>
      </c>
      <c r="P354" s="708"/>
    </row>
    <row r="355" spans="1:16" ht="13.5" thickBot="1">
      <c r="B355" s="690" t="s">
        <v>145</v>
      </c>
      <c r="C355" s="334">
        <f>SUM(C345:C354)</f>
        <v>0</v>
      </c>
      <c r="D355" s="334">
        <f t="shared" ref="D355:O355" si="77">SUM(D345:D354)</f>
        <v>0</v>
      </c>
      <c r="E355" s="334">
        <f t="shared" si="77"/>
        <v>0</v>
      </c>
      <c r="F355" s="334">
        <f t="shared" si="77"/>
        <v>0</v>
      </c>
      <c r="G355" s="334">
        <f t="shared" si="77"/>
        <v>0</v>
      </c>
      <c r="H355" s="334">
        <f t="shared" si="77"/>
        <v>0</v>
      </c>
      <c r="I355" s="334">
        <f t="shared" si="77"/>
        <v>0</v>
      </c>
      <c r="J355" s="334">
        <f t="shared" si="77"/>
        <v>0</v>
      </c>
      <c r="K355" s="334">
        <f t="shared" si="77"/>
        <v>0</v>
      </c>
      <c r="L355" s="334">
        <f t="shared" si="77"/>
        <v>0</v>
      </c>
      <c r="M355" s="334">
        <f t="shared" si="77"/>
        <v>0</v>
      </c>
      <c r="N355" s="334">
        <f t="shared" si="77"/>
        <v>0</v>
      </c>
      <c r="O355" s="334">
        <f t="shared" si="77"/>
        <v>0</v>
      </c>
      <c r="P355" s="708"/>
    </row>
    <row r="356" spans="1:16" ht="13.5" thickBot="1">
      <c r="B356" s="695" t="s">
        <v>146</v>
      </c>
      <c r="C356" s="351">
        <f t="shared" ref="C356:O356" si="78">C344-SUM(C345:C354)</f>
        <v>285501.25</v>
      </c>
      <c r="D356" s="351">
        <f t="shared" si="78"/>
        <v>285501.25</v>
      </c>
      <c r="E356" s="351">
        <f t="shared" si="78"/>
        <v>285501.25</v>
      </c>
      <c r="F356" s="351">
        <f t="shared" si="78"/>
        <v>285501.25</v>
      </c>
      <c r="G356" s="351">
        <f t="shared" si="78"/>
        <v>285501.25</v>
      </c>
      <c r="H356" s="351">
        <f t="shared" si="78"/>
        <v>285501.25</v>
      </c>
      <c r="I356" s="351">
        <f t="shared" si="78"/>
        <v>285501.25</v>
      </c>
      <c r="J356" s="351">
        <f t="shared" si="78"/>
        <v>285501.25</v>
      </c>
      <c r="K356" s="351">
        <f t="shared" si="78"/>
        <v>285501.25</v>
      </c>
      <c r="L356" s="351">
        <f t="shared" si="78"/>
        <v>285501.25</v>
      </c>
      <c r="M356" s="351">
        <f t="shared" si="78"/>
        <v>285501.25</v>
      </c>
      <c r="N356" s="351">
        <f t="shared" si="78"/>
        <v>285501.25</v>
      </c>
      <c r="O356" s="351">
        <f t="shared" si="78"/>
        <v>3426015</v>
      </c>
      <c r="P356" s="708"/>
    </row>
    <row r="357" spans="1:16">
      <c r="A357" s="645"/>
      <c r="B357" s="646"/>
      <c r="C357" s="646"/>
      <c r="D357" s="646"/>
      <c r="E357" s="646"/>
      <c r="F357" s="646"/>
      <c r="G357" s="646"/>
      <c r="H357" s="646"/>
      <c r="I357" s="646"/>
      <c r="J357" s="646"/>
      <c r="K357" s="646"/>
      <c r="L357" s="646"/>
      <c r="M357" s="646"/>
      <c r="N357" s="647"/>
    </row>
    <row r="358" spans="1:16" ht="20.25">
      <c r="A358" s="827" t="s">
        <v>200</v>
      </c>
      <c r="B358" s="827"/>
      <c r="C358" s="827"/>
      <c r="D358" s="827"/>
      <c r="E358" s="827"/>
      <c r="F358" s="827"/>
      <c r="G358" s="827"/>
      <c r="H358" s="827"/>
      <c r="I358" s="827"/>
      <c r="J358" s="827"/>
      <c r="K358" s="827"/>
      <c r="L358" s="827"/>
      <c r="M358" s="827"/>
      <c r="N358" s="827"/>
    </row>
    <row r="359" spans="1:16">
      <c r="A359" s="645"/>
      <c r="B359" s="646"/>
      <c r="C359" s="646"/>
      <c r="D359" s="646"/>
      <c r="E359" s="646"/>
      <c r="F359" s="646"/>
      <c r="G359" s="646"/>
      <c r="H359" s="646"/>
      <c r="I359" s="646"/>
      <c r="J359" s="646"/>
      <c r="K359" s="646"/>
      <c r="L359" s="646"/>
      <c r="M359" s="646"/>
      <c r="N359" s="647"/>
    </row>
    <row r="360" spans="1:16">
      <c r="A360" s="649" t="s">
        <v>201</v>
      </c>
      <c r="B360" s="650">
        <f t="shared" ref="B360:N360" si="79">C143</f>
        <v>1866933.9166666665</v>
      </c>
      <c r="C360" s="650">
        <f t="shared" si="79"/>
        <v>1874568.9166666665</v>
      </c>
      <c r="D360" s="650">
        <f t="shared" si="79"/>
        <v>1924393.9166666665</v>
      </c>
      <c r="E360" s="650">
        <f t="shared" si="79"/>
        <v>1860693.9166666665</v>
      </c>
      <c r="F360" s="650">
        <f t="shared" si="79"/>
        <v>1941193.9166666665</v>
      </c>
      <c r="G360" s="650">
        <f t="shared" si="79"/>
        <v>1876095.9166666665</v>
      </c>
      <c r="H360" s="650">
        <f t="shared" si="79"/>
        <v>1808393.9166666665</v>
      </c>
      <c r="I360" s="650">
        <f t="shared" si="79"/>
        <v>1808393.9166666665</v>
      </c>
      <c r="J360" s="650">
        <f t="shared" si="79"/>
        <v>1808393.9166666665</v>
      </c>
      <c r="K360" s="650">
        <f t="shared" si="79"/>
        <v>1808393.9166666665</v>
      </c>
      <c r="L360" s="650">
        <f t="shared" si="79"/>
        <v>1808393.9166666665</v>
      </c>
      <c r="M360" s="650">
        <f t="shared" si="79"/>
        <v>1808393.9166666665</v>
      </c>
      <c r="N360" s="650">
        <f t="shared" si="79"/>
        <v>22194244</v>
      </c>
    </row>
    <row r="361" spans="1:16">
      <c r="A361" s="649" t="s">
        <v>202</v>
      </c>
      <c r="B361" s="650">
        <f>B201</f>
        <v>0</v>
      </c>
      <c r="C361" s="650">
        <f t="shared" ref="C361:N361" si="80">C201</f>
        <v>0</v>
      </c>
      <c r="D361" s="650">
        <f t="shared" si="80"/>
        <v>0</v>
      </c>
      <c r="E361" s="650">
        <f t="shared" si="80"/>
        <v>0</v>
      </c>
      <c r="F361" s="650">
        <f t="shared" si="80"/>
        <v>0</v>
      </c>
      <c r="G361" s="650">
        <f t="shared" si="80"/>
        <v>0</v>
      </c>
      <c r="H361" s="650">
        <f t="shared" si="80"/>
        <v>0</v>
      </c>
      <c r="I361" s="650">
        <f t="shared" si="80"/>
        <v>0</v>
      </c>
      <c r="J361" s="650">
        <f t="shared" si="80"/>
        <v>0</v>
      </c>
      <c r="K361" s="650">
        <f t="shared" si="80"/>
        <v>0</v>
      </c>
      <c r="L361" s="650">
        <f t="shared" si="80"/>
        <v>0</v>
      </c>
      <c r="M361" s="650">
        <f t="shared" si="80"/>
        <v>0</v>
      </c>
      <c r="N361" s="650">
        <f t="shared" si="80"/>
        <v>0</v>
      </c>
    </row>
    <row r="362" spans="1:16">
      <c r="A362" s="686" t="s">
        <v>203</v>
      </c>
      <c r="B362" s="687">
        <f t="shared" ref="B362:N362" si="81">C278</f>
        <v>224982.91666666666</v>
      </c>
      <c r="C362" s="687">
        <f t="shared" si="81"/>
        <v>224982.91666666666</v>
      </c>
      <c r="D362" s="687">
        <f t="shared" si="81"/>
        <v>224982.91666666666</v>
      </c>
      <c r="E362" s="687">
        <f t="shared" si="81"/>
        <v>224982.91666666666</v>
      </c>
      <c r="F362" s="687">
        <f t="shared" si="81"/>
        <v>224982.91666666666</v>
      </c>
      <c r="G362" s="687">
        <f t="shared" si="81"/>
        <v>224982.91666666666</v>
      </c>
      <c r="H362" s="687">
        <f t="shared" si="81"/>
        <v>224982.91666666666</v>
      </c>
      <c r="I362" s="687">
        <f t="shared" si="81"/>
        <v>224982.91666666666</v>
      </c>
      <c r="J362" s="687">
        <f t="shared" si="81"/>
        <v>224982.91666666666</v>
      </c>
      <c r="K362" s="687">
        <f t="shared" si="81"/>
        <v>224982.91666666666</v>
      </c>
      <c r="L362" s="687">
        <f t="shared" si="81"/>
        <v>224982.91666666666</v>
      </c>
      <c r="M362" s="687">
        <f t="shared" si="81"/>
        <v>224982.91666666666</v>
      </c>
      <c r="N362" s="687">
        <f t="shared" si="81"/>
        <v>2699795</v>
      </c>
    </row>
    <row r="363" spans="1:16" ht="13.5" thickBot="1">
      <c r="A363" s="653" t="s">
        <v>204</v>
      </c>
      <c r="B363" s="654">
        <f t="shared" ref="B363:N363" si="82">C356</f>
        <v>285501.25</v>
      </c>
      <c r="C363" s="654">
        <f t="shared" si="82"/>
        <v>285501.25</v>
      </c>
      <c r="D363" s="654">
        <f t="shared" si="82"/>
        <v>285501.25</v>
      </c>
      <c r="E363" s="654">
        <f t="shared" si="82"/>
        <v>285501.25</v>
      </c>
      <c r="F363" s="654">
        <f t="shared" si="82"/>
        <v>285501.25</v>
      </c>
      <c r="G363" s="654">
        <f t="shared" si="82"/>
        <v>285501.25</v>
      </c>
      <c r="H363" s="654">
        <f t="shared" si="82"/>
        <v>285501.25</v>
      </c>
      <c r="I363" s="654">
        <f t="shared" si="82"/>
        <v>285501.25</v>
      </c>
      <c r="J363" s="654">
        <f t="shared" si="82"/>
        <v>285501.25</v>
      </c>
      <c r="K363" s="654">
        <f t="shared" si="82"/>
        <v>285501.25</v>
      </c>
      <c r="L363" s="654">
        <f t="shared" si="82"/>
        <v>285501.25</v>
      </c>
      <c r="M363" s="654">
        <f t="shared" si="82"/>
        <v>285501.25</v>
      </c>
      <c r="N363" s="654">
        <f t="shared" si="82"/>
        <v>3426015</v>
      </c>
    </row>
    <row r="364" spans="1:16" ht="13.5" thickBot="1">
      <c r="A364" s="651" t="s">
        <v>205</v>
      </c>
      <c r="B364" s="652">
        <f>SUM(B360:B363)</f>
        <v>2377418.083333333</v>
      </c>
      <c r="C364" s="652">
        <f t="shared" ref="C364:N364" si="83">SUM(C360:C363)</f>
        <v>2385053.083333333</v>
      </c>
      <c r="D364" s="652">
        <f t="shared" si="83"/>
        <v>2434878.083333333</v>
      </c>
      <c r="E364" s="652">
        <f t="shared" si="83"/>
        <v>2371178.083333333</v>
      </c>
      <c r="F364" s="652">
        <f t="shared" si="83"/>
        <v>2451678.083333333</v>
      </c>
      <c r="G364" s="652">
        <f t="shared" si="83"/>
        <v>2386580.083333333</v>
      </c>
      <c r="H364" s="652">
        <f t="shared" si="83"/>
        <v>2318878.083333333</v>
      </c>
      <c r="I364" s="652">
        <f t="shared" si="83"/>
        <v>2318878.083333333</v>
      </c>
      <c r="J364" s="652">
        <f t="shared" si="83"/>
        <v>2318878.083333333</v>
      </c>
      <c r="K364" s="652">
        <f t="shared" si="83"/>
        <v>2318878.083333333</v>
      </c>
      <c r="L364" s="652">
        <f t="shared" si="83"/>
        <v>2318878.083333333</v>
      </c>
      <c r="M364" s="652">
        <f t="shared" si="83"/>
        <v>2318878.083333333</v>
      </c>
      <c r="N364" s="652">
        <f t="shared" si="83"/>
        <v>28320054</v>
      </c>
    </row>
    <row r="365" spans="1:16">
      <c r="A365" s="645"/>
      <c r="B365" s="646"/>
      <c r="C365" s="646"/>
      <c r="D365" s="646"/>
      <c r="E365" s="646"/>
      <c r="F365" s="646"/>
      <c r="G365" s="646"/>
      <c r="H365" s="646"/>
      <c r="I365" s="646"/>
      <c r="J365" s="646"/>
      <c r="K365" s="646"/>
      <c r="L365" s="646"/>
      <c r="M365" s="646"/>
      <c r="N365" s="647"/>
    </row>
    <row r="366" spans="1:16">
      <c r="A366" s="645"/>
      <c r="B366" s="646"/>
      <c r="C366" s="646"/>
      <c r="D366" s="646"/>
      <c r="E366" s="646"/>
      <c r="F366" s="646"/>
      <c r="G366" s="646"/>
      <c r="H366" s="646"/>
      <c r="I366" s="646"/>
      <c r="J366" s="646"/>
      <c r="K366" s="646"/>
      <c r="L366" s="646"/>
      <c r="M366" s="646"/>
      <c r="N366" s="647"/>
    </row>
    <row r="367" spans="1:16">
      <c r="A367" s="645"/>
      <c r="B367" s="646"/>
      <c r="C367" s="646"/>
      <c r="D367" s="646"/>
      <c r="E367" s="646"/>
      <c r="F367" s="646"/>
      <c r="G367" s="646"/>
      <c r="H367" s="646"/>
      <c r="I367" s="646"/>
      <c r="J367" s="646"/>
      <c r="K367" s="646"/>
      <c r="L367" s="646"/>
      <c r="M367" s="646"/>
      <c r="N367" s="647"/>
    </row>
    <row r="368" spans="1:16">
      <c r="A368" s="645"/>
      <c r="B368" s="646"/>
      <c r="C368" s="646"/>
      <c r="D368" s="646"/>
      <c r="E368" s="646"/>
      <c r="F368" s="646"/>
      <c r="G368" s="646"/>
      <c r="H368" s="646"/>
      <c r="I368" s="646"/>
      <c r="J368" s="646"/>
      <c r="K368" s="646"/>
      <c r="L368" s="646"/>
      <c r="M368" s="646"/>
      <c r="N368" s="647"/>
    </row>
    <row r="369" spans="1:14">
      <c r="A369" s="645"/>
      <c r="B369" s="646"/>
      <c r="C369" s="646"/>
      <c r="D369" s="646"/>
      <c r="E369" s="646"/>
      <c r="F369" s="646"/>
      <c r="G369" s="646"/>
      <c r="H369" s="646"/>
      <c r="I369" s="646"/>
      <c r="J369" s="646"/>
      <c r="K369" s="646"/>
      <c r="L369" s="646"/>
      <c r="M369" s="646"/>
      <c r="N369" s="647"/>
    </row>
    <row r="370" spans="1:14">
      <c r="A370" s="645"/>
      <c r="B370" s="646"/>
      <c r="C370" s="646"/>
      <c r="D370" s="646"/>
      <c r="E370" s="646"/>
      <c r="F370" s="646"/>
      <c r="G370" s="646"/>
      <c r="H370" s="646"/>
      <c r="I370" s="646"/>
      <c r="J370" s="646"/>
      <c r="K370" s="646"/>
      <c r="L370" s="646"/>
      <c r="M370" s="646"/>
      <c r="N370" s="647"/>
    </row>
    <row r="371" spans="1:14">
      <c r="A371" s="645"/>
      <c r="B371" s="646"/>
      <c r="C371" s="646"/>
      <c r="D371" s="646"/>
      <c r="E371" s="646"/>
      <c r="F371" s="646"/>
      <c r="G371" s="646"/>
      <c r="H371" s="646"/>
      <c r="I371" s="646"/>
      <c r="J371" s="646"/>
      <c r="K371" s="646"/>
      <c r="L371" s="646"/>
      <c r="M371" s="646"/>
      <c r="N371" s="647"/>
    </row>
    <row r="372" spans="1:14">
      <c r="A372" s="645"/>
      <c r="B372" s="646"/>
      <c r="C372" s="646"/>
      <c r="D372" s="646"/>
      <c r="E372" s="646"/>
      <c r="F372" s="646"/>
      <c r="G372" s="646"/>
      <c r="H372" s="646"/>
      <c r="I372" s="646"/>
      <c r="J372" s="646"/>
      <c r="K372" s="646"/>
      <c r="L372" s="646"/>
      <c r="M372" s="646"/>
      <c r="N372" s="647"/>
    </row>
    <row r="373" spans="1:14">
      <c r="A373" s="645"/>
      <c r="B373" s="646"/>
      <c r="C373" s="646"/>
      <c r="D373" s="646"/>
      <c r="E373" s="646"/>
      <c r="F373" s="646"/>
      <c r="G373" s="646"/>
      <c r="H373" s="646"/>
      <c r="I373" s="646"/>
      <c r="J373" s="646"/>
      <c r="K373" s="646"/>
      <c r="L373" s="646"/>
      <c r="M373" s="646"/>
      <c r="N373" s="647"/>
    </row>
    <row r="374" spans="1:14" ht="14.25" customHeight="1">
      <c r="A374" s="645"/>
      <c r="B374" s="648"/>
      <c r="C374" s="648"/>
      <c r="D374" s="648"/>
      <c r="E374" s="648"/>
      <c r="F374" s="648"/>
      <c r="G374" s="648"/>
      <c r="H374" s="648"/>
      <c r="I374" s="648"/>
      <c r="J374" s="648"/>
      <c r="K374" s="648"/>
      <c r="L374" s="648"/>
      <c r="M374" s="648"/>
      <c r="N374" s="648"/>
    </row>
    <row r="375" spans="1:14">
      <c r="A375" s="645"/>
      <c r="B375" s="648"/>
      <c r="C375" s="648"/>
      <c r="D375" s="648"/>
      <c r="E375" s="648"/>
      <c r="F375" s="648"/>
      <c r="G375" s="648"/>
      <c r="H375" s="648"/>
      <c r="I375" s="648"/>
      <c r="J375" s="648"/>
      <c r="K375" s="648"/>
      <c r="L375" s="648"/>
      <c r="M375" s="648"/>
      <c r="N375" s="648"/>
    </row>
    <row r="376" spans="1:14" ht="13.5" thickBot="1">
      <c r="A376" s="281"/>
      <c r="B376" s="281"/>
      <c r="C376" s="281"/>
      <c r="D376" s="281"/>
      <c r="E376" s="281"/>
      <c r="F376" s="281"/>
      <c r="G376" s="281"/>
      <c r="H376" s="281"/>
      <c r="I376" s="281"/>
      <c r="J376" s="281"/>
      <c r="K376" s="281"/>
      <c r="L376" s="281"/>
      <c r="M376" s="281"/>
      <c r="N376" s="281"/>
    </row>
    <row r="377" spans="1:14" ht="20.25">
      <c r="A377" s="820" t="s">
        <v>206</v>
      </c>
      <c r="B377" s="820"/>
      <c r="C377" s="820"/>
      <c r="D377" s="820"/>
      <c r="E377" s="820"/>
      <c r="F377" s="820"/>
      <c r="G377" s="820"/>
      <c r="H377" s="820"/>
      <c r="I377" s="820"/>
      <c r="J377" s="820"/>
      <c r="K377" s="820"/>
      <c r="L377" s="820"/>
      <c r="M377" s="820"/>
      <c r="N377" s="820"/>
    </row>
    <row r="378" spans="1:14">
      <c r="A378" s="227"/>
      <c r="B378" s="227"/>
      <c r="C378" s="227"/>
      <c r="D378" s="227"/>
      <c r="E378" s="227"/>
      <c r="F378" s="227"/>
      <c r="G378" s="227"/>
      <c r="H378" s="227"/>
      <c r="I378" s="227"/>
      <c r="J378" s="227"/>
      <c r="K378" s="227"/>
      <c r="L378" s="227"/>
      <c r="M378" s="227"/>
    </row>
    <row r="379" spans="1:14">
      <c r="A379" s="228"/>
      <c r="B379" s="229" t="s">
        <v>44</v>
      </c>
      <c r="C379" s="229" t="s">
        <v>45</v>
      </c>
      <c r="D379" s="230" t="s">
        <v>46</v>
      </c>
      <c r="E379" s="229" t="s">
        <v>47</v>
      </c>
      <c r="F379" s="229" t="s">
        <v>48</v>
      </c>
      <c r="G379" s="230" t="s">
        <v>49</v>
      </c>
      <c r="H379" s="229" t="s">
        <v>38</v>
      </c>
      <c r="I379" s="229" t="s">
        <v>39</v>
      </c>
      <c r="J379" s="229" t="s">
        <v>40</v>
      </c>
      <c r="K379" s="229" t="s">
        <v>41</v>
      </c>
      <c r="L379" s="229" t="s">
        <v>42</v>
      </c>
      <c r="M379" s="229" t="s">
        <v>43</v>
      </c>
      <c r="N379" s="228" t="s">
        <v>64</v>
      </c>
    </row>
    <row r="380" spans="1:14">
      <c r="A380" s="231" t="s">
        <v>65</v>
      </c>
      <c r="B380" s="620">
        <v>2083</v>
      </c>
      <c r="C380" s="620">
        <v>2083</v>
      </c>
      <c r="D380" s="620">
        <v>2083</v>
      </c>
      <c r="E380" s="620">
        <v>2083</v>
      </c>
      <c r="F380" s="620">
        <v>2083</v>
      </c>
      <c r="G380" s="620">
        <v>2083</v>
      </c>
      <c r="H380" s="620">
        <v>2083</v>
      </c>
      <c r="I380" s="620">
        <v>2083</v>
      </c>
      <c r="J380" s="620">
        <v>2083</v>
      </c>
      <c r="K380" s="620">
        <v>2083</v>
      </c>
      <c r="L380" s="620">
        <v>2083</v>
      </c>
      <c r="M380" s="620">
        <v>2083</v>
      </c>
      <c r="N380" s="620">
        <f t="shared" ref="N380:N390" si="84">SUM(B380:M380)</f>
        <v>24996</v>
      </c>
    </row>
    <row r="381" spans="1:14">
      <c r="A381" s="231" t="s">
        <v>66</v>
      </c>
      <c r="B381" s="620"/>
      <c r="C381" s="620"/>
      <c r="D381" s="620"/>
      <c r="E381" s="620"/>
      <c r="F381" s="620"/>
      <c r="G381" s="621"/>
      <c r="H381" s="620"/>
      <c r="I381" s="620"/>
      <c r="J381" s="622"/>
      <c r="K381" s="620"/>
      <c r="L381" s="620"/>
      <c r="M381" s="620"/>
      <c r="N381" s="620">
        <f t="shared" si="84"/>
        <v>0</v>
      </c>
    </row>
    <row r="382" spans="1:14">
      <c r="A382" s="231" t="s">
        <v>67</v>
      </c>
      <c r="B382" s="620"/>
      <c r="C382" s="620"/>
      <c r="D382" s="620"/>
      <c r="E382" s="620"/>
      <c r="F382" s="620"/>
      <c r="G382" s="621"/>
      <c r="H382" s="620"/>
      <c r="I382" s="620"/>
      <c r="J382" s="620"/>
      <c r="K382" s="620"/>
      <c r="L382" s="620"/>
      <c r="M382" s="620"/>
      <c r="N382" s="620">
        <f t="shared" si="84"/>
        <v>0</v>
      </c>
    </row>
    <row r="383" spans="1:14">
      <c r="A383" s="231" t="s">
        <v>69</v>
      </c>
      <c r="B383" s="620"/>
      <c r="C383" s="620"/>
      <c r="D383" s="620"/>
      <c r="E383" s="620"/>
      <c r="F383" s="620"/>
      <c r="G383" s="621"/>
      <c r="H383" s="620"/>
      <c r="I383" s="620"/>
      <c r="J383" s="620"/>
      <c r="K383" s="620"/>
      <c r="L383" s="620"/>
      <c r="M383" s="620"/>
      <c r="N383" s="620">
        <f t="shared" si="84"/>
        <v>0</v>
      </c>
    </row>
    <row r="384" spans="1:14">
      <c r="A384" s="231" t="s">
        <v>70</v>
      </c>
      <c r="B384" s="620"/>
      <c r="C384" s="620"/>
      <c r="D384" s="620"/>
      <c r="E384" s="620"/>
      <c r="F384" s="620"/>
      <c r="G384" s="621"/>
      <c r="H384" s="620"/>
      <c r="I384" s="620"/>
      <c r="J384" s="620"/>
      <c r="K384" s="620"/>
      <c r="L384" s="620"/>
      <c r="M384" s="620"/>
      <c r="N384" s="620">
        <f t="shared" si="84"/>
        <v>0</v>
      </c>
    </row>
    <row r="385" spans="1:14">
      <c r="A385" s="231" t="s">
        <v>71</v>
      </c>
      <c r="B385" s="620"/>
      <c r="C385" s="620"/>
      <c r="D385" s="620"/>
      <c r="E385" s="620"/>
      <c r="F385" s="620"/>
      <c r="G385" s="621"/>
      <c r="H385" s="620"/>
      <c r="I385" s="620"/>
      <c r="J385" s="620"/>
      <c r="K385" s="620"/>
      <c r="L385" s="620"/>
      <c r="M385" s="620"/>
      <c r="N385" s="620">
        <f t="shared" si="84"/>
        <v>0</v>
      </c>
    </row>
    <row r="386" spans="1:14">
      <c r="A386" s="231" t="s">
        <v>72</v>
      </c>
      <c r="B386" s="620"/>
      <c r="C386" s="620"/>
      <c r="D386" s="620"/>
      <c r="E386" s="620"/>
      <c r="F386" s="620"/>
      <c r="G386" s="621"/>
      <c r="H386" s="620"/>
      <c r="I386" s="620"/>
      <c r="J386" s="620"/>
      <c r="K386" s="620"/>
      <c r="L386" s="620"/>
      <c r="M386" s="620"/>
      <c r="N386" s="620">
        <f t="shared" si="84"/>
        <v>0</v>
      </c>
    </row>
    <row r="387" spans="1:14">
      <c r="A387" s="231" t="s">
        <v>73</v>
      </c>
      <c r="B387" s="620"/>
      <c r="C387" s="620"/>
      <c r="D387" s="620"/>
      <c r="E387" s="620"/>
      <c r="F387" s="620"/>
      <c r="G387" s="621"/>
      <c r="H387" s="620"/>
      <c r="I387" s="620"/>
      <c r="J387" s="620"/>
      <c r="K387" s="620"/>
      <c r="L387" s="620"/>
      <c r="M387" s="620"/>
      <c r="N387" s="620">
        <f t="shared" si="84"/>
        <v>0</v>
      </c>
    </row>
    <row r="388" spans="1:14">
      <c r="A388" s="231" t="s">
        <v>74</v>
      </c>
      <c r="B388" s="620"/>
      <c r="C388" s="620"/>
      <c r="D388" s="620"/>
      <c r="E388" s="620"/>
      <c r="F388" s="620"/>
      <c r="G388" s="621"/>
      <c r="H388" s="620"/>
      <c r="I388" s="620"/>
      <c r="J388" s="620"/>
      <c r="K388" s="620"/>
      <c r="L388" s="620"/>
      <c r="M388" s="620"/>
      <c r="N388" s="620">
        <f t="shared" si="84"/>
        <v>0</v>
      </c>
    </row>
    <row r="389" spans="1:14">
      <c r="A389" s="231" t="s">
        <v>75</v>
      </c>
      <c r="B389" s="620"/>
      <c r="C389" s="620"/>
      <c r="D389" s="620"/>
      <c r="E389" s="620"/>
      <c r="F389" s="620"/>
      <c r="G389" s="621"/>
      <c r="H389" s="620"/>
      <c r="I389" s="620"/>
      <c r="J389" s="620"/>
      <c r="K389" s="620"/>
      <c r="L389" s="620"/>
      <c r="M389" s="620"/>
      <c r="N389" s="620">
        <f t="shared" si="84"/>
        <v>0</v>
      </c>
    </row>
    <row r="390" spans="1:14" ht="13.5" thickBot="1">
      <c r="A390" s="235" t="s">
        <v>76</v>
      </c>
      <c r="B390" s="623"/>
      <c r="C390" s="623"/>
      <c r="D390" s="623"/>
      <c r="E390" s="623"/>
      <c r="F390" s="623"/>
      <c r="G390" s="624"/>
      <c r="H390" s="623"/>
      <c r="I390" s="623"/>
      <c r="J390" s="623"/>
      <c r="K390" s="623"/>
      <c r="L390" s="623"/>
      <c r="M390" s="623"/>
      <c r="N390" s="625">
        <f t="shared" si="84"/>
        <v>0</v>
      </c>
    </row>
    <row r="391" spans="1:14" ht="13.5" thickBot="1">
      <c r="A391" s="239" t="s">
        <v>77</v>
      </c>
      <c r="B391" s="626">
        <f>SUM(B380:B382)-SUM(B383:B390)</f>
        <v>2083</v>
      </c>
      <c r="C391" s="626">
        <f t="shared" ref="C391:N391" si="85">SUM(C380:C382)-SUM(C383:C390)</f>
        <v>2083</v>
      </c>
      <c r="D391" s="626">
        <f t="shared" si="85"/>
        <v>2083</v>
      </c>
      <c r="E391" s="626">
        <f t="shared" si="85"/>
        <v>2083</v>
      </c>
      <c r="F391" s="626">
        <f t="shared" si="85"/>
        <v>2083</v>
      </c>
      <c r="G391" s="626">
        <f t="shared" si="85"/>
        <v>2083</v>
      </c>
      <c r="H391" s="626">
        <f t="shared" si="85"/>
        <v>2083</v>
      </c>
      <c r="I391" s="626">
        <f t="shared" si="85"/>
        <v>2083</v>
      </c>
      <c r="J391" s="626">
        <f t="shared" si="85"/>
        <v>2083</v>
      </c>
      <c r="K391" s="626">
        <f t="shared" si="85"/>
        <v>2083</v>
      </c>
      <c r="L391" s="626">
        <f t="shared" si="85"/>
        <v>2083</v>
      </c>
      <c r="M391" s="626">
        <f t="shared" si="85"/>
        <v>2083</v>
      </c>
      <c r="N391" s="626">
        <f t="shared" si="85"/>
        <v>24996</v>
      </c>
    </row>
    <row r="392" spans="1:14">
      <c r="A392" s="243"/>
      <c r="B392" s="261"/>
      <c r="C392" s="261"/>
      <c r="D392" s="261"/>
      <c r="E392" s="261"/>
      <c r="F392" s="261"/>
      <c r="G392" s="261"/>
      <c r="H392" s="261"/>
      <c r="I392" s="261"/>
      <c r="J392" s="261"/>
      <c r="K392" s="261"/>
      <c r="L392" s="261"/>
      <c r="M392" s="261"/>
      <c r="N392" s="261"/>
    </row>
    <row r="393" spans="1:14">
      <c r="A393" s="243"/>
      <c r="B393" s="261"/>
      <c r="C393" s="261"/>
      <c r="D393" s="261"/>
      <c r="E393" s="261"/>
      <c r="F393" s="261"/>
      <c r="G393" s="261"/>
      <c r="H393" s="261"/>
      <c r="I393" s="261"/>
      <c r="J393" s="261"/>
      <c r="K393" s="261"/>
      <c r="L393" s="261"/>
      <c r="M393" s="261"/>
      <c r="N393" s="629" t="s">
        <v>78</v>
      </c>
    </row>
    <row r="394" spans="1:14">
      <c r="A394" s="231" t="s">
        <v>79</v>
      </c>
      <c r="B394" s="620">
        <f t="shared" ref="B394:M394" si="86">SUM(B381*100/B391)</f>
        <v>0</v>
      </c>
      <c r="C394" s="620">
        <f t="shared" si="86"/>
        <v>0</v>
      </c>
      <c r="D394" s="620">
        <f t="shared" si="86"/>
        <v>0</v>
      </c>
      <c r="E394" s="620">
        <f t="shared" si="86"/>
        <v>0</v>
      </c>
      <c r="F394" s="620">
        <f t="shared" si="86"/>
        <v>0</v>
      </c>
      <c r="G394" s="620">
        <f t="shared" si="86"/>
        <v>0</v>
      </c>
      <c r="H394" s="620">
        <f t="shared" si="86"/>
        <v>0</v>
      </c>
      <c r="I394" s="620">
        <f t="shared" si="86"/>
        <v>0</v>
      </c>
      <c r="J394" s="620">
        <f t="shared" si="86"/>
        <v>0</v>
      </c>
      <c r="K394" s="620">
        <f t="shared" si="86"/>
        <v>0</v>
      </c>
      <c r="L394" s="620">
        <f t="shared" si="86"/>
        <v>0</v>
      </c>
      <c r="M394" s="620">
        <f t="shared" si="86"/>
        <v>0</v>
      </c>
      <c r="N394" s="630">
        <f>SUM(B394:M394)/12</f>
        <v>0</v>
      </c>
    </row>
    <row r="395" spans="1:14">
      <c r="A395" s="243"/>
      <c r="B395" s="261"/>
      <c r="C395" s="261"/>
      <c r="D395" s="261"/>
      <c r="E395" s="261"/>
      <c r="F395" s="261"/>
      <c r="G395" s="261"/>
      <c r="H395" s="261"/>
      <c r="I395" s="261"/>
      <c r="J395" s="261"/>
      <c r="K395" s="261"/>
      <c r="L395" s="261"/>
      <c r="M395" s="261"/>
      <c r="N395" s="261"/>
    </row>
    <row r="396" spans="1:14">
      <c r="A396" s="231" t="s">
        <v>80</v>
      </c>
      <c r="B396" s="620">
        <f t="shared" ref="B396:M396" si="87">SUM(B385*100/B391)</f>
        <v>0</v>
      </c>
      <c r="C396" s="620">
        <f t="shared" si="87"/>
        <v>0</v>
      </c>
      <c r="D396" s="620">
        <f t="shared" si="87"/>
        <v>0</v>
      </c>
      <c r="E396" s="620">
        <f t="shared" si="87"/>
        <v>0</v>
      </c>
      <c r="F396" s="620">
        <f t="shared" si="87"/>
        <v>0</v>
      </c>
      <c r="G396" s="620">
        <f t="shared" si="87"/>
        <v>0</v>
      </c>
      <c r="H396" s="620">
        <f t="shared" si="87"/>
        <v>0</v>
      </c>
      <c r="I396" s="620">
        <f t="shared" si="87"/>
        <v>0</v>
      </c>
      <c r="J396" s="620">
        <f t="shared" si="87"/>
        <v>0</v>
      </c>
      <c r="K396" s="620">
        <f t="shared" si="87"/>
        <v>0</v>
      </c>
      <c r="L396" s="620">
        <f t="shared" si="87"/>
        <v>0</v>
      </c>
      <c r="M396" s="620">
        <f t="shared" si="87"/>
        <v>0</v>
      </c>
      <c r="N396" s="630">
        <f>SUM(B396:M396)/12</f>
        <v>0</v>
      </c>
    </row>
    <row r="397" spans="1:14" ht="13.5" thickBot="1">
      <c r="A397" s="247" t="s">
        <v>81</v>
      </c>
      <c r="B397" s="625">
        <f t="shared" ref="B397:M397" si="88">SUM(B386*100/B391)</f>
        <v>0</v>
      </c>
      <c r="C397" s="625">
        <f t="shared" si="88"/>
        <v>0</v>
      </c>
      <c r="D397" s="625">
        <f t="shared" si="88"/>
        <v>0</v>
      </c>
      <c r="E397" s="625">
        <f t="shared" si="88"/>
        <v>0</v>
      </c>
      <c r="F397" s="625">
        <f t="shared" si="88"/>
        <v>0</v>
      </c>
      <c r="G397" s="625">
        <f t="shared" si="88"/>
        <v>0</v>
      </c>
      <c r="H397" s="625">
        <f t="shared" si="88"/>
        <v>0</v>
      </c>
      <c r="I397" s="625">
        <f t="shared" si="88"/>
        <v>0</v>
      </c>
      <c r="J397" s="625">
        <f t="shared" si="88"/>
        <v>0</v>
      </c>
      <c r="K397" s="625">
        <f t="shared" si="88"/>
        <v>0</v>
      </c>
      <c r="L397" s="625">
        <f t="shared" si="88"/>
        <v>0</v>
      </c>
      <c r="M397" s="625">
        <f t="shared" si="88"/>
        <v>0</v>
      </c>
      <c r="N397" s="631">
        <f>SUM(B397:M397)/12</f>
        <v>0</v>
      </c>
    </row>
    <row r="398" spans="1:14" ht="13.5" thickBot="1">
      <c r="A398" s="249" t="s">
        <v>82</v>
      </c>
      <c r="B398" s="632">
        <f t="shared" ref="B398:M398" si="89">SUM(B396:B396)</f>
        <v>0</v>
      </c>
      <c r="C398" s="632">
        <f t="shared" si="89"/>
        <v>0</v>
      </c>
      <c r="D398" s="632">
        <f t="shared" si="89"/>
        <v>0</v>
      </c>
      <c r="E398" s="632">
        <f t="shared" si="89"/>
        <v>0</v>
      </c>
      <c r="F398" s="632">
        <f t="shared" si="89"/>
        <v>0</v>
      </c>
      <c r="G398" s="632">
        <f t="shared" si="89"/>
        <v>0</v>
      </c>
      <c r="H398" s="632">
        <f t="shared" si="89"/>
        <v>0</v>
      </c>
      <c r="I398" s="632">
        <f t="shared" si="89"/>
        <v>0</v>
      </c>
      <c r="J398" s="632">
        <f t="shared" si="89"/>
        <v>0</v>
      </c>
      <c r="K398" s="632">
        <f t="shared" si="89"/>
        <v>0</v>
      </c>
      <c r="L398" s="632">
        <f t="shared" si="89"/>
        <v>0</v>
      </c>
      <c r="M398" s="632">
        <f t="shared" si="89"/>
        <v>0</v>
      </c>
      <c r="N398" s="633">
        <f>SUM(N396:N397)</f>
        <v>0</v>
      </c>
    </row>
    <row r="399" spans="1:14">
      <c r="A399" s="243" t="s">
        <v>83</v>
      </c>
      <c r="B399" s="261"/>
      <c r="C399" s="261"/>
      <c r="D399" s="634">
        <f>SUM(B398:D398)/4</f>
        <v>0</v>
      </c>
      <c r="E399" s="261"/>
      <c r="F399" s="261"/>
      <c r="G399" s="634">
        <f>SUM(E398,F398,G398)/4</f>
        <v>0</v>
      </c>
      <c r="H399" s="261"/>
      <c r="I399" s="261"/>
      <c r="J399" s="634">
        <f>SUM(H398,I398,J398)/3</f>
        <v>0</v>
      </c>
      <c r="K399" s="261"/>
      <c r="L399" s="261"/>
      <c r="M399" s="634">
        <f>SUM(K398,L398,M398)/3</f>
        <v>0</v>
      </c>
      <c r="N399" s="635">
        <f>SUM(D399:M399)/4</f>
        <v>0</v>
      </c>
    </row>
    <row r="400" spans="1:14">
      <c r="A400" s="243" t="s">
        <v>84</v>
      </c>
      <c r="B400" s="261"/>
      <c r="C400" s="261"/>
      <c r="D400" s="262"/>
      <c r="E400" s="261"/>
      <c r="F400" s="261"/>
      <c r="G400" s="262"/>
      <c r="H400" s="261"/>
      <c r="I400" s="261"/>
      <c r="J400" s="262"/>
      <c r="K400" s="261"/>
      <c r="L400" s="261"/>
      <c r="M400" s="262"/>
      <c r="N400" s="630">
        <f>SUM(D400:G400,J400,M400)/4</f>
        <v>0</v>
      </c>
    </row>
    <row r="401" spans="1:14">
      <c r="A401" s="243"/>
      <c r="B401" s="261"/>
      <c r="C401" s="261"/>
      <c r="D401" s="261"/>
      <c r="E401" s="261"/>
      <c r="F401" s="261"/>
      <c r="G401" s="261"/>
      <c r="H401" s="261"/>
      <c r="I401" s="261"/>
      <c r="J401" s="261"/>
      <c r="K401" s="261"/>
      <c r="L401" s="261"/>
      <c r="M401" s="261"/>
      <c r="N401" s="261"/>
    </row>
    <row r="402" spans="1:14">
      <c r="A402" s="231" t="s">
        <v>85</v>
      </c>
      <c r="B402" s="620">
        <f t="shared" ref="B402:M402" si="90">B389*100/B391</f>
        <v>0</v>
      </c>
      <c r="C402" s="620">
        <f t="shared" si="90"/>
        <v>0</v>
      </c>
      <c r="D402" s="620">
        <f t="shared" si="90"/>
        <v>0</v>
      </c>
      <c r="E402" s="620">
        <f t="shared" si="90"/>
        <v>0</v>
      </c>
      <c r="F402" s="620">
        <f t="shared" si="90"/>
        <v>0</v>
      </c>
      <c r="G402" s="620">
        <f t="shared" si="90"/>
        <v>0</v>
      </c>
      <c r="H402" s="620">
        <f t="shared" si="90"/>
        <v>0</v>
      </c>
      <c r="I402" s="620">
        <f t="shared" si="90"/>
        <v>0</v>
      </c>
      <c r="J402" s="620">
        <f t="shared" si="90"/>
        <v>0</v>
      </c>
      <c r="K402" s="620">
        <f t="shared" si="90"/>
        <v>0</v>
      </c>
      <c r="L402" s="620">
        <f t="shared" si="90"/>
        <v>0</v>
      </c>
      <c r="M402" s="620">
        <f t="shared" si="90"/>
        <v>0</v>
      </c>
      <c r="N402" s="630">
        <f>SUM(B402:M402)/12</f>
        <v>0</v>
      </c>
    </row>
    <row r="403" spans="1:14">
      <c r="A403" s="231" t="s">
        <v>86</v>
      </c>
      <c r="B403" s="620">
        <f t="shared" ref="B403:M403" si="91">B387*100/B391</f>
        <v>0</v>
      </c>
      <c r="C403" s="620">
        <f t="shared" si="91"/>
        <v>0</v>
      </c>
      <c r="D403" s="620">
        <f t="shared" si="91"/>
        <v>0</v>
      </c>
      <c r="E403" s="620">
        <f t="shared" si="91"/>
        <v>0</v>
      </c>
      <c r="F403" s="620">
        <f t="shared" si="91"/>
        <v>0</v>
      </c>
      <c r="G403" s="620">
        <f t="shared" si="91"/>
        <v>0</v>
      </c>
      <c r="H403" s="620">
        <f t="shared" si="91"/>
        <v>0</v>
      </c>
      <c r="I403" s="620">
        <f t="shared" si="91"/>
        <v>0</v>
      </c>
      <c r="J403" s="620">
        <f t="shared" si="91"/>
        <v>0</v>
      </c>
      <c r="K403" s="620">
        <f t="shared" si="91"/>
        <v>0</v>
      </c>
      <c r="L403" s="620">
        <f t="shared" si="91"/>
        <v>0</v>
      </c>
      <c r="M403" s="620">
        <f t="shared" si="91"/>
        <v>0</v>
      </c>
      <c r="N403" s="630">
        <f>SUM(B403:M403)/12</f>
        <v>0</v>
      </c>
    </row>
    <row r="404" spans="1:14" ht="13.5" thickBot="1">
      <c r="A404" s="231" t="s">
        <v>87</v>
      </c>
      <c r="B404" s="620">
        <f t="shared" ref="B404:M404" si="92">B383*100/B391</f>
        <v>0</v>
      </c>
      <c r="C404" s="620">
        <f t="shared" si="92"/>
        <v>0</v>
      </c>
      <c r="D404" s="620">
        <f t="shared" si="92"/>
        <v>0</v>
      </c>
      <c r="E404" s="620">
        <f t="shared" si="92"/>
        <v>0</v>
      </c>
      <c r="F404" s="620">
        <f t="shared" si="92"/>
        <v>0</v>
      </c>
      <c r="G404" s="620">
        <f t="shared" si="92"/>
        <v>0</v>
      </c>
      <c r="H404" s="620">
        <f t="shared" si="92"/>
        <v>0</v>
      </c>
      <c r="I404" s="620">
        <f t="shared" si="92"/>
        <v>0</v>
      </c>
      <c r="J404" s="620">
        <f t="shared" si="92"/>
        <v>0</v>
      </c>
      <c r="K404" s="620">
        <f t="shared" si="92"/>
        <v>0</v>
      </c>
      <c r="L404" s="620">
        <f t="shared" si="92"/>
        <v>0</v>
      </c>
      <c r="M404" s="620">
        <f t="shared" si="92"/>
        <v>0</v>
      </c>
      <c r="N404" s="630">
        <f>SUM(B404:M404)/12</f>
        <v>0</v>
      </c>
    </row>
    <row r="405" spans="1:14" ht="13.5" thickBot="1">
      <c r="A405" s="255" t="s">
        <v>88</v>
      </c>
      <c r="B405" s="636">
        <f t="shared" ref="B405:M405" si="93">SUM(B380-B391)*100/B391</f>
        <v>0</v>
      </c>
      <c r="C405" s="636">
        <f t="shared" si="93"/>
        <v>0</v>
      </c>
      <c r="D405" s="636">
        <f t="shared" si="93"/>
        <v>0</v>
      </c>
      <c r="E405" s="636">
        <f t="shared" si="93"/>
        <v>0</v>
      </c>
      <c r="F405" s="636">
        <f t="shared" si="93"/>
        <v>0</v>
      </c>
      <c r="G405" s="636">
        <f t="shared" si="93"/>
        <v>0</v>
      </c>
      <c r="H405" s="636">
        <f t="shared" si="93"/>
        <v>0</v>
      </c>
      <c r="I405" s="636">
        <f t="shared" si="93"/>
        <v>0</v>
      </c>
      <c r="J405" s="636">
        <f t="shared" si="93"/>
        <v>0</v>
      </c>
      <c r="K405" s="636">
        <f t="shared" si="93"/>
        <v>0</v>
      </c>
      <c r="L405" s="636">
        <f t="shared" si="93"/>
        <v>0</v>
      </c>
      <c r="M405" s="636">
        <f t="shared" si="93"/>
        <v>0</v>
      </c>
      <c r="N405" s="637">
        <f>SUM(B405:M405)/12</f>
        <v>0</v>
      </c>
    </row>
    <row r="406" spans="1:14">
      <c r="A406" s="243"/>
      <c r="B406" s="244"/>
      <c r="C406" s="244"/>
      <c r="D406" s="244"/>
      <c r="E406" s="244"/>
      <c r="F406" s="244"/>
      <c r="G406" s="244"/>
      <c r="H406" s="244"/>
      <c r="I406" s="244"/>
      <c r="J406" s="244"/>
      <c r="K406" s="244"/>
      <c r="L406" s="244"/>
      <c r="M406" s="244"/>
      <c r="N406" s="227"/>
    </row>
    <row r="407" spans="1:14">
      <c r="A407" s="258" t="s">
        <v>89</v>
      </c>
      <c r="B407" s="244"/>
      <c r="C407" s="244"/>
      <c r="D407" s="244"/>
      <c r="E407" s="244"/>
      <c r="F407" s="244"/>
      <c r="G407" s="244"/>
      <c r="H407" s="244"/>
      <c r="I407" s="244"/>
      <c r="J407" s="244"/>
      <c r="K407" s="244"/>
      <c r="L407" s="244"/>
      <c r="M407" s="244"/>
      <c r="N407" s="227"/>
    </row>
    <row r="408" spans="1:14">
      <c r="A408" s="231" t="s">
        <v>90</v>
      </c>
      <c r="B408" s="259">
        <v>13</v>
      </c>
      <c r="C408" s="259">
        <v>13</v>
      </c>
      <c r="D408" s="259">
        <v>13</v>
      </c>
      <c r="E408" s="259">
        <v>13</v>
      </c>
      <c r="F408" s="259">
        <v>13</v>
      </c>
      <c r="G408" s="259">
        <v>13</v>
      </c>
      <c r="H408" s="259">
        <v>13</v>
      </c>
      <c r="I408" s="259">
        <v>13</v>
      </c>
      <c r="J408" s="259">
        <f>I411</f>
        <v>13</v>
      </c>
      <c r="K408" s="259">
        <f>J411</f>
        <v>13</v>
      </c>
      <c r="L408" s="259">
        <f>K411</f>
        <v>13</v>
      </c>
      <c r="M408" s="259">
        <f>L411</f>
        <v>13</v>
      </c>
      <c r="N408" s="259">
        <f>M411</f>
        <v>13</v>
      </c>
    </row>
    <row r="409" spans="1:14">
      <c r="A409" s="231" t="s">
        <v>91</v>
      </c>
      <c r="B409" s="259"/>
      <c r="C409" s="259"/>
      <c r="D409" s="259"/>
      <c r="E409" s="259"/>
      <c r="F409" s="259"/>
      <c r="G409" s="259"/>
      <c r="H409" s="259"/>
      <c r="I409" s="259"/>
      <c r="J409" s="259"/>
      <c r="K409" s="259"/>
      <c r="L409" s="259"/>
      <c r="M409" s="259"/>
      <c r="N409" s="259">
        <f>SUM(B409:M409)/12</f>
        <v>0</v>
      </c>
    </row>
    <row r="410" spans="1:14">
      <c r="A410" s="231" t="s">
        <v>92</v>
      </c>
      <c r="B410" s="259"/>
      <c r="C410" s="259"/>
      <c r="D410" s="259"/>
      <c r="E410" s="259"/>
      <c r="F410" s="259"/>
      <c r="G410" s="259"/>
      <c r="H410" s="259"/>
      <c r="I410" s="259"/>
      <c r="J410" s="259"/>
      <c r="K410" s="259"/>
      <c r="L410" s="259"/>
      <c r="M410" s="259"/>
      <c r="N410" s="259">
        <f>SUM(B409:M409)/12</f>
        <v>0</v>
      </c>
    </row>
    <row r="411" spans="1:14">
      <c r="A411" s="231" t="s">
        <v>89</v>
      </c>
      <c r="B411" s="259">
        <f t="shared" ref="B411:M411" si="94">SUM(B408+B409-B410)</f>
        <v>13</v>
      </c>
      <c r="C411" s="259">
        <f t="shared" si="94"/>
        <v>13</v>
      </c>
      <c r="D411" s="259">
        <f t="shared" si="94"/>
        <v>13</v>
      </c>
      <c r="E411" s="259">
        <f t="shared" si="94"/>
        <v>13</v>
      </c>
      <c r="F411" s="259">
        <f t="shared" si="94"/>
        <v>13</v>
      </c>
      <c r="G411" s="259">
        <f t="shared" si="94"/>
        <v>13</v>
      </c>
      <c r="H411" s="259">
        <f t="shared" si="94"/>
        <v>13</v>
      </c>
      <c r="I411" s="259">
        <f t="shared" si="94"/>
        <v>13</v>
      </c>
      <c r="J411" s="259">
        <f t="shared" si="94"/>
        <v>13</v>
      </c>
      <c r="K411" s="259">
        <f t="shared" si="94"/>
        <v>13</v>
      </c>
      <c r="L411" s="259">
        <f t="shared" si="94"/>
        <v>13</v>
      </c>
      <c r="M411" s="259">
        <f t="shared" si="94"/>
        <v>13</v>
      </c>
      <c r="N411" s="259">
        <f>SUM(B410:M410)/12</f>
        <v>0</v>
      </c>
    </row>
    <row r="412" spans="1:14">
      <c r="A412" s="231" t="s">
        <v>93</v>
      </c>
      <c r="B412" s="260">
        <f t="shared" ref="B412:M412" si="95">SUM(B411*100)/B408-100</f>
        <v>0</v>
      </c>
      <c r="C412" s="260">
        <f t="shared" si="95"/>
        <v>0</v>
      </c>
      <c r="D412" s="260">
        <f t="shared" si="95"/>
        <v>0</v>
      </c>
      <c r="E412" s="260">
        <f t="shared" si="95"/>
        <v>0</v>
      </c>
      <c r="F412" s="260">
        <f t="shared" si="95"/>
        <v>0</v>
      </c>
      <c r="G412" s="260">
        <f t="shared" si="95"/>
        <v>0</v>
      </c>
      <c r="H412" s="260">
        <f t="shared" si="95"/>
        <v>0</v>
      </c>
      <c r="I412" s="260">
        <f t="shared" si="95"/>
        <v>0</v>
      </c>
      <c r="J412" s="260">
        <f t="shared" si="95"/>
        <v>0</v>
      </c>
      <c r="K412" s="260">
        <f t="shared" si="95"/>
        <v>0</v>
      </c>
      <c r="L412" s="260">
        <f t="shared" si="95"/>
        <v>0</v>
      </c>
      <c r="M412" s="260">
        <f t="shared" si="95"/>
        <v>0</v>
      </c>
      <c r="N412" s="259"/>
    </row>
    <row r="413" spans="1:14">
      <c r="A413" s="243" t="s">
        <v>94</v>
      </c>
      <c r="B413" s="261"/>
      <c r="C413" s="261"/>
      <c r="D413" s="262">
        <f>SUM(B412:D412/3)</f>
        <v>0</v>
      </c>
      <c r="E413" s="261"/>
      <c r="F413" s="261"/>
      <c r="G413" s="262">
        <f>SUM(E412:G412)/3</f>
        <v>0</v>
      </c>
      <c r="H413" s="261"/>
      <c r="I413" s="261"/>
      <c r="J413" s="262">
        <f>SUM(H412:J412)/3</f>
        <v>0</v>
      </c>
      <c r="K413" s="261"/>
      <c r="L413" s="261"/>
      <c r="M413" s="262">
        <f>SUM(K412:M412)/3</f>
        <v>0</v>
      </c>
      <c r="N413" s="261"/>
    </row>
    <row r="414" spans="1:14" ht="13.5" thickBot="1">
      <c r="A414" s="372"/>
      <c r="B414" s="373"/>
      <c r="C414" s="373"/>
      <c r="D414" s="373"/>
      <c r="E414" s="373"/>
      <c r="F414" s="373"/>
      <c r="G414" s="373"/>
      <c r="H414" s="373"/>
      <c r="I414" s="373"/>
      <c r="J414" s="373"/>
      <c r="K414" s="373"/>
      <c r="L414" s="373"/>
      <c r="M414" s="373"/>
      <c r="N414" s="374"/>
    </row>
    <row r="415" spans="1:14">
      <c r="A415" s="243"/>
      <c r="B415" s="244"/>
      <c r="C415" s="244"/>
      <c r="D415" s="244"/>
      <c r="E415" s="244"/>
      <c r="F415" s="244"/>
      <c r="G415" s="244"/>
      <c r="H415" s="244"/>
      <c r="I415" s="244"/>
      <c r="J415" s="244"/>
      <c r="K415" s="244"/>
      <c r="L415" s="244"/>
      <c r="M415" s="244"/>
      <c r="N415" s="227"/>
    </row>
    <row r="416" spans="1:14" ht="15.75">
      <c r="A416" s="821" t="s">
        <v>207</v>
      </c>
      <c r="B416" s="821"/>
      <c r="C416" s="821"/>
      <c r="D416" s="821"/>
      <c r="E416" s="821"/>
      <c r="F416" s="821"/>
      <c r="G416" s="821"/>
      <c r="H416" s="821"/>
      <c r="I416" s="821"/>
      <c r="J416" s="821"/>
      <c r="K416" s="821"/>
      <c r="L416" s="821"/>
      <c r="M416" s="821"/>
      <c r="N416" s="821"/>
    </row>
    <row r="417" spans="1:14" ht="15.75">
      <c r="E417" s="282"/>
      <c r="M417" s="244"/>
      <c r="N417" s="227"/>
    </row>
    <row r="418" spans="1:14">
      <c r="A418" s="376" t="s">
        <v>185</v>
      </c>
      <c r="B418" s="377"/>
      <c r="C418" s="378"/>
      <c r="D418" s="292" t="s">
        <v>186</v>
      </c>
      <c r="G418" s="299"/>
      <c r="K418" s="299"/>
      <c r="M418" s="244"/>
      <c r="N418" s="227"/>
    </row>
    <row r="419" spans="1:14">
      <c r="A419" s="379"/>
      <c r="B419" s="380"/>
      <c r="C419" s="381"/>
      <c r="D419" s="290"/>
      <c r="E419" s="291"/>
      <c r="G419" s="494"/>
      <c r="H419" s="494"/>
      <c r="I419" s="494"/>
      <c r="J419" s="494"/>
      <c r="K419" s="494"/>
      <c r="M419" s="244"/>
      <c r="N419" s="227"/>
    </row>
    <row r="420" spans="1:14" ht="13.5" thickBot="1">
      <c r="A420" s="387"/>
      <c r="C420" s="388"/>
      <c r="D420" s="290"/>
      <c r="E420" s="291"/>
      <c r="H420" s="404"/>
      <c r="K420" s="291"/>
      <c r="L420" s="320"/>
      <c r="M420" s="244"/>
      <c r="N420" s="227"/>
    </row>
    <row r="421" spans="1:14" ht="13.5" thickBot="1">
      <c r="A421" s="294" t="s">
        <v>167</v>
      </c>
      <c r="B421" s="296"/>
      <c r="C421" s="389"/>
      <c r="D421" s="488">
        <v>5649000</v>
      </c>
      <c r="E421" s="291"/>
      <c r="H421" s="404"/>
      <c r="K421" s="291"/>
      <c r="L421" s="320"/>
      <c r="M421" s="244"/>
      <c r="N421" s="227"/>
    </row>
    <row r="422" spans="1:14">
      <c r="A422" s="390" t="s">
        <v>168</v>
      </c>
      <c r="B422" s="391"/>
      <c r="C422" s="392"/>
      <c r="D422" s="393">
        <f>D421/12</f>
        <v>470750</v>
      </c>
      <c r="E422" s="291"/>
      <c r="K422" s="300"/>
      <c r="L422" s="320"/>
      <c r="M422" s="244"/>
      <c r="N422" s="227"/>
    </row>
    <row r="423" spans="1:14">
      <c r="C423" s="394"/>
      <c r="E423" s="291"/>
      <c r="J423" s="394"/>
      <c r="K423" s="300"/>
      <c r="L423" s="517"/>
      <c r="M423" s="244"/>
      <c r="N423" s="227"/>
    </row>
    <row r="424" spans="1:14">
      <c r="A424" s="258" t="s">
        <v>113</v>
      </c>
      <c r="B424" s="244"/>
      <c r="C424" s="244"/>
      <c r="D424" s="244"/>
      <c r="E424" s="244"/>
      <c r="F424" s="244"/>
      <c r="G424" s="244"/>
      <c r="H424" s="244"/>
      <c r="I424" s="244"/>
      <c r="J424" s="244"/>
      <c r="K424" s="244"/>
      <c r="L424" s="244"/>
      <c r="M424" s="244"/>
      <c r="N424" s="227"/>
    </row>
    <row r="425" spans="1:14">
      <c r="A425" s="328"/>
      <c r="B425" s="232" t="s">
        <v>44</v>
      </c>
      <c r="C425" s="232" t="s">
        <v>45</v>
      </c>
      <c r="D425" s="232" t="s">
        <v>46</v>
      </c>
      <c r="E425" s="232" t="s">
        <v>47</v>
      </c>
      <c r="F425" s="232" t="s">
        <v>48</v>
      </c>
      <c r="G425" s="232" t="s">
        <v>49</v>
      </c>
      <c r="H425" s="232" t="s">
        <v>38</v>
      </c>
      <c r="I425" s="232" t="s">
        <v>39</v>
      </c>
      <c r="J425" s="232" t="s">
        <v>40</v>
      </c>
      <c r="K425" s="232" t="s">
        <v>41</v>
      </c>
      <c r="L425" s="232" t="s">
        <v>42</v>
      </c>
      <c r="M425" s="232" t="s">
        <v>43</v>
      </c>
      <c r="N425" s="228"/>
    </row>
    <row r="426" spans="1:14">
      <c r="A426" s="231" t="s">
        <v>208</v>
      </c>
      <c r="B426" s="329">
        <f t="shared" ref="B426:M426" si="96">$D$422</f>
        <v>470750</v>
      </c>
      <c r="C426" s="329">
        <f t="shared" si="96"/>
        <v>470750</v>
      </c>
      <c r="D426" s="329">
        <f t="shared" si="96"/>
        <v>470750</v>
      </c>
      <c r="E426" s="329">
        <f t="shared" si="96"/>
        <v>470750</v>
      </c>
      <c r="F426" s="329">
        <f t="shared" si="96"/>
        <v>470750</v>
      </c>
      <c r="G426" s="329">
        <f t="shared" si="96"/>
        <v>470750</v>
      </c>
      <c r="H426" s="329">
        <f t="shared" si="96"/>
        <v>470750</v>
      </c>
      <c r="I426" s="329">
        <f t="shared" si="96"/>
        <v>470750</v>
      </c>
      <c r="J426" s="329">
        <f t="shared" si="96"/>
        <v>470750</v>
      </c>
      <c r="K426" s="329">
        <f t="shared" si="96"/>
        <v>470750</v>
      </c>
      <c r="L426" s="329">
        <f t="shared" si="96"/>
        <v>470750</v>
      </c>
      <c r="M426" s="329">
        <f t="shared" si="96"/>
        <v>470750</v>
      </c>
      <c r="N426" s="329">
        <f t="shared" ref="N426:N438" si="97">SUM(B426:M426)</f>
        <v>5649000</v>
      </c>
    </row>
    <row r="427" spans="1:14" ht="13.5" thickBot="1">
      <c r="A427" s="231"/>
      <c r="B427" s="329">
        <v>0</v>
      </c>
      <c r="C427" s="329">
        <v>0</v>
      </c>
      <c r="D427" s="329"/>
      <c r="E427" s="329"/>
      <c r="F427" s="329"/>
      <c r="G427" s="358"/>
      <c r="H427" s="329"/>
      <c r="I427" s="329"/>
      <c r="J427" s="329"/>
      <c r="K427" s="329"/>
      <c r="L427" s="329"/>
      <c r="M427" s="329"/>
      <c r="N427" s="329">
        <f t="shared" si="97"/>
        <v>0</v>
      </c>
    </row>
    <row r="428" spans="1:14" ht="13.5" thickBot="1">
      <c r="A428" s="333" t="s">
        <v>208</v>
      </c>
      <c r="B428" s="395">
        <f t="shared" ref="B428:M428" si="98">SUM(B426,B427)</f>
        <v>470750</v>
      </c>
      <c r="C428" s="395">
        <f t="shared" si="98"/>
        <v>470750</v>
      </c>
      <c r="D428" s="395">
        <f t="shared" si="98"/>
        <v>470750</v>
      </c>
      <c r="E428" s="395">
        <f t="shared" si="98"/>
        <v>470750</v>
      </c>
      <c r="F428" s="395">
        <f t="shared" si="98"/>
        <v>470750</v>
      </c>
      <c r="G428" s="395">
        <f t="shared" si="98"/>
        <v>470750</v>
      </c>
      <c r="H428" s="395">
        <f t="shared" si="98"/>
        <v>470750</v>
      </c>
      <c r="I428" s="395">
        <f t="shared" si="98"/>
        <v>470750</v>
      </c>
      <c r="J428" s="395">
        <f t="shared" si="98"/>
        <v>470750</v>
      </c>
      <c r="K428" s="395">
        <f t="shared" si="98"/>
        <v>470750</v>
      </c>
      <c r="L428" s="395">
        <f t="shared" si="98"/>
        <v>470750</v>
      </c>
      <c r="M428" s="395">
        <f t="shared" si="98"/>
        <v>470750</v>
      </c>
      <c r="N428" s="706">
        <f t="shared" si="97"/>
        <v>5649000</v>
      </c>
    </row>
    <row r="429" spans="1:14">
      <c r="A429" s="228" t="s">
        <v>209</v>
      </c>
      <c r="B429" s="329"/>
      <c r="C429" s="329"/>
      <c r="D429" s="329"/>
      <c r="E429" s="329"/>
      <c r="F429" s="329"/>
      <c r="G429" s="329"/>
      <c r="H429" s="329"/>
      <c r="I429" s="329"/>
      <c r="J429" s="329"/>
      <c r="K429" s="329"/>
      <c r="L429" s="329"/>
      <c r="M429" s="329"/>
      <c r="N429" s="329">
        <f t="shared" si="97"/>
        <v>0</v>
      </c>
    </row>
    <row r="430" spans="1:14">
      <c r="A430" s="349" t="s">
        <v>210</v>
      </c>
      <c r="B430" s="329"/>
      <c r="C430" s="329"/>
      <c r="D430" s="329"/>
      <c r="E430" s="329"/>
      <c r="F430" s="329"/>
      <c r="G430" s="329"/>
      <c r="H430" s="329"/>
      <c r="I430" s="329"/>
      <c r="J430" s="329"/>
      <c r="K430" s="329"/>
      <c r="L430" s="329"/>
      <c r="M430" s="329"/>
      <c r="N430" s="329">
        <f t="shared" si="97"/>
        <v>0</v>
      </c>
    </row>
    <row r="431" spans="1:14">
      <c r="A431" s="349" t="s">
        <v>211</v>
      </c>
      <c r="B431" s="329"/>
      <c r="C431" s="329"/>
      <c r="D431" s="329"/>
      <c r="E431" s="329"/>
      <c r="F431" s="329"/>
      <c r="G431" s="329"/>
      <c r="H431" s="329"/>
      <c r="I431" s="329"/>
      <c r="J431" s="329"/>
      <c r="K431" s="329"/>
      <c r="L431" s="329"/>
      <c r="M431" s="329"/>
      <c r="N431" s="329">
        <f t="shared" si="97"/>
        <v>0</v>
      </c>
    </row>
    <row r="432" spans="1:14" ht="13.5" thickBot="1">
      <c r="A432" s="359" t="s">
        <v>208</v>
      </c>
      <c r="B432" s="357"/>
      <c r="C432" s="357"/>
      <c r="D432" s="357"/>
      <c r="E432" s="357"/>
      <c r="F432" s="357"/>
      <c r="G432" s="357"/>
      <c r="H432" s="357"/>
      <c r="I432" s="357"/>
      <c r="J432" s="357"/>
      <c r="K432" s="357"/>
      <c r="L432" s="357"/>
      <c r="M432" s="357"/>
      <c r="N432" s="329">
        <f t="shared" si="97"/>
        <v>0</v>
      </c>
    </row>
    <row r="433" spans="1:14" ht="13.5" thickBot="1">
      <c r="A433" s="360" t="s">
        <v>126</v>
      </c>
      <c r="B433" s="334">
        <f t="shared" ref="B433:M433" si="99">SUM(B429:B432)</f>
        <v>0</v>
      </c>
      <c r="C433" s="334">
        <f t="shared" si="99"/>
        <v>0</v>
      </c>
      <c r="D433" s="334">
        <f t="shared" si="99"/>
        <v>0</v>
      </c>
      <c r="E433" s="334">
        <f t="shared" si="99"/>
        <v>0</v>
      </c>
      <c r="F433" s="334">
        <f t="shared" si="99"/>
        <v>0</v>
      </c>
      <c r="G433" s="334">
        <f t="shared" si="99"/>
        <v>0</v>
      </c>
      <c r="H433" s="334">
        <f t="shared" si="99"/>
        <v>0</v>
      </c>
      <c r="I433" s="334">
        <f t="shared" si="99"/>
        <v>0</v>
      </c>
      <c r="J433" s="334">
        <f t="shared" si="99"/>
        <v>0</v>
      </c>
      <c r="K433" s="334">
        <f t="shared" si="99"/>
        <v>0</v>
      </c>
      <c r="L433" s="334">
        <f t="shared" si="99"/>
        <v>0</v>
      </c>
      <c r="M433" s="334">
        <f t="shared" si="99"/>
        <v>0</v>
      </c>
      <c r="N433" s="334">
        <f t="shared" si="97"/>
        <v>0</v>
      </c>
    </row>
    <row r="434" spans="1:14">
      <c r="A434" s="228" t="s">
        <v>127</v>
      </c>
      <c r="B434" s="331"/>
      <c r="C434" s="331"/>
      <c r="D434" s="331"/>
      <c r="E434" s="331"/>
      <c r="F434" s="331"/>
      <c r="G434" s="707"/>
      <c r="H434" s="331"/>
      <c r="I434" s="331"/>
      <c r="J434" s="331"/>
      <c r="K434" s="331"/>
      <c r="L434" s="331"/>
      <c r="M434" s="331"/>
      <c r="N434" s="329">
        <f t="shared" si="97"/>
        <v>0</v>
      </c>
    </row>
    <row r="435" spans="1:14">
      <c r="A435" s="363" t="s">
        <v>129</v>
      </c>
      <c r="B435" s="399">
        <f t="shared" ref="B435:M435" si="100">SUM(B428+B433)</f>
        <v>470750</v>
      </c>
      <c r="C435" s="399">
        <f t="shared" si="100"/>
        <v>470750</v>
      </c>
      <c r="D435" s="399">
        <f t="shared" si="100"/>
        <v>470750</v>
      </c>
      <c r="E435" s="399">
        <f t="shared" si="100"/>
        <v>470750</v>
      </c>
      <c r="F435" s="399">
        <f t="shared" si="100"/>
        <v>470750</v>
      </c>
      <c r="G435" s="399">
        <f t="shared" si="100"/>
        <v>470750</v>
      </c>
      <c r="H435" s="399">
        <f t="shared" si="100"/>
        <v>470750</v>
      </c>
      <c r="I435" s="399">
        <f t="shared" si="100"/>
        <v>470750</v>
      </c>
      <c r="J435" s="399">
        <f t="shared" si="100"/>
        <v>470750</v>
      </c>
      <c r="K435" s="399">
        <f t="shared" si="100"/>
        <v>470750</v>
      </c>
      <c r="L435" s="399">
        <f t="shared" si="100"/>
        <v>470750</v>
      </c>
      <c r="M435" s="399">
        <f t="shared" si="100"/>
        <v>470750</v>
      </c>
      <c r="N435" s="399">
        <f t="shared" si="97"/>
        <v>5649000</v>
      </c>
    </row>
    <row r="436" spans="1:14">
      <c r="A436" s="400" t="s">
        <v>131</v>
      </c>
      <c r="B436" s="331"/>
      <c r="C436" s="331"/>
      <c r="D436" s="331"/>
      <c r="E436" s="331"/>
      <c r="F436" s="331"/>
      <c r="G436" s="331"/>
      <c r="H436" s="331"/>
      <c r="I436" s="331"/>
      <c r="J436" s="331"/>
      <c r="K436" s="331"/>
      <c r="L436" s="331"/>
      <c r="M436" s="331"/>
      <c r="N436" s="331">
        <f t="shared" si="97"/>
        <v>0</v>
      </c>
    </row>
    <row r="437" spans="1:14">
      <c r="A437" s="228" t="s">
        <v>130</v>
      </c>
      <c r="B437" s="329"/>
      <c r="C437" s="329"/>
      <c r="D437" s="329"/>
      <c r="E437" s="329"/>
      <c r="F437" s="329"/>
      <c r="G437" s="329"/>
      <c r="H437" s="329"/>
      <c r="I437" s="329"/>
      <c r="J437" s="329"/>
      <c r="K437" s="329"/>
      <c r="L437" s="329"/>
      <c r="M437" s="329"/>
      <c r="N437" s="331">
        <f t="shared" si="97"/>
        <v>0</v>
      </c>
    </row>
    <row r="438" spans="1:14">
      <c r="A438" s="228" t="s">
        <v>212</v>
      </c>
      <c r="B438" s="329"/>
      <c r="C438" s="329"/>
      <c r="D438" s="329"/>
      <c r="E438" s="329"/>
      <c r="F438" s="329"/>
      <c r="G438" s="329"/>
      <c r="H438" s="329"/>
      <c r="I438" s="329"/>
      <c r="J438" s="329"/>
      <c r="K438" s="329"/>
      <c r="L438" s="329"/>
      <c r="M438" s="329"/>
      <c r="N438" s="331">
        <f t="shared" si="97"/>
        <v>0</v>
      </c>
    </row>
    <row r="439" spans="1:14">
      <c r="A439" s="367" t="s">
        <v>146</v>
      </c>
      <c r="B439" s="368">
        <f>B435-SUM(B436:B438)</f>
        <v>470750</v>
      </c>
      <c r="C439" s="368">
        <f t="shared" ref="C439:N439" si="101">C435-SUM(C436:C438)</f>
        <v>470750</v>
      </c>
      <c r="D439" s="368">
        <f t="shared" si="101"/>
        <v>470750</v>
      </c>
      <c r="E439" s="368">
        <f t="shared" si="101"/>
        <v>470750</v>
      </c>
      <c r="F439" s="368">
        <f t="shared" si="101"/>
        <v>470750</v>
      </c>
      <c r="G439" s="368">
        <f t="shared" si="101"/>
        <v>470750</v>
      </c>
      <c r="H439" s="368">
        <f t="shared" si="101"/>
        <v>470750</v>
      </c>
      <c r="I439" s="368">
        <f t="shared" si="101"/>
        <v>470750</v>
      </c>
      <c r="J439" s="368">
        <f t="shared" si="101"/>
        <v>470750</v>
      </c>
      <c r="K439" s="368">
        <f t="shared" si="101"/>
        <v>470750</v>
      </c>
      <c r="L439" s="368">
        <f t="shared" si="101"/>
        <v>470750</v>
      </c>
      <c r="M439" s="368">
        <f t="shared" si="101"/>
        <v>470750</v>
      </c>
      <c r="N439" s="368">
        <f t="shared" si="101"/>
        <v>5649000</v>
      </c>
    </row>
    <row r="440" spans="1:14">
      <c r="A440" s="406"/>
      <c r="B440" s="407"/>
      <c r="C440" s="407"/>
      <c r="D440" s="407"/>
      <c r="E440" s="407"/>
      <c r="F440" s="407"/>
      <c r="G440" s="407"/>
      <c r="H440" s="407"/>
      <c r="I440" s="407"/>
      <c r="J440" s="407"/>
      <c r="K440" s="407"/>
      <c r="L440" s="407"/>
      <c r="M440" s="407"/>
      <c r="N440" s="407"/>
    </row>
    <row r="442" spans="1:14">
      <c r="A442" s="525" t="s">
        <v>213</v>
      </c>
      <c r="B442" s="226">
        <v>2405</v>
      </c>
    </row>
  </sheetData>
  <mergeCells count="8">
    <mergeCell ref="A377:N377"/>
    <mergeCell ref="A416:N416"/>
    <mergeCell ref="A1:N1"/>
    <mergeCell ref="A58:N58"/>
    <mergeCell ref="A145:N145"/>
    <mergeCell ref="A204:N204"/>
    <mergeCell ref="A281:N281"/>
    <mergeCell ref="A358:N358"/>
  </mergeCells>
  <pageMargins left="0.19685039370078741" right="0" top="0.19685039370078741" bottom="0.19685039370078741" header="0.51181102362204722" footer="0.51181102362204722"/>
  <pageSetup paperSize="9" scale="10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50">
    <tabColor indexed="39"/>
    <pageSetUpPr fitToPage="1"/>
  </sheetPr>
  <dimension ref="A1:T442"/>
  <sheetViews>
    <sheetView topLeftCell="A64" zoomScale="77" zoomScaleNormal="77" workbookViewId="0" xr3:uid="{85D5C41F-068E-5C55-9968-509E7C2A5619}">
      <selection activeCell="D85" sqref="D85"/>
    </sheetView>
  </sheetViews>
  <sheetFormatPr defaultColWidth="9.140625" defaultRowHeight="12.75"/>
  <cols>
    <col min="1" max="1" width="18.7109375" style="226" customWidth="1"/>
    <col min="2" max="2" width="14.28515625" style="226" customWidth="1"/>
    <col min="3" max="3" width="11.7109375" style="226" customWidth="1"/>
    <col min="4" max="4" width="14.140625" style="226" customWidth="1"/>
    <col min="5" max="5" width="11.7109375" style="226" customWidth="1"/>
    <col min="6" max="6" width="14" style="226" customWidth="1"/>
    <col min="7" max="7" width="11.140625" style="226" customWidth="1"/>
    <col min="8" max="8" width="12.28515625" style="226" customWidth="1"/>
    <col min="9" max="9" width="13" style="226" customWidth="1"/>
    <col min="10" max="10" width="12.5703125" style="226" customWidth="1"/>
    <col min="11" max="11" width="12.140625" style="226" customWidth="1"/>
    <col min="12" max="12" width="13" style="226" customWidth="1"/>
    <col min="13" max="13" width="15.42578125" style="226" customWidth="1"/>
    <col min="14" max="14" width="15.5703125" style="226" customWidth="1"/>
    <col min="15" max="15" width="15.28515625" style="226" customWidth="1"/>
    <col min="16" max="16" width="14.140625" style="226" customWidth="1"/>
    <col min="17" max="17" width="9.85546875" style="226" bestFit="1" customWidth="1"/>
    <col min="18" max="18" width="10.85546875" style="226" bestFit="1" customWidth="1"/>
    <col min="19" max="19" width="11.140625" style="226" bestFit="1" customWidth="1"/>
    <col min="20" max="20" width="10.7109375" style="226" bestFit="1" customWidth="1"/>
    <col min="21" max="16384" width="9.140625" style="226"/>
  </cols>
  <sheetData>
    <row r="1" spans="1:14" ht="20.25">
      <c r="A1" s="822" t="s">
        <v>214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</row>
    <row r="2" spans="1:14">
      <c r="A2" s="227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</row>
    <row r="3" spans="1:14">
      <c r="A3" s="228"/>
      <c r="B3" s="229" t="s">
        <v>44</v>
      </c>
      <c r="C3" s="229" t="s">
        <v>45</v>
      </c>
      <c r="D3" s="230" t="s">
        <v>46</v>
      </c>
      <c r="E3" s="229" t="s">
        <v>47</v>
      </c>
      <c r="F3" s="229" t="s">
        <v>48</v>
      </c>
      <c r="G3" s="230" t="s">
        <v>49</v>
      </c>
      <c r="H3" s="229" t="s">
        <v>38</v>
      </c>
      <c r="I3" s="229" t="s">
        <v>39</v>
      </c>
      <c r="J3" s="229" t="s">
        <v>40</v>
      </c>
      <c r="K3" s="229" t="s">
        <v>41</v>
      </c>
      <c r="L3" s="229" t="s">
        <v>42</v>
      </c>
      <c r="M3" s="229" t="s">
        <v>43</v>
      </c>
      <c r="N3" s="228" t="s">
        <v>64</v>
      </c>
    </row>
    <row r="4" spans="1:14">
      <c r="A4" s="231" t="s">
        <v>65</v>
      </c>
      <c r="B4" s="620">
        <v>8818.15</v>
      </c>
      <c r="C4" s="620">
        <v>8497.49</v>
      </c>
      <c r="D4" s="620">
        <v>8818.15</v>
      </c>
      <c r="E4" s="620">
        <v>8818.15</v>
      </c>
      <c r="F4" s="620">
        <v>8978.48</v>
      </c>
      <c r="G4" s="620">
        <v>9138.81</v>
      </c>
      <c r="H4" s="620">
        <v>8978.48</v>
      </c>
      <c r="I4" s="620">
        <v>8978.48</v>
      </c>
      <c r="J4" s="620">
        <v>8657.82</v>
      </c>
      <c r="K4" s="620">
        <v>8818.15</v>
      </c>
      <c r="L4" s="620">
        <v>6894</v>
      </c>
      <c r="M4" s="620">
        <v>6894</v>
      </c>
      <c r="N4" s="620">
        <f t="shared" ref="N4:N16" si="0">SUM(B4:M4)</f>
        <v>102290.15999999997</v>
      </c>
    </row>
    <row r="5" spans="1:14">
      <c r="A5" s="231" t="s">
        <v>66</v>
      </c>
      <c r="B5" s="620">
        <v>79</v>
      </c>
      <c r="C5" s="620"/>
      <c r="D5" s="620"/>
      <c r="E5" s="620"/>
      <c r="F5" s="620"/>
      <c r="G5" s="621"/>
      <c r="H5" s="620"/>
      <c r="I5" s="620"/>
      <c r="J5" s="622"/>
      <c r="K5" s="620"/>
      <c r="L5" s="620"/>
      <c r="M5" s="620"/>
      <c r="N5" s="620">
        <f t="shared" si="0"/>
        <v>79</v>
      </c>
    </row>
    <row r="6" spans="1:14">
      <c r="A6" s="231" t="s">
        <v>67</v>
      </c>
      <c r="B6" s="620"/>
      <c r="C6" s="620"/>
      <c r="D6" s="620"/>
      <c r="E6" s="620"/>
      <c r="F6" s="620"/>
      <c r="G6" s="621"/>
      <c r="H6" s="620"/>
      <c r="I6" s="620"/>
      <c r="J6" s="620"/>
      <c r="K6" s="620"/>
      <c r="L6" s="620"/>
      <c r="M6" s="620"/>
      <c r="N6" s="620">
        <f t="shared" si="0"/>
        <v>0</v>
      </c>
    </row>
    <row r="7" spans="1:14">
      <c r="A7" s="231" t="s">
        <v>68</v>
      </c>
      <c r="B7" s="620"/>
      <c r="C7" s="620"/>
      <c r="D7" s="620"/>
      <c r="E7" s="620"/>
      <c r="F7" s="620"/>
      <c r="G7" s="621"/>
      <c r="H7" s="620"/>
      <c r="I7" s="620"/>
      <c r="J7" s="620"/>
      <c r="K7" s="620"/>
      <c r="L7" s="620"/>
      <c r="M7" s="620"/>
      <c r="N7" s="620">
        <f t="shared" si="0"/>
        <v>0</v>
      </c>
    </row>
    <row r="8" spans="1:14">
      <c r="A8" s="231" t="s">
        <v>69</v>
      </c>
      <c r="B8" s="620">
        <v>554.75</v>
      </c>
      <c r="C8" s="620"/>
      <c r="D8" s="620"/>
      <c r="E8" s="620"/>
      <c r="F8" s="620"/>
      <c r="G8" s="621"/>
      <c r="H8" s="620"/>
      <c r="I8" s="620"/>
      <c r="J8" s="620"/>
      <c r="K8" s="620"/>
      <c r="L8" s="620"/>
      <c r="M8" s="620"/>
      <c r="N8" s="620">
        <f t="shared" si="0"/>
        <v>554.75</v>
      </c>
    </row>
    <row r="9" spans="1:14">
      <c r="A9" s="231" t="s">
        <v>70</v>
      </c>
      <c r="B9" s="620"/>
      <c r="C9" s="620"/>
      <c r="D9" s="620"/>
      <c r="E9" s="620"/>
      <c r="F9" s="620"/>
      <c r="G9" s="621"/>
      <c r="H9" s="620"/>
      <c r="I9" s="620"/>
      <c r="J9" s="620"/>
      <c r="K9" s="620"/>
      <c r="L9" s="620"/>
      <c r="M9" s="620"/>
      <c r="N9" s="620">
        <f t="shared" si="0"/>
        <v>0</v>
      </c>
    </row>
    <row r="10" spans="1:14">
      <c r="A10" s="231" t="s">
        <v>71</v>
      </c>
      <c r="B10" s="620">
        <v>709</v>
      </c>
      <c r="C10" s="620"/>
      <c r="D10" s="620"/>
      <c r="E10" s="620"/>
      <c r="F10" s="620"/>
      <c r="G10" s="621"/>
      <c r="H10" s="620"/>
      <c r="I10" s="620"/>
      <c r="J10" s="620"/>
      <c r="K10" s="620"/>
      <c r="L10" s="620"/>
      <c r="M10" s="620"/>
      <c r="N10" s="620">
        <f t="shared" si="0"/>
        <v>709</v>
      </c>
    </row>
    <row r="11" spans="1:14">
      <c r="A11" s="231" t="s">
        <v>72</v>
      </c>
      <c r="B11" s="620"/>
      <c r="C11" s="620"/>
      <c r="D11" s="620"/>
      <c r="E11" s="620"/>
      <c r="F11" s="620"/>
      <c r="G11" s="621"/>
      <c r="H11" s="620"/>
      <c r="I11" s="620"/>
      <c r="J11" s="620"/>
      <c r="K11" s="620"/>
      <c r="L11" s="620"/>
      <c r="M11" s="620"/>
      <c r="N11" s="620">
        <f t="shared" si="0"/>
        <v>0</v>
      </c>
    </row>
    <row r="12" spans="1:14">
      <c r="A12" s="231" t="s">
        <v>73</v>
      </c>
      <c r="B12" s="620">
        <v>266.75</v>
      </c>
      <c r="C12" s="620"/>
      <c r="D12" s="620"/>
      <c r="E12" s="620"/>
      <c r="F12" s="620"/>
      <c r="G12" s="621"/>
      <c r="H12" s="620"/>
      <c r="I12" s="620"/>
      <c r="J12" s="620"/>
      <c r="K12" s="620"/>
      <c r="L12" s="620"/>
      <c r="M12" s="620"/>
      <c r="N12" s="620">
        <f t="shared" si="0"/>
        <v>266.75</v>
      </c>
    </row>
    <row r="13" spans="1:14">
      <c r="A13" s="231" t="s">
        <v>74</v>
      </c>
      <c r="B13" s="620">
        <v>156.5</v>
      </c>
      <c r="C13" s="620"/>
      <c r="D13" s="620"/>
      <c r="E13" s="620"/>
      <c r="F13" s="620"/>
      <c r="G13" s="621"/>
      <c r="H13" s="620"/>
      <c r="I13" s="620"/>
      <c r="J13" s="620"/>
      <c r="K13" s="620"/>
      <c r="L13" s="620"/>
      <c r="M13" s="620"/>
      <c r="N13" s="620">
        <f t="shared" si="0"/>
        <v>156.5</v>
      </c>
    </row>
    <row r="14" spans="1:14">
      <c r="A14" s="231" t="s">
        <v>75</v>
      </c>
      <c r="B14" s="620"/>
      <c r="C14" s="620"/>
      <c r="D14" s="620"/>
      <c r="E14" s="620"/>
      <c r="F14" s="620"/>
      <c r="G14" s="621"/>
      <c r="H14" s="620"/>
      <c r="I14" s="620"/>
      <c r="J14" s="620"/>
      <c r="K14" s="620"/>
      <c r="L14" s="620"/>
      <c r="M14" s="620"/>
      <c r="N14" s="620">
        <f t="shared" si="0"/>
        <v>0</v>
      </c>
    </row>
    <row r="15" spans="1:14" ht="13.5" thickBot="1">
      <c r="A15" s="235" t="s">
        <v>76</v>
      </c>
      <c r="B15" s="623">
        <v>6</v>
      </c>
      <c r="C15" s="623"/>
      <c r="D15" s="623"/>
      <c r="E15" s="623"/>
      <c r="F15" s="623"/>
      <c r="G15" s="624"/>
      <c r="H15" s="623"/>
      <c r="I15" s="623"/>
      <c r="J15" s="623"/>
      <c r="K15" s="623"/>
      <c r="L15" s="623"/>
      <c r="M15" s="623"/>
      <c r="N15" s="625">
        <f t="shared" si="0"/>
        <v>6</v>
      </c>
    </row>
    <row r="16" spans="1:14" ht="13.5" thickBot="1">
      <c r="A16" s="239" t="s">
        <v>77</v>
      </c>
      <c r="B16" s="626">
        <f>SUM(B4+B5+B6-B7-B8-B9-B10-B12-B13-B14-B15)</f>
        <v>7204.15</v>
      </c>
      <c r="C16" s="626">
        <f t="shared" ref="C16:M16" si="1">SUM(C4+C5+C6+C7-C8-C9-C10-C12-C13-C14-C15)</f>
        <v>8497.49</v>
      </c>
      <c r="D16" s="626">
        <f t="shared" si="1"/>
        <v>8818.15</v>
      </c>
      <c r="E16" s="626">
        <f t="shared" si="1"/>
        <v>8818.15</v>
      </c>
      <c r="F16" s="626">
        <f t="shared" si="1"/>
        <v>8978.48</v>
      </c>
      <c r="G16" s="626">
        <f t="shared" si="1"/>
        <v>9138.81</v>
      </c>
      <c r="H16" s="626">
        <f t="shared" si="1"/>
        <v>8978.48</v>
      </c>
      <c r="I16" s="626">
        <f t="shared" si="1"/>
        <v>8978.48</v>
      </c>
      <c r="J16" s="626">
        <f t="shared" si="1"/>
        <v>8657.82</v>
      </c>
      <c r="K16" s="626">
        <f t="shared" si="1"/>
        <v>8818.15</v>
      </c>
      <c r="L16" s="626">
        <f t="shared" si="1"/>
        <v>6894</v>
      </c>
      <c r="M16" s="627">
        <f t="shared" si="1"/>
        <v>6894</v>
      </c>
      <c r="N16" s="628">
        <f t="shared" si="0"/>
        <v>100676.15999999997</v>
      </c>
    </row>
    <row r="17" spans="1:14">
      <c r="A17" s="243"/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</row>
    <row r="18" spans="1:14">
      <c r="A18" s="243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629" t="s">
        <v>78</v>
      </c>
    </row>
    <row r="19" spans="1:14">
      <c r="A19" s="231" t="s">
        <v>79</v>
      </c>
      <c r="B19" s="620">
        <f t="shared" ref="B19:M19" si="2">SUM(B5*100/B16)</f>
        <v>1.0965901598384264</v>
      </c>
      <c r="C19" s="620">
        <f t="shared" si="2"/>
        <v>0</v>
      </c>
      <c r="D19" s="620">
        <f t="shared" si="2"/>
        <v>0</v>
      </c>
      <c r="E19" s="620">
        <f t="shared" si="2"/>
        <v>0</v>
      </c>
      <c r="F19" s="620">
        <f t="shared" si="2"/>
        <v>0</v>
      </c>
      <c r="G19" s="620">
        <f t="shared" si="2"/>
        <v>0</v>
      </c>
      <c r="H19" s="620">
        <f t="shared" si="2"/>
        <v>0</v>
      </c>
      <c r="I19" s="620">
        <f t="shared" si="2"/>
        <v>0</v>
      </c>
      <c r="J19" s="620">
        <f t="shared" si="2"/>
        <v>0</v>
      </c>
      <c r="K19" s="620">
        <f t="shared" si="2"/>
        <v>0</v>
      </c>
      <c r="L19" s="620">
        <f t="shared" si="2"/>
        <v>0</v>
      </c>
      <c r="M19" s="620">
        <f t="shared" si="2"/>
        <v>0</v>
      </c>
      <c r="N19" s="630">
        <f>SUM(B19:M19)/12</f>
        <v>9.1382513319868866E-2</v>
      </c>
    </row>
    <row r="20" spans="1:14">
      <c r="A20" s="243"/>
      <c r="B20" s="261"/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261"/>
      <c r="N20" s="261"/>
    </row>
    <row r="21" spans="1:14">
      <c r="A21" s="231" t="s">
        <v>80</v>
      </c>
      <c r="B21" s="620">
        <f t="shared" ref="B21:M21" si="3">SUM(B10*100/B16)</f>
        <v>9.841549662347397</v>
      </c>
      <c r="C21" s="620">
        <f t="shared" si="3"/>
        <v>0</v>
      </c>
      <c r="D21" s="620">
        <f t="shared" si="3"/>
        <v>0</v>
      </c>
      <c r="E21" s="620">
        <f t="shared" si="3"/>
        <v>0</v>
      </c>
      <c r="F21" s="620">
        <f t="shared" si="3"/>
        <v>0</v>
      </c>
      <c r="G21" s="620">
        <f t="shared" si="3"/>
        <v>0</v>
      </c>
      <c r="H21" s="620">
        <f t="shared" si="3"/>
        <v>0</v>
      </c>
      <c r="I21" s="620">
        <f t="shared" si="3"/>
        <v>0</v>
      </c>
      <c r="J21" s="620">
        <f t="shared" si="3"/>
        <v>0</v>
      </c>
      <c r="K21" s="620">
        <f t="shared" si="3"/>
        <v>0</v>
      </c>
      <c r="L21" s="620">
        <f t="shared" si="3"/>
        <v>0</v>
      </c>
      <c r="M21" s="620">
        <f t="shared" si="3"/>
        <v>0</v>
      </c>
      <c r="N21" s="630">
        <f>SUM(B21:M21)/12</f>
        <v>0.82012913852894975</v>
      </c>
    </row>
    <row r="22" spans="1:14" ht="13.5" thickBot="1">
      <c r="A22" s="247" t="s">
        <v>81</v>
      </c>
      <c r="B22" s="625">
        <f t="shared" ref="B22:M22" si="4">SUM(B11*100/B16)</f>
        <v>0</v>
      </c>
      <c r="C22" s="625">
        <f t="shared" si="4"/>
        <v>0</v>
      </c>
      <c r="D22" s="625">
        <f t="shared" si="4"/>
        <v>0</v>
      </c>
      <c r="E22" s="625">
        <f t="shared" si="4"/>
        <v>0</v>
      </c>
      <c r="F22" s="625">
        <f t="shared" si="4"/>
        <v>0</v>
      </c>
      <c r="G22" s="625">
        <f t="shared" si="4"/>
        <v>0</v>
      </c>
      <c r="H22" s="625">
        <f t="shared" si="4"/>
        <v>0</v>
      </c>
      <c r="I22" s="625">
        <f t="shared" si="4"/>
        <v>0</v>
      </c>
      <c r="J22" s="625">
        <f t="shared" si="4"/>
        <v>0</v>
      </c>
      <c r="K22" s="625">
        <f t="shared" si="4"/>
        <v>0</v>
      </c>
      <c r="L22" s="625">
        <f t="shared" si="4"/>
        <v>0</v>
      </c>
      <c r="M22" s="625">
        <f t="shared" si="4"/>
        <v>0</v>
      </c>
      <c r="N22" s="631">
        <f>SUM(B22:M22)/12</f>
        <v>0</v>
      </c>
    </row>
    <row r="23" spans="1:14" ht="13.5" thickBot="1">
      <c r="A23" s="249" t="s">
        <v>82</v>
      </c>
      <c r="B23" s="632">
        <f t="shared" ref="B23:M23" si="5">SUM(B21:B21)</f>
        <v>9.841549662347397</v>
      </c>
      <c r="C23" s="632">
        <f t="shared" si="5"/>
        <v>0</v>
      </c>
      <c r="D23" s="632">
        <f t="shared" si="5"/>
        <v>0</v>
      </c>
      <c r="E23" s="632">
        <f t="shared" si="5"/>
        <v>0</v>
      </c>
      <c r="F23" s="632">
        <f t="shared" si="5"/>
        <v>0</v>
      </c>
      <c r="G23" s="632">
        <f t="shared" si="5"/>
        <v>0</v>
      </c>
      <c r="H23" s="632">
        <f t="shared" si="5"/>
        <v>0</v>
      </c>
      <c r="I23" s="632">
        <f t="shared" si="5"/>
        <v>0</v>
      </c>
      <c r="J23" s="632">
        <f t="shared" si="5"/>
        <v>0</v>
      </c>
      <c r="K23" s="632">
        <f t="shared" si="5"/>
        <v>0</v>
      </c>
      <c r="L23" s="632">
        <f t="shared" si="5"/>
        <v>0</v>
      </c>
      <c r="M23" s="632">
        <f t="shared" si="5"/>
        <v>0</v>
      </c>
      <c r="N23" s="633">
        <f>SUM(N21:N22)</f>
        <v>0.82012913852894975</v>
      </c>
    </row>
    <row r="24" spans="1:14">
      <c r="A24" s="243" t="s">
        <v>83</v>
      </c>
      <c r="B24" s="261"/>
      <c r="C24" s="261"/>
      <c r="D24" s="634">
        <f>SUM(B23:D23)/3</f>
        <v>3.280516554115799</v>
      </c>
      <c r="E24" s="261"/>
      <c r="F24" s="261"/>
      <c r="G24" s="634">
        <f>SUM(E23,F23,G23)/3</f>
        <v>0</v>
      </c>
      <c r="H24" s="261"/>
      <c r="I24" s="261"/>
      <c r="J24" s="634">
        <f>SUM(H23,I23,J23)/3</f>
        <v>0</v>
      </c>
      <c r="K24" s="261"/>
      <c r="L24" s="261"/>
      <c r="M24" s="634">
        <f>SUM(K23,L23,M23)/3</f>
        <v>0</v>
      </c>
      <c r="N24" s="635">
        <f>SUM(D24:M24)/4</f>
        <v>0.82012913852894975</v>
      </c>
    </row>
    <row r="25" spans="1:14">
      <c r="A25" s="243" t="s">
        <v>84</v>
      </c>
      <c r="B25" s="261"/>
      <c r="C25" s="261"/>
      <c r="D25" s="262"/>
      <c r="E25" s="261"/>
      <c r="F25" s="261"/>
      <c r="G25" s="262"/>
      <c r="H25" s="261"/>
      <c r="I25" s="261"/>
      <c r="J25" s="262"/>
      <c r="K25" s="261"/>
      <c r="L25" s="261"/>
      <c r="M25" s="262"/>
      <c r="N25" s="630">
        <f>SUM(D25:G25,J25,M25)/4</f>
        <v>0</v>
      </c>
    </row>
    <row r="26" spans="1:14">
      <c r="A26" s="243"/>
      <c r="B26" s="261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</row>
    <row r="27" spans="1:14">
      <c r="A27" s="231" t="s">
        <v>85</v>
      </c>
      <c r="B27" s="620">
        <f t="shared" ref="B27:M27" si="6">B14*100/B16</f>
        <v>0</v>
      </c>
      <c r="C27" s="620">
        <f t="shared" si="6"/>
        <v>0</v>
      </c>
      <c r="D27" s="620">
        <f t="shared" si="6"/>
        <v>0</v>
      </c>
      <c r="E27" s="620">
        <f t="shared" si="6"/>
        <v>0</v>
      </c>
      <c r="F27" s="620">
        <f t="shared" si="6"/>
        <v>0</v>
      </c>
      <c r="G27" s="620">
        <f t="shared" si="6"/>
        <v>0</v>
      </c>
      <c r="H27" s="620">
        <f t="shared" si="6"/>
        <v>0</v>
      </c>
      <c r="I27" s="620">
        <f t="shared" si="6"/>
        <v>0</v>
      </c>
      <c r="J27" s="620">
        <f t="shared" si="6"/>
        <v>0</v>
      </c>
      <c r="K27" s="620">
        <f t="shared" si="6"/>
        <v>0</v>
      </c>
      <c r="L27" s="620">
        <f t="shared" si="6"/>
        <v>0</v>
      </c>
      <c r="M27" s="620">
        <f t="shared" si="6"/>
        <v>0</v>
      </c>
      <c r="N27" s="630">
        <f>SUM(B27:M27)/12</f>
        <v>0</v>
      </c>
    </row>
    <row r="28" spans="1:14">
      <c r="A28" s="231" t="s">
        <v>86</v>
      </c>
      <c r="B28" s="620">
        <f t="shared" ref="B28:M28" si="7">B12*100/B16</f>
        <v>3.7027269004670922</v>
      </c>
      <c r="C28" s="620">
        <f t="shared" si="7"/>
        <v>0</v>
      </c>
      <c r="D28" s="620">
        <f t="shared" si="7"/>
        <v>0</v>
      </c>
      <c r="E28" s="620">
        <f t="shared" si="7"/>
        <v>0</v>
      </c>
      <c r="F28" s="620">
        <f t="shared" si="7"/>
        <v>0</v>
      </c>
      <c r="G28" s="620">
        <f t="shared" si="7"/>
        <v>0</v>
      </c>
      <c r="H28" s="620">
        <f t="shared" si="7"/>
        <v>0</v>
      </c>
      <c r="I28" s="620">
        <f t="shared" si="7"/>
        <v>0</v>
      </c>
      <c r="J28" s="620">
        <f t="shared" si="7"/>
        <v>0</v>
      </c>
      <c r="K28" s="620">
        <f t="shared" si="7"/>
        <v>0</v>
      </c>
      <c r="L28" s="620">
        <f t="shared" si="7"/>
        <v>0</v>
      </c>
      <c r="M28" s="620">
        <f t="shared" si="7"/>
        <v>0</v>
      </c>
      <c r="N28" s="630">
        <f>SUM(B28:M28)/12</f>
        <v>0.30856057503892437</v>
      </c>
    </row>
    <row r="29" spans="1:14" ht="13.5" thickBot="1">
      <c r="A29" s="231" t="s">
        <v>87</v>
      </c>
      <c r="B29" s="620">
        <f t="shared" ref="B29:M29" si="8">B8*100/B16</f>
        <v>7.7004226730426213</v>
      </c>
      <c r="C29" s="620">
        <f t="shared" si="8"/>
        <v>0</v>
      </c>
      <c r="D29" s="620">
        <f t="shared" si="8"/>
        <v>0</v>
      </c>
      <c r="E29" s="620">
        <f t="shared" si="8"/>
        <v>0</v>
      </c>
      <c r="F29" s="620">
        <f t="shared" si="8"/>
        <v>0</v>
      </c>
      <c r="G29" s="620">
        <f t="shared" si="8"/>
        <v>0</v>
      </c>
      <c r="H29" s="620">
        <f t="shared" si="8"/>
        <v>0</v>
      </c>
      <c r="I29" s="620">
        <f t="shared" si="8"/>
        <v>0</v>
      </c>
      <c r="J29" s="620">
        <f t="shared" si="8"/>
        <v>0</v>
      </c>
      <c r="K29" s="620">
        <f t="shared" si="8"/>
        <v>0</v>
      </c>
      <c r="L29" s="620">
        <f t="shared" si="8"/>
        <v>0</v>
      </c>
      <c r="M29" s="620">
        <f t="shared" si="8"/>
        <v>0</v>
      </c>
      <c r="N29" s="630">
        <f>SUM(B29:M29)/12</f>
        <v>0.64170188942021844</v>
      </c>
    </row>
    <row r="30" spans="1:14" ht="13.5" thickBot="1">
      <c r="A30" s="255" t="s">
        <v>88</v>
      </c>
      <c r="B30" s="636">
        <f t="shared" ref="B30:M30" si="9">SUM(B4-B16)*100/B16</f>
        <v>22.403753392142029</v>
      </c>
      <c r="C30" s="636">
        <f t="shared" si="9"/>
        <v>0</v>
      </c>
      <c r="D30" s="636">
        <f t="shared" si="9"/>
        <v>0</v>
      </c>
      <c r="E30" s="636">
        <f t="shared" si="9"/>
        <v>0</v>
      </c>
      <c r="F30" s="636">
        <f t="shared" si="9"/>
        <v>0</v>
      </c>
      <c r="G30" s="636">
        <f t="shared" si="9"/>
        <v>0</v>
      </c>
      <c r="H30" s="636">
        <f t="shared" si="9"/>
        <v>0</v>
      </c>
      <c r="I30" s="636">
        <f t="shared" si="9"/>
        <v>0</v>
      </c>
      <c r="J30" s="636">
        <f t="shared" si="9"/>
        <v>0</v>
      </c>
      <c r="K30" s="636">
        <f t="shared" si="9"/>
        <v>0</v>
      </c>
      <c r="L30" s="636">
        <f t="shared" si="9"/>
        <v>0</v>
      </c>
      <c r="M30" s="636">
        <f t="shared" si="9"/>
        <v>0</v>
      </c>
      <c r="N30" s="637">
        <f>SUM(B30:M30)/12</f>
        <v>1.866979449345169</v>
      </c>
    </row>
    <row r="31" spans="1:14">
      <c r="A31" s="243"/>
      <c r="B31" s="244"/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27"/>
    </row>
    <row r="32" spans="1:14">
      <c r="A32" s="258" t="s">
        <v>89</v>
      </c>
      <c r="B32" s="244"/>
      <c r="C32" s="244"/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27"/>
    </row>
    <row r="33" spans="1:14">
      <c r="A33" s="231" t="s">
        <v>90</v>
      </c>
      <c r="B33" s="259">
        <v>55</v>
      </c>
      <c r="C33" s="259">
        <v>53</v>
      </c>
      <c r="D33" s="259">
        <v>55</v>
      </c>
      <c r="E33" s="259">
        <v>55</v>
      </c>
      <c r="F33" s="259">
        <v>56</v>
      </c>
      <c r="G33" s="259">
        <v>57</v>
      </c>
      <c r="H33" s="259">
        <v>56</v>
      </c>
      <c r="I33" s="259">
        <v>56</v>
      </c>
      <c r="J33" s="259">
        <v>54</v>
      </c>
      <c r="K33" s="259">
        <v>55</v>
      </c>
      <c r="L33" s="259">
        <v>43</v>
      </c>
      <c r="M33" s="259">
        <v>43</v>
      </c>
      <c r="N33" s="259">
        <v>43</v>
      </c>
    </row>
    <row r="34" spans="1:14">
      <c r="A34" s="231" t="s">
        <v>91</v>
      </c>
      <c r="B34" s="259"/>
      <c r="C34" s="259"/>
      <c r="D34" s="259"/>
      <c r="E34" s="259"/>
      <c r="F34" s="259"/>
      <c r="G34" s="259"/>
      <c r="H34" s="259"/>
      <c r="I34" s="259"/>
      <c r="J34" s="259"/>
      <c r="K34" s="259"/>
      <c r="L34" s="259"/>
      <c r="M34" s="259"/>
      <c r="N34" s="259"/>
    </row>
    <row r="35" spans="1:14">
      <c r="A35" s="231" t="s">
        <v>92</v>
      </c>
      <c r="B35" s="259"/>
      <c r="C35" s="259"/>
      <c r="D35" s="259"/>
      <c r="E35" s="259"/>
      <c r="F35" s="259"/>
      <c r="G35" s="259"/>
      <c r="H35" s="259"/>
      <c r="I35" s="259"/>
      <c r="J35" s="259"/>
      <c r="K35" s="259"/>
      <c r="L35" s="259"/>
      <c r="M35" s="259"/>
      <c r="N35" s="259"/>
    </row>
    <row r="36" spans="1:14">
      <c r="A36" s="231" t="s">
        <v>89</v>
      </c>
      <c r="B36" s="259"/>
      <c r="C36" s="259"/>
      <c r="D36" s="259"/>
      <c r="E36" s="259"/>
      <c r="F36" s="259"/>
      <c r="G36" s="259"/>
      <c r="H36" s="259"/>
      <c r="I36" s="259"/>
      <c r="J36" s="259"/>
      <c r="K36" s="259"/>
      <c r="L36" s="259"/>
      <c r="M36" s="259"/>
      <c r="N36" s="259"/>
    </row>
    <row r="37" spans="1:14">
      <c r="A37" s="231" t="s">
        <v>93</v>
      </c>
      <c r="B37" s="260">
        <f t="shared" ref="B37:M37" si="10">SUM(B36*100)/B33-100</f>
        <v>-100</v>
      </c>
      <c r="C37" s="260">
        <f t="shared" si="10"/>
        <v>-100</v>
      </c>
      <c r="D37" s="260">
        <f t="shared" si="10"/>
        <v>-100</v>
      </c>
      <c r="E37" s="260">
        <f t="shared" si="10"/>
        <v>-100</v>
      </c>
      <c r="F37" s="260">
        <f t="shared" si="10"/>
        <v>-100</v>
      </c>
      <c r="G37" s="260">
        <f t="shared" si="10"/>
        <v>-100</v>
      </c>
      <c r="H37" s="260">
        <f t="shared" si="10"/>
        <v>-100</v>
      </c>
      <c r="I37" s="260">
        <f t="shared" si="10"/>
        <v>-100</v>
      </c>
      <c r="J37" s="260">
        <f t="shared" si="10"/>
        <v>-100</v>
      </c>
      <c r="K37" s="260">
        <f t="shared" si="10"/>
        <v>-100</v>
      </c>
      <c r="L37" s="260">
        <f t="shared" si="10"/>
        <v>-100</v>
      </c>
      <c r="M37" s="260">
        <f t="shared" si="10"/>
        <v>-100</v>
      </c>
      <c r="N37" s="259"/>
    </row>
    <row r="38" spans="1:14">
      <c r="A38" s="243" t="s">
        <v>94</v>
      </c>
      <c r="B38" s="261"/>
      <c r="C38" s="261"/>
      <c r="D38" s="262">
        <f>SUM(B37:D37/3)</f>
        <v>-33.333333333333336</v>
      </c>
      <c r="E38" s="261"/>
      <c r="F38" s="261"/>
      <c r="G38" s="262">
        <f>SUM(E37:G37)/3</f>
        <v>-100</v>
      </c>
      <c r="H38" s="261"/>
      <c r="I38" s="261"/>
      <c r="J38" s="262">
        <f>SUM(H37:J37)/3</f>
        <v>-100</v>
      </c>
      <c r="K38" s="261"/>
      <c r="L38" s="261"/>
      <c r="M38" s="262">
        <f>SUM(K37:M37)/3</f>
        <v>-100</v>
      </c>
      <c r="N38" s="261"/>
    </row>
    <row r="39" spans="1:14">
      <c r="A39" s="243"/>
      <c r="B39" s="244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27"/>
    </row>
    <row r="40" spans="1:14" ht="16.5" thickBot="1">
      <c r="E40" s="263" t="s">
        <v>95</v>
      </c>
      <c r="F40" s="264"/>
      <c r="G40" s="265">
        <v>2016</v>
      </c>
    </row>
    <row r="41" spans="1:14">
      <c r="A41" s="266" t="s">
        <v>96</v>
      </c>
      <c r="B41" s="267" t="s">
        <v>44</v>
      </c>
      <c r="C41" s="267" t="s">
        <v>45</v>
      </c>
      <c r="D41" s="267" t="s">
        <v>46</v>
      </c>
      <c r="E41" s="267" t="s">
        <v>47</v>
      </c>
      <c r="F41" s="267" t="s">
        <v>48</v>
      </c>
      <c r="G41" s="267" t="s">
        <v>49</v>
      </c>
      <c r="H41" s="267" t="s">
        <v>38</v>
      </c>
      <c r="I41" s="267" t="s">
        <v>39</v>
      </c>
      <c r="J41" s="267" t="s">
        <v>40</v>
      </c>
      <c r="K41" s="267" t="s">
        <v>41</v>
      </c>
      <c r="L41" s="267" t="s">
        <v>42</v>
      </c>
      <c r="M41" s="267" t="s">
        <v>43</v>
      </c>
      <c r="N41" s="268" t="s">
        <v>64</v>
      </c>
    </row>
    <row r="42" spans="1:14">
      <c r="A42" s="269" t="s">
        <v>97</v>
      </c>
      <c r="B42" s="270">
        <v>61</v>
      </c>
      <c r="C42" s="270">
        <v>85</v>
      </c>
      <c r="D42" s="270">
        <v>119</v>
      </c>
      <c r="E42" s="270">
        <v>100</v>
      </c>
      <c r="F42" s="270">
        <v>102</v>
      </c>
      <c r="G42" s="270">
        <v>82</v>
      </c>
      <c r="H42" s="270">
        <v>70</v>
      </c>
      <c r="I42" s="270"/>
      <c r="J42" s="270"/>
      <c r="K42" s="270"/>
      <c r="L42" s="270"/>
      <c r="M42" s="270"/>
      <c r="N42" s="271">
        <f>SUM(B42:M42)</f>
        <v>619</v>
      </c>
    </row>
    <row r="43" spans="1:14">
      <c r="A43" s="269" t="s">
        <v>98</v>
      </c>
      <c r="B43" s="270">
        <v>3110</v>
      </c>
      <c r="C43" s="270">
        <v>3316</v>
      </c>
      <c r="D43" s="270">
        <v>3837</v>
      </c>
      <c r="E43" s="270">
        <v>4170</v>
      </c>
      <c r="F43" s="270">
        <v>2523</v>
      </c>
      <c r="G43" s="270">
        <v>3073</v>
      </c>
      <c r="H43" s="270">
        <v>3643</v>
      </c>
      <c r="I43" s="270"/>
      <c r="J43" s="270"/>
      <c r="K43" s="270"/>
      <c r="L43" s="270"/>
      <c r="M43" s="270"/>
      <c r="N43" s="271">
        <f>SUM(B43:M43)</f>
        <v>23672</v>
      </c>
    </row>
    <row r="44" spans="1:14">
      <c r="A44" s="269" t="s">
        <v>99</v>
      </c>
      <c r="B44" s="270">
        <v>255</v>
      </c>
      <c r="C44" s="270">
        <v>599</v>
      </c>
      <c r="D44" s="270">
        <v>816</v>
      </c>
      <c r="E44" s="270">
        <v>1324</v>
      </c>
      <c r="F44" s="270">
        <v>3440</v>
      </c>
      <c r="G44" s="270">
        <v>6260</v>
      </c>
      <c r="H44" s="270">
        <v>3643</v>
      </c>
      <c r="I44" s="270"/>
      <c r="J44" s="270"/>
      <c r="K44" s="270"/>
      <c r="L44" s="270"/>
      <c r="M44" s="270"/>
      <c r="N44" s="271">
        <f>SUM(B44:M44)</f>
        <v>16337</v>
      </c>
    </row>
    <row r="45" spans="1:14">
      <c r="A45" s="269" t="s">
        <v>100</v>
      </c>
      <c r="B45" s="270">
        <v>996</v>
      </c>
      <c r="C45" s="270">
        <v>679</v>
      </c>
      <c r="D45" s="270">
        <v>766</v>
      </c>
      <c r="E45" s="270">
        <v>795</v>
      </c>
      <c r="F45" s="270">
        <v>967</v>
      </c>
      <c r="G45" s="270">
        <v>1046</v>
      </c>
      <c r="H45" s="270">
        <v>570</v>
      </c>
      <c r="I45" s="270"/>
      <c r="J45" s="270"/>
      <c r="K45" s="270"/>
      <c r="L45" s="270"/>
      <c r="M45" s="270"/>
      <c r="N45" s="271">
        <f>SUM(B45:M45)</f>
        <v>5819</v>
      </c>
    </row>
    <row r="46" spans="1:14" ht="13.5" thickBot="1">
      <c r="A46" s="272" t="s">
        <v>101</v>
      </c>
      <c r="B46" s="273"/>
      <c r="C46" s="273">
        <v>6</v>
      </c>
      <c r="D46" s="273">
        <v>1</v>
      </c>
      <c r="E46" s="273">
        <v>3</v>
      </c>
      <c r="F46" s="273">
        <v>2</v>
      </c>
      <c r="G46" s="273">
        <v>6</v>
      </c>
      <c r="H46" s="273">
        <v>4</v>
      </c>
      <c r="I46" s="273"/>
      <c r="J46" s="273"/>
      <c r="K46" s="273"/>
      <c r="L46" s="273"/>
      <c r="M46" s="273"/>
      <c r="N46" s="483">
        <f>SUM(B46:M46)</f>
        <v>22</v>
      </c>
    </row>
    <row r="47" spans="1:14">
      <c r="N47" s="484">
        <f>SUM(N42:N46)</f>
        <v>46469</v>
      </c>
    </row>
    <row r="48" spans="1:14" ht="16.5" thickBot="1">
      <c r="E48" s="263" t="s">
        <v>102</v>
      </c>
      <c r="F48" s="264"/>
      <c r="G48" s="265">
        <v>2016</v>
      </c>
    </row>
    <row r="49" spans="1:17">
      <c r="A49" s="266" t="s">
        <v>102</v>
      </c>
      <c r="B49" s="267" t="s">
        <v>44</v>
      </c>
      <c r="C49" s="267" t="s">
        <v>45</v>
      </c>
      <c r="D49" s="267" t="s">
        <v>46</v>
      </c>
      <c r="E49" s="267" t="s">
        <v>47</v>
      </c>
      <c r="F49" s="267" t="s">
        <v>48</v>
      </c>
      <c r="G49" s="267" t="s">
        <v>49</v>
      </c>
      <c r="H49" s="267" t="s">
        <v>38</v>
      </c>
      <c r="I49" s="267" t="s">
        <v>39</v>
      </c>
      <c r="J49" s="267" t="s">
        <v>40</v>
      </c>
      <c r="K49" s="267" t="s">
        <v>41</v>
      </c>
      <c r="L49" s="267" t="s">
        <v>42</v>
      </c>
      <c r="M49" s="267" t="s">
        <v>43</v>
      </c>
      <c r="N49" s="268" t="s">
        <v>64</v>
      </c>
    </row>
    <row r="50" spans="1:17">
      <c r="A50" s="485" t="s">
        <v>103</v>
      </c>
      <c r="B50" s="275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6">
        <f t="shared" ref="N50:N55" si="11">SUM(B50:M50)</f>
        <v>0</v>
      </c>
    </row>
    <row r="51" spans="1:17">
      <c r="A51" s="269" t="s">
        <v>104</v>
      </c>
      <c r="B51" s="277">
        <v>31</v>
      </c>
      <c r="C51" s="277">
        <v>18</v>
      </c>
      <c r="D51" s="277">
        <v>25</v>
      </c>
      <c r="E51" s="277">
        <v>17</v>
      </c>
      <c r="F51" s="277">
        <v>20</v>
      </c>
      <c r="G51" s="277">
        <v>33</v>
      </c>
      <c r="H51" s="277">
        <v>19</v>
      </c>
      <c r="I51" s="277">
        <v>22</v>
      </c>
      <c r="J51" s="277">
        <v>23</v>
      </c>
      <c r="K51" s="277">
        <v>42</v>
      </c>
      <c r="L51" s="277">
        <v>22</v>
      </c>
      <c r="M51" s="277"/>
      <c r="N51" s="276">
        <f t="shared" si="11"/>
        <v>272</v>
      </c>
    </row>
    <row r="52" spans="1:17">
      <c r="A52" s="269" t="s">
        <v>105</v>
      </c>
      <c r="B52" s="277">
        <v>61</v>
      </c>
      <c r="C52" s="277">
        <v>49</v>
      </c>
      <c r="D52" s="277">
        <v>50</v>
      </c>
      <c r="E52" s="277">
        <v>59</v>
      </c>
      <c r="F52" s="277">
        <v>65</v>
      </c>
      <c r="G52" s="277">
        <v>87</v>
      </c>
      <c r="H52" s="277">
        <v>51</v>
      </c>
      <c r="I52" s="277">
        <v>98</v>
      </c>
      <c r="J52" s="277">
        <v>53</v>
      </c>
      <c r="K52" s="277">
        <v>71</v>
      </c>
      <c r="L52" s="277">
        <v>43</v>
      </c>
      <c r="M52" s="277"/>
      <c r="N52" s="276">
        <f t="shared" si="11"/>
        <v>687</v>
      </c>
    </row>
    <row r="53" spans="1:17">
      <c r="A53" s="269" t="s">
        <v>106</v>
      </c>
      <c r="B53" s="278">
        <v>1</v>
      </c>
      <c r="C53" s="278">
        <v>3</v>
      </c>
      <c r="D53" s="278">
        <v>1</v>
      </c>
      <c r="E53" s="278">
        <v>5</v>
      </c>
      <c r="F53" s="278">
        <v>7</v>
      </c>
      <c r="G53" s="278">
        <v>5</v>
      </c>
      <c r="H53" s="278">
        <v>9</v>
      </c>
      <c r="I53" s="278">
        <v>2</v>
      </c>
      <c r="J53" s="278">
        <v>5</v>
      </c>
      <c r="K53" s="278">
        <v>2</v>
      </c>
      <c r="L53" s="278">
        <v>2</v>
      </c>
      <c r="M53" s="278"/>
      <c r="N53" s="276">
        <f t="shared" si="11"/>
        <v>42</v>
      </c>
    </row>
    <row r="54" spans="1:17">
      <c r="A54" s="486" t="s">
        <v>11</v>
      </c>
      <c r="B54" s="278">
        <v>34</v>
      </c>
      <c r="C54" s="278">
        <v>46</v>
      </c>
      <c r="D54" s="278">
        <v>32</v>
      </c>
      <c r="E54" s="278">
        <v>38</v>
      </c>
      <c r="F54" s="278">
        <v>18</v>
      </c>
      <c r="G54" s="278">
        <v>15</v>
      </c>
      <c r="H54" s="278">
        <v>2</v>
      </c>
      <c r="I54" s="278">
        <v>8</v>
      </c>
      <c r="J54" s="278">
        <v>51</v>
      </c>
      <c r="K54" s="278">
        <v>50</v>
      </c>
      <c r="L54" s="278">
        <v>64</v>
      </c>
      <c r="M54" s="278"/>
      <c r="N54" s="276">
        <f t="shared" si="11"/>
        <v>358</v>
      </c>
    </row>
    <row r="55" spans="1:17">
      <c r="A55" s="705" t="s">
        <v>107</v>
      </c>
      <c r="B55" s="278">
        <v>13</v>
      </c>
      <c r="C55" s="278">
        <v>29</v>
      </c>
      <c r="D55" s="278">
        <v>43</v>
      </c>
      <c r="E55" s="278">
        <v>23</v>
      </c>
      <c r="F55" s="278">
        <v>40</v>
      </c>
      <c r="G55" s="278">
        <v>44</v>
      </c>
      <c r="H55" s="278">
        <v>26</v>
      </c>
      <c r="I55" s="278">
        <v>21</v>
      </c>
      <c r="J55" s="278">
        <v>22</v>
      </c>
      <c r="K55" s="278">
        <v>35</v>
      </c>
      <c r="L55" s="278">
        <v>25</v>
      </c>
      <c r="M55" s="278"/>
      <c r="N55" s="276">
        <f t="shared" si="11"/>
        <v>321</v>
      </c>
    </row>
    <row r="56" spans="1:17">
      <c r="A56" s="816" t="s">
        <v>108</v>
      </c>
      <c r="B56" s="278">
        <v>36</v>
      </c>
      <c r="C56" s="278">
        <v>6</v>
      </c>
      <c r="D56" s="278">
        <v>8</v>
      </c>
      <c r="E56" s="278">
        <v>6</v>
      </c>
      <c r="F56" s="278">
        <v>1</v>
      </c>
      <c r="G56" s="278">
        <v>5</v>
      </c>
      <c r="H56" s="278">
        <v>3</v>
      </c>
      <c r="I56" s="278">
        <v>3</v>
      </c>
      <c r="J56" s="278">
        <v>7</v>
      </c>
      <c r="K56" s="278">
        <v>2</v>
      </c>
      <c r="L56" s="278">
        <v>3</v>
      </c>
      <c r="M56" s="278"/>
      <c r="N56" s="276">
        <f>SUM(B56:M56)</f>
        <v>80</v>
      </c>
    </row>
    <row r="57" spans="1:17" ht="13.5" thickBot="1">
      <c r="A57" s="816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76">
        <f>SUM(N50:N56)</f>
        <v>1760</v>
      </c>
    </row>
    <row r="58" spans="1:17" ht="18">
      <c r="A58" s="823" t="s">
        <v>215</v>
      </c>
      <c r="B58" s="823"/>
      <c r="C58" s="823"/>
      <c r="D58" s="823"/>
      <c r="E58" s="823"/>
      <c r="F58" s="823"/>
      <c r="G58" s="823"/>
      <c r="H58" s="823"/>
      <c r="I58" s="823"/>
      <c r="J58" s="823"/>
      <c r="K58" s="823"/>
      <c r="L58" s="823"/>
      <c r="M58" s="823"/>
      <c r="N58" s="824"/>
    </row>
    <row r="59" spans="1:17" ht="15.75">
      <c r="E59" s="282"/>
      <c r="M59" s="244"/>
      <c r="N59" s="227"/>
    </row>
    <row r="60" spans="1:17">
      <c r="A60" s="771" t="str">
        <f>IF([7]Vagt!A4&lt;&gt;"",[7]Vagt!A4,"")</f>
        <v>Note 1: Fordeling  af intern betalingsordning på Rådhuset</v>
      </c>
      <c r="B60" s="772"/>
      <c r="C60" s="772"/>
      <c r="D60" s="772" t="str">
        <f>IF([7]Vagt!D4&lt;&gt;"",[7]Vagt!D4,"")</f>
        <v>Årlig pris</v>
      </c>
      <c r="E60" s="773">
        <f>IF([7]Vagt!E4&lt;&gt;"",[7]Vagt!E4,"")</f>
        <v>0</v>
      </c>
      <c r="F60" s="773"/>
      <c r="G60" s="773"/>
      <c r="H60" s="773"/>
      <c r="I60" s="773"/>
      <c r="J60" s="773"/>
      <c r="K60" s="773"/>
      <c r="L60" s="773"/>
      <c r="M60" s="773"/>
      <c r="N60" s="773"/>
      <c r="P60" s="244"/>
      <c r="Q60" s="227"/>
    </row>
    <row r="61" spans="1:17">
      <c r="A61" s="772">
        <f>IF([7]Vagt!A5&lt;&gt;"",[7]Vagt!A5,"")</f>
        <v>0</v>
      </c>
      <c r="B61" s="772" t="str">
        <f>IF([7]Vagt!B5&lt;&gt;"",[7]Vagt!B5,"")</f>
        <v>SOF</v>
      </c>
      <c r="C61" s="772">
        <f>IF([7]Vagt!C5&lt;&gt;"",[7]Vagt!C5,"")</f>
        <v>0</v>
      </c>
      <c r="D61" s="812">
        <v>5651778</v>
      </c>
      <c r="E61" s="773" t="str">
        <f>IF([7]Vagt!E5&lt;&gt;"",[7]Vagt!E5,"")</f>
        <v>Lisbeth Iversen 62200</v>
      </c>
      <c r="F61" s="773"/>
      <c r="G61" s="773"/>
      <c r="H61" s="773"/>
      <c r="I61" s="773"/>
      <c r="J61" s="773"/>
      <c r="K61" s="773"/>
      <c r="L61" s="773"/>
      <c r="M61" s="773"/>
      <c r="N61" s="773"/>
      <c r="P61" s="244"/>
      <c r="Q61" s="227"/>
    </row>
    <row r="62" spans="1:17">
      <c r="A62" s="772">
        <f>IF([7]Vagt!A6&lt;&gt;"",[7]Vagt!A6,"")</f>
        <v>0</v>
      </c>
      <c r="B62" s="772" t="str">
        <f>IF([7]Vagt!B6&lt;&gt;"",[7]Vagt!B6,"")</f>
        <v>Kødbyen</v>
      </c>
      <c r="C62" s="772">
        <f>IF([7]Vagt!C6&lt;&gt;"",[7]Vagt!C6,"")</f>
        <v>0</v>
      </c>
      <c r="D62" s="812">
        <f>IF([7]Vagt!D6&lt;&gt;"",[7]Vagt!D6,"")</f>
        <v>1761357</v>
      </c>
      <c r="E62" s="818">
        <f>IF([7]Vagt!E6&lt;&gt;"",[7]Vagt!E6,"")</f>
        <v>2244873</v>
      </c>
      <c r="F62" s="773"/>
      <c r="G62" s="773"/>
      <c r="H62" s="773"/>
      <c r="I62" s="773"/>
      <c r="J62" s="773"/>
      <c r="K62" s="773"/>
      <c r="L62" s="773"/>
      <c r="M62" s="773"/>
      <c r="N62" s="773"/>
      <c r="O62" s="291"/>
      <c r="P62" s="244"/>
      <c r="Q62" s="227"/>
    </row>
    <row r="63" spans="1:17">
      <c r="A63" s="772" t="e">
        <f>IF([7]Vagt!A7&lt;&gt;"",[7]Vagt!A7,"")</f>
        <v>#REF!</v>
      </c>
      <c r="B63" s="772">
        <f>IF([7]Vagt!B7&lt;&gt;"",[7]Vagt!B7,"")</f>
        <v>0</v>
      </c>
      <c r="C63" s="772">
        <f>IF([7]Vagt!C7&lt;&gt;"",[7]Vagt!C7,"")</f>
        <v>0</v>
      </c>
      <c r="D63" s="772"/>
      <c r="E63" s="773">
        <f>IF([7]Vagt!E7&lt;&gt;"",[7]Vagt!E7,"")</f>
        <v>0</v>
      </c>
      <c r="F63" s="773"/>
      <c r="G63" s="773"/>
      <c r="H63" s="773"/>
      <c r="I63" s="773"/>
      <c r="J63" s="773"/>
      <c r="K63" s="773"/>
      <c r="L63" s="773"/>
      <c r="M63" s="773"/>
      <c r="N63" s="773"/>
      <c r="O63" s="298"/>
      <c r="P63" s="244"/>
      <c r="Q63" s="227"/>
    </row>
    <row r="64" spans="1:17">
      <c r="A64" s="772">
        <f>IF([7]Vagt!A8&lt;&gt;"",[7]Vagt!A8,"")</f>
        <v>0</v>
      </c>
      <c r="B64" s="772">
        <f>IF([7]Vagt!B8&lt;&gt;"",[7]Vagt!B8,"")</f>
        <v>0</v>
      </c>
      <c r="C64" s="772">
        <f>IF([7]Vagt!C8&lt;&gt;"",[7]Vagt!C8,"")</f>
        <v>0</v>
      </c>
      <c r="D64" s="772">
        <f>IF([7]Vagt!D8&lt;&gt;"",[7]Vagt!D8,"")</f>
        <v>0</v>
      </c>
      <c r="E64" s="773" t="e">
        <f>IF([7]Vagt!E8&lt;&gt;"",[7]Vagt!E8,"")</f>
        <v>#REF!</v>
      </c>
      <c r="F64" s="773"/>
      <c r="G64" s="773"/>
      <c r="H64" s="773"/>
      <c r="I64" s="773"/>
      <c r="J64" s="773"/>
      <c r="K64" s="773"/>
      <c r="L64" s="773"/>
      <c r="M64" s="773"/>
      <c r="N64" s="773"/>
      <c r="O64" s="320"/>
      <c r="P64" s="244"/>
      <c r="Q64" s="227"/>
    </row>
    <row r="65" spans="1:17">
      <c r="A65" s="772">
        <f>IF([7]Vagt!A9&lt;&gt;"",[7]Vagt!A9,"")</f>
        <v>0</v>
      </c>
      <c r="B65" s="772">
        <f>IF([7]Vagt!B9&lt;&gt;"",[7]Vagt!B9,"")</f>
        <v>0</v>
      </c>
      <c r="C65" s="772">
        <f>IF([7]Vagt!C9&lt;&gt;"",[7]Vagt!C9,"")</f>
        <v>0</v>
      </c>
      <c r="D65" s="772">
        <f>IF([7]Vagt!D9&lt;&gt;"",[7]Vagt!D9,"")</f>
        <v>0</v>
      </c>
      <c r="E65" s="773">
        <f>IF([7]Vagt!E9&lt;&gt;"",[7]Vagt!E9,"")</f>
        <v>0</v>
      </c>
      <c r="F65" s="773"/>
      <c r="G65" s="773"/>
      <c r="H65" s="773"/>
      <c r="I65" s="773"/>
      <c r="J65" s="773"/>
      <c r="K65" s="773"/>
      <c r="L65" s="773"/>
      <c r="M65" s="773"/>
      <c r="N65" s="773"/>
      <c r="O65" s="320"/>
      <c r="P65" s="244"/>
      <c r="Q65" s="227"/>
    </row>
    <row r="66" spans="1:17">
      <c r="A66" s="772">
        <f>IF([7]Vagt!A10&lt;&gt;"",[7]Vagt!A10,"")</f>
        <v>0</v>
      </c>
      <c r="B66" s="772">
        <f>IF([7]Vagt!B10&lt;&gt;"",[7]Vagt!B10,"")</f>
        <v>0</v>
      </c>
      <c r="C66" s="772">
        <f>IF([7]Vagt!C10&lt;&gt;"",[7]Vagt!C10,"")</f>
        <v>0</v>
      </c>
      <c r="D66" s="772">
        <f>IF([7]Vagt!D10&lt;&gt;"",[7]Vagt!D10,"")</f>
        <v>0</v>
      </c>
      <c r="E66" s="773">
        <f>IF([7]Vagt!E10&lt;&gt;"",[7]Vagt!E10,"")</f>
        <v>0</v>
      </c>
      <c r="F66" s="773"/>
      <c r="G66" s="773"/>
      <c r="H66" s="773"/>
      <c r="I66" s="773"/>
      <c r="J66" s="773"/>
      <c r="K66" s="773"/>
      <c r="L66" s="773"/>
      <c r="M66" s="773"/>
      <c r="N66" s="773"/>
      <c r="O66" s="320"/>
      <c r="P66" s="244"/>
      <c r="Q66" s="227"/>
    </row>
    <row r="67" spans="1:17">
      <c r="A67" s="772">
        <f>IF([7]Vagt!A11&lt;&gt;"",[7]Vagt!A11,"")</f>
        <v>0</v>
      </c>
      <c r="B67" s="772">
        <f>IF([7]Vagt!B11&lt;&gt;"",[7]Vagt!B11,"")</f>
        <v>0</v>
      </c>
      <c r="C67" s="772">
        <f>IF([7]Vagt!C11&lt;&gt;"",[7]Vagt!C11,"")</f>
        <v>0</v>
      </c>
      <c r="D67" s="772">
        <f>IF([7]Vagt!D11&lt;&gt;"",[7]Vagt!D11,"")</f>
        <v>0</v>
      </c>
      <c r="E67" s="773">
        <f>IF([7]Vagt!E11&lt;&gt;"",[7]Vagt!E11,"")</f>
        <v>0</v>
      </c>
      <c r="F67" s="773"/>
      <c r="G67" s="773"/>
      <c r="H67" s="773"/>
      <c r="I67" s="773"/>
      <c r="J67" s="773"/>
      <c r="K67" s="773"/>
      <c r="L67" s="773"/>
      <c r="M67" s="773"/>
      <c r="N67" s="773"/>
      <c r="O67" s="291"/>
      <c r="P67" s="244"/>
      <c r="Q67" s="227"/>
    </row>
    <row r="68" spans="1:17">
      <c r="A68" s="772">
        <f>IF([7]Vagt!A12&lt;&gt;"",[7]Vagt!A12,"")</f>
        <v>0</v>
      </c>
      <c r="B68" s="772">
        <f>IF([7]Vagt!B12&lt;&gt;"",[7]Vagt!B12,"")</f>
        <v>0</v>
      </c>
      <c r="C68" s="772">
        <f>IF([7]Vagt!C12&lt;&gt;"",[7]Vagt!C12,"")</f>
        <v>0</v>
      </c>
      <c r="D68" s="772"/>
      <c r="E68" s="773" t="str">
        <f>IF([7]Vagt!E12&lt;&gt;"",[7]Vagt!E12,"")</f>
        <v>Sort = ikke betalt eller genfremsendt</v>
      </c>
      <c r="F68" s="773"/>
      <c r="G68" s="773"/>
      <c r="H68" s="773"/>
      <c r="I68" s="773"/>
      <c r="J68" s="773"/>
      <c r="K68" s="773"/>
      <c r="L68" s="773"/>
      <c r="M68" s="773"/>
      <c r="N68" s="773"/>
      <c r="O68" s="317"/>
      <c r="P68" s="244"/>
      <c r="Q68" s="227"/>
    </row>
    <row r="69" spans="1:17" ht="13.5" thickBot="1">
      <c r="A69" s="774">
        <f>IF([7]Vagt!A13&lt;&gt;"",[7]Vagt!A13,"")</f>
        <v>0</v>
      </c>
      <c r="B69" s="774">
        <f>IF([7]Vagt!B13&lt;&gt;"",[7]Vagt!B13,"")</f>
        <v>0</v>
      </c>
      <c r="C69" s="774">
        <f>IF([7]Vagt!C13&lt;&gt;"",[7]Vagt!C13,"")</f>
        <v>0</v>
      </c>
      <c r="D69" s="774">
        <f>IF([7]Vagt!D13&lt;&gt;"",[7]Vagt!D13,"")</f>
        <v>0</v>
      </c>
      <c r="E69" s="779" t="str">
        <f>IF([7]Vagt!E13&lt;&gt;"",[7]Vagt!E13,"")</f>
        <v>Grøn = Ikke betalt men genfremsendt</v>
      </c>
      <c r="F69" s="773"/>
      <c r="G69" s="773"/>
      <c r="H69" s="773"/>
      <c r="I69" s="773"/>
      <c r="J69" s="773"/>
      <c r="K69" s="773"/>
      <c r="L69" s="773"/>
      <c r="M69" s="773"/>
      <c r="N69" s="773"/>
      <c r="O69" s="320"/>
      <c r="P69" s="244"/>
      <c r="Q69" s="227"/>
    </row>
    <row r="70" spans="1:17">
      <c r="A70" s="775" t="str">
        <f>IF([7]Vagt!A14&lt;&gt;"",[7]Vagt!A14,"")</f>
        <v>Årligt</v>
      </c>
      <c r="B70" s="775">
        <f>IF([7]Vagt!B14&lt;&gt;"",[7]Vagt!B14,"")</f>
        <v>0</v>
      </c>
      <c r="C70" s="775">
        <f>IF([7]Vagt!C14&lt;&gt;"",[7]Vagt!C14,"")</f>
        <v>0</v>
      </c>
      <c r="D70" s="777">
        <f>IF([7]Vagt!D14&lt;&gt;"",[7]Vagt!D14,"")</f>
        <v>7413134</v>
      </c>
      <c r="E70" s="780" t="str">
        <f>IF([7]Vagt!E14&lt;&gt;"",[7]Vagt!E14,"")</f>
        <v>Når org. Nr. er røde, er de betalt</v>
      </c>
      <c r="F70" s="773"/>
      <c r="G70" s="773"/>
      <c r="H70" s="773"/>
      <c r="I70" s="773"/>
      <c r="J70" s="773"/>
      <c r="K70" s="773"/>
      <c r="L70" s="773"/>
      <c r="M70" s="773"/>
      <c r="N70" s="773"/>
      <c r="O70" s="320"/>
      <c r="P70" s="244"/>
      <c r="Q70" s="227"/>
    </row>
    <row r="71" spans="1:17" ht="13.5" thickBot="1">
      <c r="A71" s="776" t="str">
        <f>IF([7]Vagt!A15&lt;&gt;"",[7]Vagt!A15,"")</f>
        <v>Månedligt</v>
      </c>
      <c r="B71" s="776">
        <f>IF([7]Vagt!B15&lt;&gt;"",[7]Vagt!B15,"")</f>
        <v>0</v>
      </c>
      <c r="C71" s="776">
        <f>IF([7]Vagt!C15&lt;&gt;"",[7]Vagt!C15,"")</f>
        <v>0</v>
      </c>
      <c r="D71" s="778">
        <f>IF([7]Vagt!D15&lt;&gt;"",[7]Vagt!D15,"")</f>
        <v>617761.16666666663</v>
      </c>
      <c r="E71" s="780" t="str">
        <f>IF([7]Vagt!E15&lt;&gt;"",[7]Vagt!E15,"")</f>
        <v>Der er en pris fremskrivning/stigning på 1.67 % og ingen stigning på timepris påført 28-10-2015 gældende for 2016</v>
      </c>
      <c r="F71" s="773"/>
      <c r="G71" s="773"/>
      <c r="H71" s="773"/>
      <c r="I71" s="773"/>
      <c r="J71" s="773"/>
      <c r="K71" s="773"/>
      <c r="L71" s="773"/>
      <c r="M71" s="773"/>
      <c r="N71" s="773"/>
      <c r="O71" s="291"/>
      <c r="P71" s="244"/>
      <c r="Q71" s="227"/>
    </row>
    <row r="72" spans="1:17">
      <c r="A72" s="773">
        <f>IF([7]Vagt!A16&lt;&gt;"",[7]Vagt!A16,"")</f>
        <v>0</v>
      </c>
      <c r="B72" s="773">
        <f>IF([7]Vagt!B16&lt;&gt;"",[7]Vagt!B16,"")</f>
        <v>0</v>
      </c>
      <c r="C72" s="773">
        <f>IF([7]Vagt!C16&lt;&gt;"",[7]Vagt!C16,"")</f>
        <v>0</v>
      </c>
      <c r="D72" s="773" t="e">
        <f>IF([7]Vagt!D16&lt;&gt;"",[7]Vagt!D16,"")</f>
        <v>#REF!</v>
      </c>
      <c r="E72" s="773" t="e">
        <f>IF([7]Vagt!E16&lt;&gt;"",[7]Vagt!E16,"")</f>
        <v>#REF!</v>
      </c>
      <c r="F72" s="773"/>
      <c r="G72" s="773"/>
      <c r="H72" s="773"/>
      <c r="I72" s="773"/>
      <c r="J72" s="773"/>
      <c r="K72" s="773"/>
      <c r="L72" s="773"/>
      <c r="M72" s="773"/>
      <c r="N72" s="773"/>
      <c r="O72" s="291"/>
      <c r="P72" s="244"/>
      <c r="Q72" s="227"/>
    </row>
    <row r="73" spans="1:17">
      <c r="A73" s="772" t="s">
        <v>216</v>
      </c>
      <c r="B73" s="771" t="str">
        <f>IF([7]Vagt!B17&lt;&gt;"",[7]Vagt!B17,"")</f>
        <v xml:space="preserve">Note 2  Kontrakt kunder fast rundering </v>
      </c>
      <c r="C73" s="771"/>
      <c r="D73" s="782"/>
      <c r="E73" s="784"/>
      <c r="F73" s="771"/>
      <c r="G73" s="773">
        <f>IF([7]Vagt!G17&lt;&gt;"",[7]Vagt!G17,"")</f>
        <v>0</v>
      </c>
      <c r="H73" s="773">
        <f>IF([7]Vagt!H17&lt;&gt;"",[7]Vagt!H17,"")</f>
        <v>0</v>
      </c>
      <c r="I73" s="772">
        <f>IF([7]Vagt!I17&lt;&gt;"",[7]Vagt!I17,"")</f>
        <v>0</v>
      </c>
      <c r="J73" s="782" t="str">
        <f>IF([7]Vagt!J17&lt;&gt;"",[7]Vagt!J17,"")</f>
        <v xml:space="preserve">Note 2  Kontrakt kunder fast rundering </v>
      </c>
      <c r="K73" s="800"/>
      <c r="L73" s="800"/>
      <c r="M73" s="800"/>
      <c r="N73" s="785"/>
      <c r="O73" s="297"/>
      <c r="P73" s="244"/>
      <c r="Q73" s="227"/>
    </row>
    <row r="74" spans="1:17">
      <c r="A74" s="772" t="str">
        <f>IF([7]Vagt!A18&lt;&gt;"",[7]Vagt!A18,"")</f>
        <v>Org. Nr.</v>
      </c>
      <c r="B74" s="772" t="str">
        <f>IF([7]Vagt!B18&lt;&gt;"",[7]Vagt!B18,"")</f>
        <v>Kontrakt nr.</v>
      </c>
      <c r="C74" s="772" t="str">
        <f>IF([7]Vagt!C18&lt;&gt;"",[7]Vagt!C18,"")</f>
        <v>Start dato</v>
      </c>
      <c r="D74" s="783" t="str">
        <f>IF([7]Vagt!D18&lt;&gt;"",[7]Vagt!D18,"")</f>
        <v>Adresse</v>
      </c>
      <c r="E74" s="785">
        <f>IF([7]Vagt!E18&lt;&gt;"",[7]Vagt!E18,"")</f>
        <v>0</v>
      </c>
      <c r="F74" s="772" t="str">
        <f>IF([7]Vagt!F18&lt;&gt;"",[7]Vagt!F18,"")</f>
        <v xml:space="preserve">Årlig pris  </v>
      </c>
      <c r="G74" s="773">
        <f>IF([7]Vagt!G18&lt;&gt;"",[7]Vagt!G18,"")</f>
        <v>0</v>
      </c>
      <c r="H74" s="773">
        <f>IF([7]Vagt!H18&lt;&gt;"",[7]Vagt!H18,"")</f>
        <v>0</v>
      </c>
      <c r="I74" s="772" t="str">
        <f>IF([7]Vagt!I18&lt;&gt;"",[7]Vagt!I18,"")</f>
        <v>Org. Nr.</v>
      </c>
      <c r="J74" s="772" t="str">
        <f>IF([7]Vagt!J18&lt;&gt;"",[7]Vagt!J18,"")</f>
        <v>Bygningsnr.</v>
      </c>
      <c r="K74" s="772" t="str">
        <f>IF([7]Vagt!K18&lt;&gt;"",[7]Vagt!K18,"")</f>
        <v>V og I dato</v>
      </c>
      <c r="L74" s="783" t="str">
        <f>IF([7]Vagt!L18&lt;&gt;"",[7]Vagt!L18,"")</f>
        <v>Adresse</v>
      </c>
      <c r="M74" s="785"/>
      <c r="N74" s="772" t="str">
        <f>IF([7]Vagt!N18&lt;&gt;"",[7]Vagt!N18,"")</f>
        <v xml:space="preserve">Årlig pris  </v>
      </c>
      <c r="O74" s="297"/>
      <c r="P74" s="244"/>
      <c r="Q74" s="227"/>
    </row>
    <row r="75" spans="1:17">
      <c r="A75" s="772" t="str">
        <f>IF([7]Vagt!A19&lt;&gt;"",[7]Vagt!A19,"")</f>
        <v>64715</v>
      </c>
      <c r="B75" s="772">
        <f>IF([7]Vagt!B19&lt;&gt;"",[7]Vagt!B19,"")</f>
        <v>112</v>
      </c>
      <c r="C75" s="781">
        <f>IF([7]Vagt!C19&lt;&gt;"",[7]Vagt!C19,"")</f>
        <v>37956</v>
      </c>
      <c r="D75" s="783" t="str">
        <f>IF([7]Vagt!D19&lt;&gt;"",[7]Vagt!D19,"")</f>
        <v>Røde Mellemvej 52 (Søren Rasmussen)</v>
      </c>
      <c r="E75" s="785"/>
      <c r="F75" s="795">
        <f>IF([7]Vagt!F19&lt;&gt;"",[7]Vagt!F19,"")</f>
        <v>126659</v>
      </c>
      <c r="G75" s="773">
        <f>IF([7]Vagt!G19&lt;&gt;"",[7]Vagt!G19,"")</f>
        <v>797736</v>
      </c>
      <c r="H75" s="773">
        <f>IF([7]Vagt!H19&lt;&gt;"",[7]Vagt!H19,"")</f>
        <v>0</v>
      </c>
      <c r="I75" s="772" t="str">
        <f>IF([7]Vagt!I19&lt;&gt;"",[7]Vagt!I19,"")</f>
        <v>Fortsat</v>
      </c>
      <c r="J75" s="772">
        <f>IF([7]Vagt!J19&lt;&gt;"",[7]Vagt!J19,"")</f>
        <v>0</v>
      </c>
      <c r="K75" s="772">
        <f>IF([7]Vagt!K19&lt;&gt;"",[7]Vagt!K19,"")</f>
        <v>0</v>
      </c>
      <c r="L75" s="783">
        <f>IF([7]Vagt!L19&lt;&gt;"",[7]Vagt!L19,"")</f>
        <v>0</v>
      </c>
      <c r="M75" s="785"/>
      <c r="N75" s="795">
        <f>IF([7]Vagt!N19&lt;&gt;"",[7]Vagt!N19,"")</f>
        <v>2036309</v>
      </c>
      <c r="O75" s="501"/>
      <c r="P75" s="244"/>
      <c r="Q75" s="227"/>
    </row>
    <row r="76" spans="1:17">
      <c r="A76" s="772" t="str">
        <f>IF([7]Vagt!A20&lt;&gt;"",[7]Vagt!A20,"")</f>
        <v>37567</v>
      </c>
      <c r="B76" s="772">
        <f>IF([7]Vagt!B20&lt;&gt;"",[7]Vagt!B20,"")</f>
        <v>113</v>
      </c>
      <c r="C76" s="781">
        <f>IF([7]Vagt!C20&lt;&gt;"",[7]Vagt!C20,"")</f>
        <v>38012</v>
      </c>
      <c r="D76" s="783" t="str">
        <f>IF([7]Vagt!D20&lt;&gt;"",[7]Vagt!D20,"")</f>
        <v>Studsgårdsgade 55</v>
      </c>
      <c r="E76" s="785"/>
      <c r="F76" s="795">
        <f>IF([7]Vagt!F20&lt;&gt;"",[7]Vagt!F20,"")</f>
        <v>148969</v>
      </c>
      <c r="G76" s="773">
        <f>IF([7]Vagt!G20&lt;&gt;"",[7]Vagt!G20,"")</f>
        <v>797737</v>
      </c>
      <c r="H76" s="773">
        <f>IF([7]Vagt!H20&lt;&gt;"",[7]Vagt!H20,"")</f>
        <v>0</v>
      </c>
      <c r="I76" s="772">
        <f>IF([7]Vagt!I20&lt;&gt;"",[7]Vagt!I20,"")</f>
        <v>82100</v>
      </c>
      <c r="J76" s="772">
        <f>IF([7]Vagt!J20&lt;&gt;"",[7]Vagt!J20,"")</f>
        <v>160</v>
      </c>
      <c r="K76" s="772">
        <f>IF([7]Vagt!K20&lt;&gt;"",[7]Vagt!K20,"")</f>
        <v>42461</v>
      </c>
      <c r="L76" s="783" t="str">
        <f>IF([7]Vagt!L20&lt;&gt;"",[7]Vagt!L20,"")</f>
        <v>Lærkevej 18(Ørnevej 55)                                     2017=39.690</v>
      </c>
      <c r="M76" s="785"/>
      <c r="N76" s="795">
        <f>IF([7]Vagt!N20&lt;&gt;"",[7]Vagt!N20,"")</f>
        <v>29767</v>
      </c>
      <c r="O76" s="297"/>
      <c r="P76" s="244"/>
      <c r="Q76" s="227"/>
    </row>
    <row r="77" spans="1:17">
      <c r="A77" s="772">
        <f>IF([7]Vagt!A21&lt;&gt;"",[7]Vagt!A21,"")</f>
        <v>23140</v>
      </c>
      <c r="B77" s="772">
        <f>IF([7]Vagt!B21&lt;&gt;"",[7]Vagt!B21,"")</f>
        <v>116</v>
      </c>
      <c r="C77" s="781">
        <f>IF([7]Vagt!C21&lt;&gt;"",[7]Vagt!C21,"")</f>
        <v>38412</v>
      </c>
      <c r="D77" s="783" t="str">
        <f>IF([7]Vagt!D21&lt;&gt;"",[7]Vagt!D21,"")</f>
        <v>Amagerbrogade 150</v>
      </c>
      <c r="E77" s="785"/>
      <c r="F77" s="795">
        <f>IF([7]Vagt!F21&lt;&gt;"",[7]Vagt!F21,"")</f>
        <v>65791</v>
      </c>
      <c r="G77" s="773">
        <f>IF([7]Vagt!G21&lt;&gt;"",[7]Vagt!G21,"")</f>
        <v>797738</v>
      </c>
      <c r="H77" s="773">
        <f>IF([7]Vagt!H21&lt;&gt;"",[7]Vagt!H21,"")</f>
        <v>0</v>
      </c>
      <c r="I77" s="772">
        <f>IF([7]Vagt!I21&lt;&gt;"",[7]Vagt!I21,"")</f>
        <v>62300</v>
      </c>
      <c r="J77" s="772">
        <f>IF([7]Vagt!J21&lt;&gt;"",[7]Vagt!J21,"")</f>
        <v>150</v>
      </c>
      <c r="K77" s="772">
        <f>IF([7]Vagt!K21&lt;&gt;"",[7]Vagt!K21,"")</f>
        <v>38047</v>
      </c>
      <c r="L77" s="783" t="str">
        <f>IF([7]Vagt!L21&lt;&gt;"",[7]Vagt!L21,"")</f>
        <v xml:space="preserve">Brønshøjvej 17 - 19, SOF, BFCK-Brønshøj-Husum-Vanløse               </v>
      </c>
      <c r="M77" s="785"/>
      <c r="N77" s="795">
        <f>IF([7]Vagt!N21&lt;&gt;"",[7]Vagt!N21,"")</f>
        <v>67423</v>
      </c>
      <c r="O77" s="297"/>
      <c r="P77" s="244"/>
      <c r="Q77" s="227"/>
    </row>
    <row r="78" spans="1:17">
      <c r="A78" s="772">
        <f>IF([7]Vagt!A22&lt;&gt;"",[7]Vagt!A22,"")</f>
        <v>17190</v>
      </c>
      <c r="B78" s="772">
        <f>IF([7]Vagt!B22&lt;&gt;"",[7]Vagt!B22,"")</f>
        <v>119</v>
      </c>
      <c r="C78" s="781">
        <f>IF([7]Vagt!C22&lt;&gt;"",[7]Vagt!C22,"")</f>
        <v>41395</v>
      </c>
      <c r="D78" s="783" t="str">
        <f>IF([7]Vagt!D22&lt;&gt;"",[7]Vagt!D22,"")</f>
        <v>Hvide Kødby(rundering) (Lene Bordoy)</v>
      </c>
      <c r="E78" s="785"/>
      <c r="F78" s="795">
        <f>IF([7]Vagt!F22&lt;&gt;"",[7]Vagt!F22,"")</f>
        <v>157719</v>
      </c>
      <c r="G78" s="773">
        <f>IF([7]Vagt!G22&lt;&gt;"",[7]Vagt!G22,"")</f>
        <v>812192</v>
      </c>
      <c r="H78" s="773">
        <f>IF([7]Vagt!H22&lt;&gt;"",[7]Vagt!H22,"")</f>
        <v>0</v>
      </c>
      <c r="I78" s="772">
        <f>IF([7]Vagt!I22&lt;&gt;"",[7]Vagt!I22,"")</f>
        <v>53202</v>
      </c>
      <c r="J78" s="772">
        <f>IF([7]Vagt!J22&lt;&gt;"",[7]Vagt!J22,"")</f>
        <v>115</v>
      </c>
      <c r="K78" s="772">
        <f>IF([7]Vagt!K22&lt;&gt;"",[7]Vagt!K22,"")</f>
        <v>42370</v>
      </c>
      <c r="L78" s="783" t="str">
        <f>IF([7]Vagt!L22&lt;&gt;"",[7]Vagt!L22,"")</f>
        <v>Christianhavns bibliotek</v>
      </c>
      <c r="M78" s="785"/>
      <c r="N78" s="795">
        <f>IF([7]Vagt!N22&lt;&gt;"",[7]Vagt!N22,"")</f>
        <v>57487</v>
      </c>
      <c r="O78" s="297"/>
      <c r="P78" s="244"/>
      <c r="Q78" s="227"/>
    </row>
    <row r="79" spans="1:17">
      <c r="A79" s="772">
        <f>IF([7]Vagt!A23&lt;&gt;"",[7]Vagt!A23,"")</f>
        <v>62300</v>
      </c>
      <c r="B79" s="772">
        <f>IF([7]Vagt!B23&lt;&gt;"",[7]Vagt!B23,"")</f>
        <v>121</v>
      </c>
      <c r="C79" s="781">
        <f>IF([7]Vagt!C23&lt;&gt;"",[7]Vagt!C23,"")</f>
        <v>39264</v>
      </c>
      <c r="D79" s="783" t="str">
        <f>IF([7]Vagt!D23&lt;&gt;"",[7]Vagt!D23,"")</f>
        <v>Griffenfeldsgade 44</v>
      </c>
      <c r="E79" s="785"/>
      <c r="F79" s="795">
        <f>IF([7]Vagt!F23&lt;&gt;"",[7]Vagt!F23,"")</f>
        <v>107086</v>
      </c>
      <c r="G79" s="773">
        <f>IF([7]Vagt!G23&lt;&gt;"",[7]Vagt!G23,"")</f>
        <v>797739</v>
      </c>
      <c r="H79" s="773">
        <f>IF([7]Vagt!H23&lt;&gt;"",[7]Vagt!H23,"")</f>
        <v>0</v>
      </c>
      <c r="I79" s="772">
        <f>IF([7]Vagt!I23&lt;&gt;"",[7]Vagt!I23,"")</f>
        <v>38910</v>
      </c>
      <c r="J79" s="772" t="str">
        <f>IF([7]Vagt!J23&lt;&gt;"",[7]Vagt!J23,"")</f>
        <v>747b</v>
      </c>
      <c r="K79" s="772">
        <f>IF([7]Vagt!K23&lt;&gt;"",[7]Vagt!K23,"")</f>
        <v>38047</v>
      </c>
      <c r="L79" s="783" t="str">
        <f>IF([7]Vagt!L23&lt;&gt;"",[7]Vagt!L23,"")</f>
        <v xml:space="preserve">Brønshøjvej 17 - 19, Tandlæge  </v>
      </c>
      <c r="M79" s="785"/>
      <c r="N79" s="795">
        <f>IF([7]Vagt!N23&lt;&gt;"",[7]Vagt!N23,"")</f>
        <v>21345</v>
      </c>
      <c r="O79" s="297"/>
      <c r="P79" s="244"/>
      <c r="Q79" s="227"/>
    </row>
    <row r="80" spans="1:17">
      <c r="A80" s="772">
        <f>IF([7]Vagt!A24&lt;&gt;"",[7]Vagt!A24,"")</f>
        <v>38450</v>
      </c>
      <c r="B80" s="772">
        <f>IF([7]Vagt!B24&lt;&gt;"",[7]Vagt!B24,"")</f>
        <v>122</v>
      </c>
      <c r="C80" s="781">
        <f>IF([7]Vagt!C24&lt;&gt;"",[7]Vagt!C24,"")</f>
        <v>39264</v>
      </c>
      <c r="D80" s="783" t="str">
        <f>IF([7]Vagt!D24&lt;&gt;"",[7]Vagt!D24,"")</f>
        <v>Kapelvej 47</v>
      </c>
      <c r="E80" s="785"/>
      <c r="F80" s="795">
        <f>IF([7]Vagt!F24&lt;&gt;"",[7]Vagt!F24,"")</f>
        <v>20179</v>
      </c>
      <c r="G80" s="773">
        <f>IF([7]Vagt!G24&lt;&gt;"",[7]Vagt!G24,"")</f>
        <v>797740</v>
      </c>
      <c r="H80" s="773">
        <f>IF([7]Vagt!H24&lt;&gt;"",[7]Vagt!H24,"")</f>
        <v>0</v>
      </c>
      <c r="I80" s="772">
        <f>IF([7]Vagt!I24&lt;&gt;"",[7]Vagt!I24,"")</f>
        <v>50005</v>
      </c>
      <c r="J80" s="772">
        <f>IF([7]Vagt!J24&lt;&gt;"",[7]Vagt!J24,"")</f>
        <v>147</v>
      </c>
      <c r="K80" s="772">
        <f>IF([7]Vagt!K24&lt;&gt;"",[7]Vagt!K24,"")</f>
        <v>40664</v>
      </c>
      <c r="L80" s="783" t="str">
        <f>IF([7]Vagt!L24&lt;&gt;"",[7]Vagt!L24,"")</f>
        <v xml:space="preserve">ØK-KBS- Nørre Søgade 35                                         </v>
      </c>
      <c r="M80" s="785"/>
      <c r="N80" s="795">
        <f>IF([7]Vagt!N24&lt;&gt;"",[7]Vagt!N24,"")</f>
        <v>77025</v>
      </c>
      <c r="O80" s="297"/>
      <c r="P80" s="244"/>
      <c r="Q80" s="227"/>
    </row>
    <row r="81" spans="1:17">
      <c r="A81" s="772">
        <f>IF([7]Vagt!A25&lt;&gt;"",[7]Vagt!A25,"")</f>
        <v>60126</v>
      </c>
      <c r="B81" s="772">
        <f>IF([7]Vagt!B25&lt;&gt;"",[7]Vagt!B25,"")</f>
        <v>128</v>
      </c>
      <c r="C81" s="781">
        <f>IF([7]Vagt!C25&lt;&gt;"",[7]Vagt!C25,"")</f>
        <v>39815</v>
      </c>
      <c r="D81" s="783" t="str">
        <f>IF([7]Vagt!D25&lt;&gt;"",[7]Vagt!D25,"")</f>
        <v>Bernstorffshus  (Ruth Denise Hansen)</v>
      </c>
      <c r="E81" s="785"/>
      <c r="F81" s="795">
        <f>IF([7]Vagt!F25&lt;&gt;"",[7]Vagt!F25,"")</f>
        <v>191253</v>
      </c>
      <c r="G81" s="773">
        <f>IF([7]Vagt!G25&lt;&gt;"",[7]Vagt!G25,"")</f>
        <v>797741</v>
      </c>
      <c r="H81" s="773" t="str">
        <f>IF([7]Vagt!H25&lt;&gt;"",[7]Vagt!H25,"")</f>
        <v>Fordeling</v>
      </c>
      <c r="I81" s="772">
        <f>IF([7]Vagt!I25&lt;&gt;"",[7]Vagt!I25,"")</f>
        <v>38100</v>
      </c>
      <c r="J81" s="772">
        <f>IF([7]Vagt!J25&lt;&gt;"",[7]Vagt!J25,"")</f>
        <v>155</v>
      </c>
      <c r="K81" s="772">
        <f>IF([7]Vagt!K25&lt;&gt;"",[7]Vagt!K25,"")</f>
        <v>42370</v>
      </c>
      <c r="L81" s="783" t="str">
        <f>IF([7]Vagt!L25&lt;&gt;"",[7]Vagt!L25,"")</f>
        <v>Lyongade 25, stuen og 2. sal (BUF)</v>
      </c>
      <c r="M81" s="785"/>
      <c r="N81" s="795">
        <f>IF([7]Vagt!N25&lt;&gt;"",[7]Vagt!N25,"")</f>
        <v>59243</v>
      </c>
      <c r="O81" s="297"/>
      <c r="P81" s="244"/>
      <c r="Q81" s="227"/>
    </row>
    <row r="82" spans="1:17">
      <c r="A82" s="772">
        <f>IF([7]Vagt!A26&lt;&gt;"",[7]Vagt!A26,"")</f>
        <v>64715</v>
      </c>
      <c r="B82" s="772">
        <f>IF([7]Vagt!B26&lt;&gt;"",[7]Vagt!B26,"")</f>
        <v>161</v>
      </c>
      <c r="C82" s="781">
        <f>IF([7]Vagt!C26&lt;&gt;"",[7]Vagt!C26,"")</f>
        <v>42485</v>
      </c>
      <c r="D82" s="783" t="str">
        <f>IF([7]Vagt!D26&lt;&gt;"",[7]Vagt!D26,"")</f>
        <v>SOF- Sundholmsvej 40(2017 172.462+fremskriv)</v>
      </c>
      <c r="E82" s="785"/>
      <c r="F82" s="795">
        <f>IF([7]Vagt!F26&lt;&gt;"",[7]Vagt!F26,"")</f>
        <v>117807</v>
      </c>
      <c r="G82" s="773">
        <f>IF([7]Vagt!G26&lt;&gt;"",[7]Vagt!G26,"")</f>
        <v>833103</v>
      </c>
      <c r="H82" s="801" t="str">
        <f>IF([7]Vagt!H26&lt;&gt;"",[7]Vagt!H26,"")</f>
        <v>43,37 %</v>
      </c>
      <c r="I82" s="802">
        <f>IF([7]Vagt!I26&lt;&gt;"",[7]Vagt!I26,"")</f>
        <v>31404</v>
      </c>
      <c r="J82" s="802">
        <f>IF([7]Vagt!J26&lt;&gt;"",[7]Vagt!J26,"")</f>
        <v>758</v>
      </c>
      <c r="K82" s="802">
        <f>IF([7]Vagt!K26&lt;&gt;"",[7]Vagt!K26,"")</f>
        <v>37500</v>
      </c>
      <c r="L82" s="804" t="str">
        <f>IF([7]Vagt!L26&lt;&gt;"",[7]Vagt!L26,"")</f>
        <v xml:space="preserve">Jemtelandgade 3 KKU                                                </v>
      </c>
      <c r="M82" s="805"/>
      <c r="N82" s="807">
        <f>IF([7]Vagt!N26&lt;&gt;"",[7]Vagt!N26,"")</f>
        <v>48768</v>
      </c>
      <c r="O82" s="803"/>
      <c r="P82" s="244"/>
      <c r="Q82" s="227"/>
    </row>
    <row r="83" spans="1:17">
      <c r="A83" s="772">
        <f>IF([7]Vagt!A27&lt;&gt;"",[7]Vagt!A27,"")</f>
        <v>69707</v>
      </c>
      <c r="B83" s="772">
        <f>IF([7]Vagt!B27&lt;&gt;"",[7]Vagt!B27,"")</f>
        <v>130</v>
      </c>
      <c r="C83" s="781">
        <f>IF([7]Vagt!C27&lt;&gt;"",[7]Vagt!C27,"")</f>
        <v>39918</v>
      </c>
      <c r="D83" s="783" t="str">
        <f>IF([7]Vagt!D27&lt;&gt;"",[7]Vagt!D27,"")</f>
        <v>Rådhuspladsen 77, 1+2. sal (Carsten Pauli Hansen)</v>
      </c>
      <c r="E83" s="785"/>
      <c r="F83" s="795">
        <f>IF([7]Vagt!F27&lt;&gt;"",[7]Vagt!F27,"")</f>
        <v>31872</v>
      </c>
      <c r="G83" s="773">
        <f>IF([7]Vagt!G27&lt;&gt;"",[7]Vagt!G27,"")</f>
        <v>797742</v>
      </c>
      <c r="H83" s="801" t="str">
        <f>IF([7]Vagt!H27&lt;&gt;"",[7]Vagt!H27,"")</f>
        <v>18,16%</v>
      </c>
      <c r="I83" s="802">
        <f>IF([7]Vagt!I27&lt;&gt;"",[7]Vagt!I27,"")</f>
        <v>51302</v>
      </c>
      <c r="J83" s="802">
        <f>IF([7]Vagt!J27&lt;&gt;"",[7]Vagt!J27,"")</f>
        <v>114</v>
      </c>
      <c r="K83" s="802">
        <f>IF([7]Vagt!K27&lt;&gt;"",[7]Vagt!K27,"")</f>
        <v>40544</v>
      </c>
      <c r="L83" s="804" t="str">
        <f>IF([7]Vagt!L27&lt;&gt;"",[7]Vagt!L27,"")</f>
        <v xml:space="preserve">Jemtelandgade 3 Kvarterløft                                        </v>
      </c>
      <c r="M83" s="805"/>
      <c r="N83" s="807">
        <f>IF([7]Vagt!N27&lt;&gt;"",[7]Vagt!N27,"")</f>
        <v>20417</v>
      </c>
      <c r="O83" s="803"/>
      <c r="P83" s="244"/>
      <c r="Q83" s="227"/>
    </row>
    <row r="84" spans="1:17">
      <c r="A84" s="772">
        <f>IF([7]Vagt!A28&lt;&gt;"",[7]Vagt!A28,"")</f>
        <v>53106</v>
      </c>
      <c r="B84" s="772">
        <f>IF([7]Vagt!B28&lt;&gt;"",[7]Vagt!B28,"")</f>
        <v>123</v>
      </c>
      <c r="C84" s="781" t="str">
        <f>IF([7]Vagt!C28&lt;&gt;"",[7]Vagt!C28,"")</f>
        <v>01-02.2015</v>
      </c>
      <c r="D84" s="783" t="str">
        <f>IF([7]Vagt!D28&lt;&gt;"",[7]Vagt!D28,"")</f>
        <v>Bibliotek Blågårds Plads 5(opsagt af os)</v>
      </c>
      <c r="E84" s="785"/>
      <c r="F84" s="795">
        <f>IF([7]Vagt!F28&lt;&gt;"",[7]Vagt!F28,"")</f>
        <v>0</v>
      </c>
      <c r="G84" s="773">
        <f>IF([7]Vagt!G28&lt;&gt;"",[7]Vagt!G28,"")</f>
        <v>0</v>
      </c>
      <c r="H84" s="801" t="str">
        <f>IF([7]Vagt!H28&lt;&gt;"",[7]Vagt!H28,"")</f>
        <v>38,47 %</v>
      </c>
      <c r="I84" s="802">
        <f>IF([7]Vagt!I28&lt;&gt;"",[7]Vagt!I28,"")</f>
        <v>53204</v>
      </c>
      <c r="J84" s="802">
        <f>IF([7]Vagt!J28&lt;&gt;"",[7]Vagt!J28,"")</f>
        <v>114</v>
      </c>
      <c r="K84" s="802">
        <f>IF([7]Vagt!K28&lt;&gt;"",[7]Vagt!K28,"")</f>
        <v>40544</v>
      </c>
      <c r="L84" s="804" t="str">
        <f>IF([7]Vagt!L28&lt;&gt;"",[7]Vagt!L28,"")</f>
        <v xml:space="preserve">Jemtelandgade 3 bibliotek                                           </v>
      </c>
      <c r="M84" s="805"/>
      <c r="N84" s="807">
        <f>IF([7]Vagt!N28&lt;&gt;"",[7]Vagt!N28,"")</f>
        <v>43405</v>
      </c>
      <c r="O84" s="803"/>
      <c r="P84" s="244"/>
      <c r="Q84" s="227"/>
    </row>
    <row r="85" spans="1:17">
      <c r="A85" s="772">
        <f>IF([7]Vagt!A29&lt;&gt;"",[7]Vagt!A29,"")</f>
        <v>17116</v>
      </c>
      <c r="B85" s="772">
        <f>IF([7]Vagt!B29&lt;&gt;"",[7]Vagt!B29,"")</f>
        <v>132</v>
      </c>
      <c r="C85" s="781">
        <f>IF([7]Vagt!C29&lt;&gt;"",[7]Vagt!C29,"")</f>
        <v>40057</v>
      </c>
      <c r="D85" s="783" t="str">
        <f>IF([7]Vagt!D29&lt;&gt;"",[7]Vagt!D29,"")</f>
        <v>Hans Nansens Gård (Kejd)(FM)</v>
      </c>
      <c r="E85" s="785"/>
      <c r="F85" s="795">
        <f>IF([7]Vagt!F29&lt;&gt;"",[7]Vagt!F29,"")</f>
        <v>194810</v>
      </c>
      <c r="G85" s="773">
        <f>IF([7]Vagt!G29&lt;&gt;"",[7]Vagt!G29,"")</f>
        <v>797743</v>
      </c>
      <c r="H85" s="773">
        <f>IF([7]Vagt!H29&lt;&gt;"",[7]Vagt!H29,"")</f>
        <v>0</v>
      </c>
      <c r="I85" s="772">
        <f>IF([7]Vagt!I29&lt;&gt;"",[7]Vagt!I29,"")</f>
        <v>62200</v>
      </c>
      <c r="J85" s="772">
        <f>IF([7]Vagt!J29&lt;&gt;"",[7]Vagt!J29,"")</f>
        <v>149</v>
      </c>
      <c r="K85" s="772">
        <f>IF([7]Vagt!K29&lt;&gt;"",[7]Vagt!K29,"")</f>
        <v>40544</v>
      </c>
      <c r="L85" s="783" t="str">
        <f>IF([7]Vagt!L29&lt;&gt;"",[7]Vagt!L29,"")</f>
        <v xml:space="preserve">Spaniensgade 25, Borgercenter handicap                           </v>
      </c>
      <c r="M85" s="785"/>
      <c r="N85" s="795">
        <f>IF([7]Vagt!N29&lt;&gt;"",[7]Vagt!N29,"")</f>
        <v>53541</v>
      </c>
      <c r="O85" s="703"/>
      <c r="P85" s="244"/>
      <c r="Q85" s="227"/>
    </row>
    <row r="86" spans="1:17">
      <c r="A86" s="772">
        <f>IF([7]Vagt!A30&lt;&gt;"",[7]Vagt!A30,"")</f>
        <v>0</v>
      </c>
      <c r="B86" s="772">
        <f>IF([7]Vagt!B30&lt;&gt;"",[7]Vagt!B30,"")</f>
        <v>0</v>
      </c>
      <c r="C86" s="781">
        <f>IF([7]Vagt!C30&lt;&gt;"",[7]Vagt!C30,"")</f>
        <v>39448</v>
      </c>
      <c r="D86" s="783" t="str">
        <f>IF([7]Vagt!D30&lt;&gt;"",[7]Vagt!D30,"")</f>
        <v xml:space="preserve">Stormgade 18 (BUF)(fraflyttet 1-3-15-) </v>
      </c>
      <c r="E86" s="785"/>
      <c r="F86" s="795">
        <f>IF([7]Vagt!F30&lt;&gt;"",[7]Vagt!F30,"")</f>
        <v>0</v>
      </c>
      <c r="G86" s="773">
        <f>IF([7]Vagt!G30&lt;&gt;"",[7]Vagt!G30,"")</f>
        <v>0</v>
      </c>
      <c r="H86" s="773">
        <f>IF([7]Vagt!H30&lt;&gt;"",[7]Vagt!H30,"")</f>
        <v>0</v>
      </c>
      <c r="I86" s="772">
        <f>IF([7]Vagt!I30&lt;&gt;"",[7]Vagt!I30,"")</f>
        <v>62300</v>
      </c>
      <c r="J86" s="772">
        <f>IF([7]Vagt!J30&lt;&gt;"",[7]Vagt!J30,"")</f>
        <v>148</v>
      </c>
      <c r="K86" s="772">
        <f>IF([7]Vagt!K30&lt;&gt;"",[7]Vagt!K30,"")</f>
        <v>42005</v>
      </c>
      <c r="L86" s="783" t="str">
        <f>IF([7]Vagt!L30&lt;&gt;"",[7]Vagt!L30,"")</f>
        <v xml:space="preserve">Lyongade 25, 3. sal BFCK-Amager vest                              </v>
      </c>
      <c r="M86" s="785"/>
      <c r="N86" s="795">
        <f>IF([7]Vagt!N30&lt;&gt;"",[7]Vagt!N30,"")</f>
        <v>59243</v>
      </c>
      <c r="O86" s="703"/>
      <c r="P86" s="244"/>
      <c r="Q86" s="227"/>
    </row>
    <row r="87" spans="1:17">
      <c r="A87" s="772">
        <f>IF([7]Vagt!A31&lt;&gt;"",[7]Vagt!A31,"")</f>
        <v>22530</v>
      </c>
      <c r="B87" s="772">
        <f>IF([7]Vagt!B31&lt;&gt;"",[7]Vagt!B31,"")</f>
        <v>159</v>
      </c>
      <c r="C87" s="781">
        <f>IF([7]Vagt!C31&lt;&gt;"",[7]Vagt!C31,"")</f>
        <v>42415</v>
      </c>
      <c r="D87" s="783" t="str">
        <f>IF([7]Vagt!D31&lt;&gt;"",[7]Vagt!D31,"")</f>
        <v>SUF Randersgade 60</v>
      </c>
      <c r="E87" s="785"/>
      <c r="F87" s="795">
        <f>IF([7]Vagt!F31&lt;&gt;"",[7]Vagt!F31,"")</f>
        <v>50642</v>
      </c>
      <c r="G87" s="773" t="str">
        <f>IF([7]Vagt!G31&lt;&gt;"",[7]Vagt!G31,"")</f>
        <v>2017= 57875</v>
      </c>
      <c r="H87" s="773">
        <f>IF([7]Vagt!H31&lt;&gt;"",[7]Vagt!H31,"")</f>
        <v>0</v>
      </c>
      <c r="I87" s="772">
        <f>IF([7]Vagt!I31&lt;&gt;"",[7]Vagt!I31,"")</f>
        <v>40530</v>
      </c>
      <c r="J87" s="772">
        <f>IF([7]Vagt!J31&lt;&gt;"",[7]Vagt!J31,"")</f>
        <v>900</v>
      </c>
      <c r="K87" s="772">
        <f>IF([7]Vagt!K31&lt;&gt;"",[7]Vagt!K31,"")</f>
        <v>38353</v>
      </c>
      <c r="L87" s="783" t="str">
        <f>IF([7]Vagt!L31&lt;&gt;"",[7]Vagt!L31,"")</f>
        <v xml:space="preserve">Miljøkontrollen (tlf. eksp.)                                            </v>
      </c>
      <c r="M87" s="785"/>
      <c r="N87" s="795">
        <f>IF([7]Vagt!N31&lt;&gt;"",[7]Vagt!N31,"")</f>
        <v>4500</v>
      </c>
      <c r="O87" s="798"/>
      <c r="P87" s="244"/>
      <c r="Q87" s="227"/>
    </row>
    <row r="88" spans="1:17">
      <c r="A88" s="772">
        <f>IF([7]Vagt!A32&lt;&gt;"",[7]Vagt!A32,"")</f>
        <v>62200</v>
      </c>
      <c r="B88" s="772">
        <f>IF([7]Vagt!B32&lt;&gt;"",[7]Vagt!B32,"")</f>
        <v>127</v>
      </c>
      <c r="C88" s="781">
        <f>IF([7]Vagt!C32&lt;&gt;"",[7]Vagt!C32,"")</f>
        <v>41275</v>
      </c>
      <c r="D88" s="783" t="str">
        <f>IF([7]Vagt!D32&lt;&gt;"",[7]Vagt!D32,"")</f>
        <v>Matthæusgade 1</v>
      </c>
      <c r="E88" s="785"/>
      <c r="F88" s="795">
        <f>IF([7]Vagt!F32&lt;&gt;"",[7]Vagt!F32,"")</f>
        <v>90586</v>
      </c>
      <c r="G88" s="773">
        <f>IF([7]Vagt!G32&lt;&gt;"",[7]Vagt!G32,"")</f>
        <v>797744</v>
      </c>
      <c r="H88" s="773">
        <f>IF([7]Vagt!H32&lt;&gt;"",[7]Vagt!H32,"")</f>
        <v>0</v>
      </c>
      <c r="I88" s="772">
        <f>IF([7]Vagt!I32&lt;&gt;"",[7]Vagt!I32,"")</f>
        <v>38400</v>
      </c>
      <c r="J88" s="772">
        <f>IF([7]Vagt!J32&lt;&gt;"",[7]Vagt!J32,"")</f>
        <v>138</v>
      </c>
      <c r="K88" s="772">
        <f>IF([7]Vagt!K32&lt;&gt;"",[7]Vagt!K32,"")</f>
        <v>41640</v>
      </c>
      <c r="L88" s="783" t="str">
        <f>IF([7]Vagt!L32&lt;&gt;"",[7]Vagt!L32,"")</f>
        <v xml:space="preserve">BUF-Linde Alle 40-44                                                  </v>
      </c>
      <c r="M88" s="785"/>
      <c r="N88" s="795">
        <f>IF([7]Vagt!N32&lt;&gt;"",[7]Vagt!N32,"")</f>
        <v>41740</v>
      </c>
      <c r="O88" s="798"/>
      <c r="P88" s="244"/>
      <c r="Q88" s="227"/>
    </row>
    <row r="89" spans="1:17">
      <c r="A89" s="772">
        <f>IF([7]Vagt!A33&lt;&gt;"",[7]Vagt!A33,"")</f>
        <v>39610</v>
      </c>
      <c r="B89" s="772">
        <f>IF([7]Vagt!B33&lt;&gt;"",[7]Vagt!B33,"")</f>
        <v>153</v>
      </c>
      <c r="C89" s="781">
        <f>IF([7]Vagt!C33&lt;&gt;"",[7]Vagt!C33,"")</f>
        <v>41275</v>
      </c>
      <c r="D89" s="783" t="str">
        <f>IF([7]Vagt!D33&lt;&gt;"",[7]Vagt!D33,"")</f>
        <v>BUF Skolesupport</v>
      </c>
      <c r="E89" s="785"/>
      <c r="F89" s="795">
        <f>IF([7]Vagt!F33&lt;&gt;"",[7]Vagt!F33,"")</f>
        <v>168081</v>
      </c>
      <c r="G89" s="773">
        <f>IF([7]Vagt!G33&lt;&gt;"",[7]Vagt!G33,"")</f>
        <v>797745</v>
      </c>
      <c r="H89" s="773">
        <f>IF([7]Vagt!H33&lt;&gt;"",[7]Vagt!H33,"")</f>
        <v>0</v>
      </c>
      <c r="I89" s="772">
        <f>IF([7]Vagt!I33&lt;&gt;"",[7]Vagt!I33,"")</f>
        <v>51308</v>
      </c>
      <c r="J89" s="772">
        <f>IF([7]Vagt!J33&lt;&gt;"",[7]Vagt!J33,"")</f>
        <v>158</v>
      </c>
      <c r="K89" s="772">
        <f>IF([7]Vagt!K33&lt;&gt;"",[7]Vagt!K33,"")</f>
        <v>41640</v>
      </c>
      <c r="L89" s="783" t="str">
        <f>IF([7]Vagt!L33&lt;&gt;"",[7]Vagt!L33,"")</f>
        <v xml:space="preserve">Lyrskovgade 4                           </v>
      </c>
      <c r="M89" s="785"/>
      <c r="N89" s="795">
        <f>IF([7]Vagt!N33&lt;&gt;"",[7]Vagt!N33,"")</f>
        <v>87671</v>
      </c>
      <c r="O89" s="798"/>
      <c r="P89" s="244"/>
      <c r="Q89" s="227"/>
    </row>
    <row r="90" spans="1:17">
      <c r="A90" s="772">
        <f>IF([7]Vagt!A34&lt;&gt;"",[7]Vagt!A34,"")</f>
        <v>52319</v>
      </c>
      <c r="B90" s="772">
        <f>IF([7]Vagt!B34&lt;&gt;"",[7]Vagt!B34,"")</f>
        <v>154</v>
      </c>
      <c r="C90" s="781">
        <f>IF([7]Vagt!C34&lt;&gt;"",[7]Vagt!C34,"")</f>
        <v>41640</v>
      </c>
      <c r="D90" s="783" t="str">
        <f>IF([7]Vagt!D34&lt;&gt;"",[7]Vagt!D34,"")</f>
        <v>KFF Biblioteket Njalsgade (Rasmus M. Niel)</v>
      </c>
      <c r="E90" s="785"/>
      <c r="F90" s="795">
        <f>IF([7]Vagt!F34&lt;&gt;"",[7]Vagt!F34,"")</f>
        <v>40260</v>
      </c>
      <c r="G90" s="773">
        <f>IF([7]Vagt!G34&lt;&gt;"",[7]Vagt!G34,"")</f>
        <v>797746</v>
      </c>
      <c r="H90" s="773">
        <f>IF([7]Vagt!H34&lt;&gt;"",[7]Vagt!H34,"")</f>
        <v>0</v>
      </c>
      <c r="I90" s="772">
        <f>IF([7]Vagt!I34&lt;&gt;"",[7]Vagt!I34,"")</f>
        <v>55020</v>
      </c>
      <c r="J90" s="772">
        <f>IF([7]Vagt!J34&lt;&gt;"",[7]Vagt!J34,"")</f>
        <v>115</v>
      </c>
      <c r="K90" s="772">
        <f>IF([7]Vagt!K34&lt;&gt;"",[7]Vagt!K34,"")</f>
        <v>41456</v>
      </c>
      <c r="L90" s="783" t="str">
        <f>IF([7]Vagt!L34&lt;&gt;"",[7]Vagt!L34,"")</f>
        <v xml:space="preserve">ØK-Borgerservice, Gyldenløvesgade 11                        </v>
      </c>
      <c r="M90" s="785"/>
      <c r="N90" s="795">
        <f>IF([7]Vagt!N34&lt;&gt;"",[7]Vagt!N34,"")</f>
        <v>30193</v>
      </c>
      <c r="O90" s="329"/>
      <c r="P90" s="244"/>
      <c r="Q90" s="227"/>
    </row>
    <row r="91" spans="1:17">
      <c r="A91" s="772">
        <f>IF([7]Vagt!A35&lt;&gt;"",[7]Vagt!A35,"")</f>
        <v>28100</v>
      </c>
      <c r="B91" s="772">
        <f>IF([7]Vagt!B35&lt;&gt;"",[7]Vagt!B35,"")</f>
        <v>728</v>
      </c>
      <c r="C91" s="781">
        <f>IF([7]Vagt!C35&lt;&gt;"",[7]Vagt!C35,"")</f>
        <v>38846</v>
      </c>
      <c r="D91" s="783" t="str">
        <f>IF([7]Vagt!D35&lt;&gt;"",[7]Vagt!D35,"")</f>
        <v>Enghavevej  (Frits Nielsen)</v>
      </c>
      <c r="E91" s="785"/>
      <c r="F91" s="795">
        <f>IF([7]Vagt!F35&lt;&gt;"",[7]Vagt!F35,"")</f>
        <v>78911</v>
      </c>
      <c r="G91" s="773">
        <f>IF([7]Vagt!G35&lt;&gt;"",[7]Vagt!G35,"")</f>
        <v>797747</v>
      </c>
      <c r="H91" s="773">
        <f>IF([7]Vagt!H35&lt;&gt;"",[7]Vagt!H35,"")</f>
        <v>0</v>
      </c>
      <c r="I91" s="772">
        <f>IF([7]Vagt!I35&lt;&gt;"",[7]Vagt!I35,"")</f>
        <v>17116</v>
      </c>
      <c r="J91" s="772">
        <f>IF([7]Vagt!J35&lt;&gt;"",[7]Vagt!J35,"")</f>
        <v>110</v>
      </c>
      <c r="K91" s="772">
        <f>IF([7]Vagt!K35&lt;&gt;"",[7]Vagt!K35,"")</f>
        <v>41456</v>
      </c>
      <c r="L91" s="783" t="str">
        <f>IF([7]Vagt!L35&lt;&gt;"",[7]Vagt!L35,"")</f>
        <v xml:space="preserve">Konernservice- Fuglebakken, Borups Alle 177               </v>
      </c>
      <c r="M91" s="785"/>
      <c r="N91" s="795">
        <f>IF([7]Vagt!N35&lt;&gt;"",[7]Vagt!N35,"")</f>
        <v>181173</v>
      </c>
      <c r="O91" s="329"/>
      <c r="P91" s="244"/>
      <c r="Q91" s="227"/>
    </row>
    <row r="92" spans="1:17">
      <c r="A92" s="772">
        <f>IF([7]Vagt!A36&lt;&gt;"",[7]Vagt!A36,"")</f>
        <v>82500</v>
      </c>
      <c r="B92" s="772">
        <f>IF([7]Vagt!B36&lt;&gt;"",[7]Vagt!B36,"")</f>
        <v>151</v>
      </c>
      <c r="C92" s="781">
        <f>IF([7]Vagt!C36&lt;&gt;"",[7]Vagt!C36,"")</f>
        <v>40603</v>
      </c>
      <c r="D92" s="783" t="str">
        <f>IF([7]Vagt!D36&lt;&gt;"",[7]Vagt!D36,"")</f>
        <v>BIF-Baldersgade 24  (Thomas D. Waarkjær)</v>
      </c>
      <c r="E92" s="785"/>
      <c r="F92" s="795">
        <f>IF([7]Vagt!F36&lt;&gt;"",[7]Vagt!F36,"")</f>
        <v>101486</v>
      </c>
      <c r="G92" s="773">
        <f>IF([7]Vagt!G36&lt;&gt;"",[7]Vagt!G36,"")</f>
        <v>797748</v>
      </c>
      <c r="H92" s="773">
        <f>IF([7]Vagt!H36&lt;&gt;"",[7]Vagt!H36,"")</f>
        <v>0</v>
      </c>
      <c r="I92" s="772">
        <f>IF([7]Vagt!I36&lt;&gt;"",[7]Vagt!I36,"")</f>
        <v>20100</v>
      </c>
      <c r="J92" s="806" t="str">
        <f>IF([7]Vagt!J36&lt;&gt;"",[7]Vagt!J36,"")</f>
        <v>Rådhuset</v>
      </c>
      <c r="K92" s="772">
        <f>IF([7]Vagt!K36&lt;&gt;"",[7]Vagt!K36,"")</f>
        <v>40179</v>
      </c>
      <c r="L92" s="783" t="str">
        <f>IF([7]Vagt!L36&lt;&gt;"",[7]Vagt!L36,"")</f>
        <v xml:space="preserve">SUF                  (Tanja K. Lund)                                  </v>
      </c>
      <c r="M92" s="785"/>
      <c r="N92" s="795">
        <f>IF([7]Vagt!N36&lt;&gt;"",[7]Vagt!N36,"")</f>
        <v>603446</v>
      </c>
      <c r="O92" s="329"/>
      <c r="P92" s="244"/>
      <c r="Q92" s="227"/>
    </row>
    <row r="93" spans="1:17">
      <c r="A93" s="772">
        <f>IF([7]Vagt!A37&lt;&gt;"",[7]Vagt!A37,"")</f>
        <v>82505</v>
      </c>
      <c r="B93" s="772">
        <f>IF([7]Vagt!B37&lt;&gt;"",[7]Vagt!B37,"")</f>
        <v>152</v>
      </c>
      <c r="C93" s="781">
        <f>IF([7]Vagt!C37&lt;&gt;"",[7]Vagt!C37,"")</f>
        <v>40603</v>
      </c>
      <c r="D93" s="783" t="str">
        <f>IF([7]Vagt!D37&lt;&gt;"",[7]Vagt!D37,"")</f>
        <v>BIF-Baldersgade 3B, 1. + 3. sal</v>
      </c>
      <c r="E93" s="785"/>
      <c r="F93" s="795">
        <f>IF([7]Vagt!F37&lt;&gt;"",[7]Vagt!F37,"")</f>
        <v>44559</v>
      </c>
      <c r="G93" s="773">
        <f>IF([7]Vagt!G37&lt;&gt;"",[7]Vagt!G37,"")</f>
        <v>797749</v>
      </c>
      <c r="H93" s="773">
        <f>IF([7]Vagt!H37&lt;&gt;"",[7]Vagt!H37,"")</f>
        <v>0</v>
      </c>
      <c r="I93" s="772">
        <f>IF([7]Vagt!I37&lt;&gt;"",[7]Vagt!I37,"")</f>
        <v>80005</v>
      </c>
      <c r="J93" s="806" t="str">
        <f>IF([7]Vagt!J37&lt;&gt;"",[7]Vagt!J37,"")</f>
        <v>Rådhuset</v>
      </c>
      <c r="K93" s="772">
        <f>IF([7]Vagt!K37&lt;&gt;"",[7]Vagt!K37,"")</f>
        <v>40179</v>
      </c>
      <c r="L93" s="783" t="str">
        <f>IF([7]Vagt!L37&lt;&gt;"",[7]Vagt!L37,"")</f>
        <v xml:space="preserve">BIF                                                                          </v>
      </c>
      <c r="M93" s="785"/>
      <c r="N93" s="795">
        <f>IF([7]Vagt!N37&lt;&gt;"",[7]Vagt!N37,"")</f>
        <v>540803</v>
      </c>
      <c r="O93" s="297"/>
      <c r="P93" s="244"/>
      <c r="Q93" s="227"/>
    </row>
    <row r="94" spans="1:17">
      <c r="A94" s="772">
        <f>IF([7]Vagt!A38&lt;&gt;"",[7]Vagt!A38,"")</f>
        <v>82106</v>
      </c>
      <c r="B94" s="772">
        <f>IF([7]Vagt!B38&lt;&gt;"",[7]Vagt!B38,"")</f>
        <v>0</v>
      </c>
      <c r="C94" s="781">
        <f>IF([7]Vagt!C38&lt;&gt;"",[7]Vagt!C38,"")</f>
        <v>42491</v>
      </c>
      <c r="D94" s="783" t="str">
        <f>IF([7]Vagt!D38&lt;&gt;"",[7]Vagt!D38,"")</f>
        <v xml:space="preserve">BIF- Ottiliavej </v>
      </c>
      <c r="E94" s="785"/>
      <c r="F94" s="795">
        <f>IF([7]Vagt!F38&lt;&gt;"",[7]Vagt!F38,"")</f>
        <v>133333</v>
      </c>
      <c r="G94" s="773">
        <f>IF([7]Vagt!G38&lt;&gt;"",[7]Vagt!G38,"")</f>
        <v>852228</v>
      </c>
      <c r="H94" s="773" t="e">
        <f>IF([7]Vagt!H38&lt;&gt;"",[7]Vagt!H38,"")</f>
        <v>#REF!</v>
      </c>
      <c r="I94" s="772">
        <f>IF([7]Vagt!I38&lt;&gt;"",[7]Vagt!I38,"")</f>
        <v>39630</v>
      </c>
      <c r="J94" s="806" t="str">
        <f>IF([7]Vagt!J38&lt;&gt;"",[7]Vagt!J38,"")</f>
        <v>Rådhuset</v>
      </c>
      <c r="K94" s="772">
        <f>IF([7]Vagt!K38&lt;&gt;"",[7]Vagt!K38,"")</f>
        <v>40179</v>
      </c>
      <c r="L94" s="783" t="str">
        <f>IF([7]Vagt!L38&lt;&gt;"",[7]Vagt!L38,"")</f>
        <v xml:space="preserve">BUF                                                                          </v>
      </c>
      <c r="M94" s="785"/>
      <c r="N94" s="795">
        <f>IF([7]Vagt!N38&lt;&gt;"",[7]Vagt!N38,"")</f>
        <v>618513</v>
      </c>
      <c r="O94" s="799"/>
      <c r="P94" s="244"/>
      <c r="Q94" s="227"/>
    </row>
    <row r="95" spans="1:17">
      <c r="A95" s="772">
        <f>IF([7]Vagt!A39&lt;&gt;"",[7]Vagt!A39,"")</f>
        <v>62470</v>
      </c>
      <c r="B95" s="772">
        <f>IF([7]Vagt!B39&lt;&gt;"",[7]Vagt!B39,"")</f>
        <v>141</v>
      </c>
      <c r="C95" s="781">
        <f>IF([7]Vagt!C39&lt;&gt;"",[7]Vagt!C39,"")</f>
        <v>41640</v>
      </c>
      <c r="D95" s="783" t="str">
        <f>IF([7]Vagt!D39&lt;&gt;"",[7]Vagt!D39,"")</f>
        <v>SOF-Nørre Voldgade 15, 1.+5. sal (Avlastenok)</v>
      </c>
      <c r="E95" s="785"/>
      <c r="F95" s="795">
        <f>IF([7]Vagt!F39&lt;&gt;"",[7]Vagt!F39,"")</f>
        <v>24888</v>
      </c>
      <c r="G95" s="773">
        <f>IF([7]Vagt!G39&lt;&gt;"",[7]Vagt!G39,"")</f>
        <v>797750</v>
      </c>
      <c r="H95" s="773" t="str">
        <f>IF([7]Vagt!H39&lt;&gt;"",[7]Vagt!H39,"")</f>
        <v>17=29.036,-</v>
      </c>
      <c r="I95" s="772">
        <f>IF([7]Vagt!I39&lt;&gt;"",[7]Vagt!I39,"")</f>
        <v>49700</v>
      </c>
      <c r="J95" s="806" t="str">
        <f>IF([7]Vagt!J39&lt;&gt;"",[7]Vagt!J39,"")</f>
        <v>Rådhuset</v>
      </c>
      <c r="K95" s="772">
        <f>IF([7]Vagt!K39&lt;&gt;"",[7]Vagt!K39,"")</f>
        <v>40179</v>
      </c>
      <c r="L95" s="783" t="str">
        <f>IF([7]Vagt!L39&lt;&gt;"",[7]Vagt!L39,"")</f>
        <v xml:space="preserve">TMF                                                                          </v>
      </c>
      <c r="M95" s="785"/>
      <c r="N95" s="795">
        <f>IF([7]Vagt!N39&lt;&gt;"",[7]Vagt!N39,"")</f>
        <v>579866</v>
      </c>
      <c r="O95" s="799"/>
      <c r="P95" s="244"/>
      <c r="Q95" s="227"/>
    </row>
    <row r="96" spans="1:17">
      <c r="A96" s="772">
        <f>IF([7]Vagt!A40&lt;&gt;"",[7]Vagt!A40,"")</f>
        <v>37100</v>
      </c>
      <c r="B96" s="772">
        <f>IF([7]Vagt!B40&lt;&gt;"",[7]Vagt!B40,"")</f>
        <v>142</v>
      </c>
      <c r="C96" s="781">
        <f>IF([7]Vagt!C40&lt;&gt;"",[7]Vagt!C40,"")</f>
        <v>41640</v>
      </c>
      <c r="D96" s="783" t="str">
        <f>IF([7]Vagt!D40&lt;&gt;"",[7]Vagt!D40,"")</f>
        <v>BUF-Nørre Voldgade 15, 2.sal (Thuesen)</v>
      </c>
      <c r="E96" s="785"/>
      <c r="F96" s="795">
        <f>IF([7]Vagt!F40&lt;&gt;"",[7]Vagt!F40,"")</f>
        <v>24888</v>
      </c>
      <c r="G96" s="773">
        <f>IF([7]Vagt!G40&lt;&gt;"",[7]Vagt!G40,"")</f>
        <v>797751</v>
      </c>
      <c r="H96" s="773">
        <f>IF([7]Vagt!H40&lt;&gt;"",[7]Vagt!H40,"")</f>
        <v>0</v>
      </c>
      <c r="I96" s="772">
        <f>IF([7]Vagt!I40&lt;&gt;"",[7]Vagt!I40,"")</f>
        <v>60126</v>
      </c>
      <c r="J96" s="806" t="str">
        <f>IF([7]Vagt!J40&lt;&gt;"",[7]Vagt!J40,"")</f>
        <v>Rådhuset</v>
      </c>
      <c r="K96" s="772">
        <f>IF([7]Vagt!K40&lt;&gt;"",[7]Vagt!K40,"")</f>
        <v>40179</v>
      </c>
      <c r="L96" s="783" t="str">
        <f>IF([7]Vagt!L40&lt;&gt;"",[7]Vagt!L40,"")</f>
        <v xml:space="preserve">SOF                                                                          </v>
      </c>
      <c r="M96" s="785"/>
      <c r="N96" s="795">
        <f>IF([7]Vagt!N40&lt;&gt;"",[7]Vagt!N40,"")</f>
        <v>766501</v>
      </c>
      <c r="O96" s="799"/>
      <c r="P96" s="244"/>
      <c r="Q96" s="227"/>
    </row>
    <row r="97" spans="1:17">
      <c r="A97" s="772">
        <f>IF([7]Vagt!A41&lt;&gt;"",[7]Vagt!A41,"")</f>
        <v>33410</v>
      </c>
      <c r="B97" s="772">
        <f>IF([7]Vagt!B41&lt;&gt;"",[7]Vagt!B41,"")</f>
        <v>143</v>
      </c>
      <c r="C97" s="781">
        <f>IF([7]Vagt!C41&lt;&gt;"",[7]Vagt!C41,"")</f>
        <v>41640</v>
      </c>
      <c r="D97" s="783" t="str">
        <f>IF([7]Vagt!D41&lt;&gt;"",[7]Vagt!D41,"")</f>
        <v>BUF-Nørre Voldgade 15, 3. sal (Thor Larsen)</v>
      </c>
      <c r="E97" s="785"/>
      <c r="F97" s="795">
        <f>IF([7]Vagt!F41&lt;&gt;"",[7]Vagt!F41,"")</f>
        <v>24888</v>
      </c>
      <c r="G97" s="773">
        <f>IF([7]Vagt!G41&lt;&gt;"",[7]Vagt!G41,"")</f>
        <v>797752</v>
      </c>
      <c r="H97" s="773">
        <f>IF([7]Vagt!H41&lt;&gt;"",[7]Vagt!H41,"")</f>
        <v>0</v>
      </c>
      <c r="I97" s="772">
        <f>IF([7]Vagt!I41&lt;&gt;"",[7]Vagt!I41,"")</f>
        <v>11030</v>
      </c>
      <c r="J97" s="806" t="str">
        <f>IF([7]Vagt!J41&lt;&gt;"",[7]Vagt!J41,"")</f>
        <v>Rådhuset</v>
      </c>
      <c r="K97" s="772">
        <f>IF([7]Vagt!K41&lt;&gt;"",[7]Vagt!K41,"")</f>
        <v>40179</v>
      </c>
      <c r="L97" s="783" t="str">
        <f>IF([7]Vagt!L41&lt;&gt;"",[7]Vagt!L41,"")</f>
        <v xml:space="preserve">ØKF                                                                          </v>
      </c>
      <c r="M97" s="785"/>
      <c r="N97" s="795">
        <f>IF([7]Vagt!N41&lt;&gt;"",[7]Vagt!N41,"")</f>
        <v>4401827</v>
      </c>
      <c r="O97" s="799"/>
      <c r="P97" s="244"/>
      <c r="Q97" s="227"/>
    </row>
    <row r="98" spans="1:17">
      <c r="A98" s="772">
        <f>IF([7]Vagt!A42&lt;&gt;"",[7]Vagt!A42,"")</f>
        <v>39851</v>
      </c>
      <c r="B98" s="772">
        <f>IF([7]Vagt!B42&lt;&gt;"",[7]Vagt!B42,"")</f>
        <v>145</v>
      </c>
      <c r="C98" s="781">
        <f>IF([7]Vagt!C42&lt;&gt;"",[7]Vagt!C42,"")</f>
        <v>41640</v>
      </c>
      <c r="D98" s="783" t="str">
        <f>IF([7]Vagt!D42&lt;&gt;"",[7]Vagt!D42,"")</f>
        <v>BUF-Nørre Voldgade 15, 4.sal (Mikkelsen)</v>
      </c>
      <c r="E98" s="785"/>
      <c r="F98" s="795">
        <f>IF([7]Vagt!F42&lt;&gt;"",[7]Vagt!F42,"")</f>
        <v>24888</v>
      </c>
      <c r="G98" s="773">
        <f>IF([7]Vagt!G42&lt;&gt;"",[7]Vagt!G42,"")</f>
        <v>797754</v>
      </c>
      <c r="H98" s="773">
        <f>IF([7]Vagt!H42&lt;&gt;"",[7]Vagt!H42,"")</f>
        <v>0</v>
      </c>
      <c r="I98" s="772">
        <f>IF([7]Vagt!I42&lt;&gt;"",[7]Vagt!I42,"")</f>
        <v>11030</v>
      </c>
      <c r="J98" s="806" t="str">
        <f>IF([7]Vagt!J42&lt;&gt;"",[7]Vagt!J42,"")</f>
        <v>Rådhuset</v>
      </c>
      <c r="K98" s="772">
        <f>IF([7]Vagt!K42&lt;&gt;"",[7]Vagt!K42,"")</f>
        <v>40179</v>
      </c>
      <c r="L98" s="783" t="str">
        <f>IF([7]Vagt!L42&lt;&gt;"",[7]Vagt!L42,"")</f>
        <v xml:space="preserve">BR                                                                           </v>
      </c>
      <c r="M98" s="785"/>
      <c r="N98" s="795">
        <f>IF([7]Vagt!N42&lt;&gt;"",[7]Vagt!N42,"")</f>
        <v>1160800</v>
      </c>
      <c r="O98" s="799"/>
      <c r="P98" s="244"/>
      <c r="Q98" s="227"/>
    </row>
    <row r="99" spans="1:17">
      <c r="A99" s="772">
        <f>IF([7]Vagt!A43&lt;&gt;"",[7]Vagt!A43,"")</f>
        <v>69722</v>
      </c>
      <c r="B99" s="772">
        <f>IF([7]Vagt!B43&lt;&gt;"",[7]Vagt!B43,"")</f>
        <v>146</v>
      </c>
      <c r="C99" s="781">
        <f>IF([7]Vagt!C43&lt;&gt;"",[7]Vagt!C43,"")</f>
        <v>41640</v>
      </c>
      <c r="D99" s="783" t="str">
        <f>IF([7]Vagt!D43&lt;&gt;"",[7]Vagt!D43,"")</f>
        <v>SOF-Nørre Voldgade 15, 5. sal (Ann Provis)</v>
      </c>
      <c r="E99" s="785"/>
      <c r="F99" s="795">
        <f>IF([7]Vagt!F43&lt;&gt;"",[7]Vagt!F43,"")</f>
        <v>4148</v>
      </c>
      <c r="G99" s="773">
        <f>IF([7]Vagt!G43&lt;&gt;"",[7]Vagt!G43,"")</f>
        <v>826945</v>
      </c>
      <c r="H99" s="773">
        <f>IF([7]Vagt!H43&lt;&gt;"",[7]Vagt!H43,"")</f>
        <v>0</v>
      </c>
      <c r="I99" s="772">
        <f>IF([7]Vagt!I43&lt;&gt;"",[7]Vagt!I43,"")</f>
        <v>50000</v>
      </c>
      <c r="J99" s="806" t="str">
        <f>IF([7]Vagt!J43&lt;&gt;"",[7]Vagt!J43,"")</f>
        <v>Rådhuset</v>
      </c>
      <c r="K99" s="772">
        <f>IF([7]Vagt!K43&lt;&gt;"",[7]Vagt!K43,"")</f>
        <v>40179</v>
      </c>
      <c r="L99" s="783" t="str">
        <f>IF([7]Vagt!L43&lt;&gt;"",[7]Vagt!L43,"")</f>
        <v xml:space="preserve">KFF                                                                          </v>
      </c>
      <c r="M99" s="785"/>
      <c r="N99" s="795">
        <f>IF([7]Vagt!N43&lt;&gt;"",[7]Vagt!N43,"")</f>
        <v>1150050</v>
      </c>
      <c r="O99" s="799"/>
      <c r="P99" s="244"/>
      <c r="Q99" s="227"/>
    </row>
    <row r="100" spans="1:17" ht="13.5" thickBot="1">
      <c r="A100" s="774">
        <f>IF([7]Vagt!A44&lt;&gt;"",[7]Vagt!A44,"")</f>
        <v>31139</v>
      </c>
      <c r="B100" s="774">
        <f>IF([7]Vagt!B44&lt;&gt;"",[7]Vagt!B44,"")</f>
        <v>111</v>
      </c>
      <c r="C100" s="786">
        <f>IF([7]Vagt!C44&lt;&gt;"",[7]Vagt!C44,"")</f>
        <v>40634</v>
      </c>
      <c r="D100" s="787" t="str">
        <f>IF([7]Vagt!D44&lt;&gt;"",[7]Vagt!D44,"")</f>
        <v>BUF-Gasværksvej 22 (skole)</v>
      </c>
      <c r="E100" s="788"/>
      <c r="F100" s="796">
        <f>IF([7]Vagt!F44&lt;&gt;"",[7]Vagt!F44,"")</f>
        <v>62606</v>
      </c>
      <c r="G100" s="773">
        <f>IF([7]Vagt!G44&lt;&gt;"",[7]Vagt!G44,"")</f>
        <v>797756</v>
      </c>
      <c r="H100" s="773">
        <f>IF([7]Vagt!H44&lt;&gt;"",[7]Vagt!H44,"")</f>
        <v>0</v>
      </c>
      <c r="I100" s="772">
        <f>IF([7]Vagt!I44&lt;&gt;"",[7]Vagt!I44,"")</f>
        <v>0</v>
      </c>
      <c r="J100" s="806" t="str">
        <f>IF([7]Vagt!J44&lt;&gt;"",[7]Vagt!J44,"")</f>
        <v>Rådhuset</v>
      </c>
      <c r="K100" s="772">
        <f>IF([7]Vagt!K44&lt;&gt;"",[7]Vagt!K44,"")</f>
        <v>40179</v>
      </c>
      <c r="L100" s="783" t="str">
        <f>IF([7]Vagt!L44&lt;&gt;"",[7]Vagt!L44,"")</f>
        <v xml:space="preserve">Kejd (posteres) Rådhusservice på Rådhuset  </v>
      </c>
      <c r="M100" s="785"/>
      <c r="N100" s="795">
        <f>IF([7]Vagt!N44&lt;&gt;"",[7]Vagt!N44,"")</f>
        <v>646902</v>
      </c>
      <c r="O100" s="799"/>
      <c r="P100" s="244"/>
      <c r="Q100" s="227"/>
    </row>
    <row r="101" spans="1:17" ht="13.5" thickBot="1">
      <c r="A101" s="792">
        <f>IF([7]Vagt!A45&lt;&gt;"",[7]Vagt!A45,"")</f>
        <v>0</v>
      </c>
      <c r="B101" s="792" t="str">
        <f>IF([7]Vagt!B45&lt;&gt;"",[7]Vagt!B45,"")</f>
        <v>Forsættes i højre side</v>
      </c>
      <c r="C101" s="792">
        <f>IF([7]Vagt!C45&lt;&gt;"",[7]Vagt!C45,"")</f>
        <v>0</v>
      </c>
      <c r="D101" s="793">
        <f>IF([7]Vagt!D45&lt;&gt;"",[7]Vagt!D45,"")</f>
        <v>0</v>
      </c>
      <c r="E101" s="794"/>
      <c r="F101" s="797">
        <f>IF([7]Vagt!F45&lt;&gt;"",[7]Vagt!F45,"")</f>
        <v>2036309</v>
      </c>
      <c r="G101" s="773">
        <f>IF([7]Vagt!G45&lt;&gt;"",[7]Vagt!G45,"")</f>
        <v>0</v>
      </c>
      <c r="H101" s="773">
        <f>IF([7]Vagt!H45&lt;&gt;"",[7]Vagt!H45,"")</f>
        <v>0</v>
      </c>
      <c r="I101" s="774">
        <f>IF([7]Vagt!I45&lt;&gt;"",[7]Vagt!I45,"")</f>
        <v>0</v>
      </c>
      <c r="J101" s="774">
        <f>IF([7]Vagt!J45&lt;&gt;"",[7]Vagt!J45,"")</f>
        <v>0</v>
      </c>
      <c r="K101" s="774">
        <f>IF([7]Vagt!K45&lt;&gt;"",[7]Vagt!K45,"")</f>
        <v>0</v>
      </c>
      <c r="L101" s="787">
        <f>IF([7]Vagt!L45&lt;&gt;"",[7]Vagt!L45,"")</f>
        <v>0</v>
      </c>
      <c r="M101" s="788"/>
      <c r="N101" s="796">
        <f>IF([7]Vagt!N45&lt;&gt;"",[7]Vagt!N45,"")</f>
        <v>0</v>
      </c>
      <c r="O101" s="808"/>
      <c r="P101" s="244"/>
      <c r="Q101" s="227"/>
    </row>
    <row r="102" spans="1:17" ht="13.5" thickBot="1">
      <c r="A102" s="789">
        <f>IF([7]Vagt!A46&lt;&gt;"",[7]Vagt!A46,"")</f>
        <v>0</v>
      </c>
      <c r="B102" s="789">
        <f>IF([7]Vagt!B46&lt;&gt;"",[7]Vagt!B46,"")</f>
        <v>0</v>
      </c>
      <c r="C102" s="789">
        <f>IF([7]Vagt!C46&lt;&gt;"",[7]Vagt!C46,"")</f>
        <v>0</v>
      </c>
      <c r="D102" s="790">
        <f>IF([7]Vagt!D46&lt;&gt;"",[7]Vagt!D46,"")</f>
        <v>0</v>
      </c>
      <c r="E102" s="791"/>
      <c r="F102" s="789">
        <f>IF([7]Vagt!F46&lt;&gt;"",[7]Vagt!F46,"")</f>
        <v>0</v>
      </c>
      <c r="G102" s="773">
        <f>IF([7]Vagt!G46&lt;&gt;"",[7]Vagt!G46,"")</f>
        <v>0</v>
      </c>
      <c r="H102" s="773">
        <f>IF([7]Vagt!H46&lt;&gt;"",[7]Vagt!H46,"")</f>
        <v>0</v>
      </c>
      <c r="I102" s="792" t="e">
        <f>IF([7]Vagt!I46&lt;&gt;"",[7]Vagt!I46,"")</f>
        <v>#REF!</v>
      </c>
      <c r="J102" s="792" t="str">
        <f>IF([7]Vagt!J46&lt;&gt;"",[7]Vagt!J46,"")</f>
        <v>Årligt</v>
      </c>
      <c r="K102" s="792">
        <f>IF([7]Vagt!K46&lt;&gt;"",[7]Vagt!K46,"")</f>
        <v>0</v>
      </c>
      <c r="L102" s="793">
        <f>IF([7]Vagt!L46&lt;&gt;"",[7]Vagt!L46,"")</f>
        <v>0</v>
      </c>
      <c r="M102" s="794"/>
      <c r="N102" s="797">
        <f>IF([7]Vagt!N46&lt;&gt;"",[7]Vagt!N46,"")</f>
        <v>13387958</v>
      </c>
      <c r="O102" s="811"/>
      <c r="P102" s="244"/>
      <c r="Q102" s="227"/>
    </row>
    <row r="103" spans="1:17">
      <c r="A103" s="773">
        <f>IF([7]Vagt!A47&lt;&gt;"",[7]Vagt!A47,"")</f>
        <v>0</v>
      </c>
      <c r="B103" s="773">
        <f>IF([7]Vagt!B47&lt;&gt;"",[7]Vagt!B47,"")</f>
        <v>0</v>
      </c>
      <c r="C103" s="773">
        <f>IF([7]Vagt!C47&lt;&gt;"",[7]Vagt!C47,"")</f>
        <v>0</v>
      </c>
      <c r="D103" s="773">
        <f>IF([7]Vagt!D47&lt;&gt;"",[7]Vagt!D47,"")</f>
        <v>0</v>
      </c>
      <c r="E103" s="773">
        <f>IF([7]Vagt!E47&lt;&gt;"",[7]Vagt!E47,"")</f>
        <v>0</v>
      </c>
      <c r="F103" s="773">
        <f>IF([7]Vagt!F47&lt;&gt;"",[7]Vagt!F47,"")</f>
        <v>0</v>
      </c>
      <c r="G103" s="773">
        <f>IF([7]Vagt!G47&lt;&gt;"",[7]Vagt!G47,"")</f>
        <v>0</v>
      </c>
      <c r="H103" s="773">
        <f>IF([7]Vagt!H47&lt;&gt;"",[7]Vagt!H47,"")</f>
        <v>0</v>
      </c>
      <c r="I103" s="789" t="e">
        <f>IF([7]Vagt!I47&lt;&gt;"",[7]Vagt!I47,"")</f>
        <v>#REF!</v>
      </c>
      <c r="J103" s="789">
        <f>IF([7]Vagt!J47&lt;&gt;"",[7]Vagt!J47,"")</f>
        <v>0</v>
      </c>
      <c r="K103" s="789">
        <f>IF([7]Vagt!K47&lt;&gt;"",[7]Vagt!K47,"")</f>
        <v>0</v>
      </c>
      <c r="L103" s="790">
        <f>IF([7]Vagt!L47&lt;&gt;"",[7]Vagt!L47,"")</f>
        <v>0</v>
      </c>
      <c r="M103" s="791"/>
      <c r="N103" s="809">
        <f>IF([7]Vagt!N47&lt;&gt;"",[7]Vagt!N47,"")</f>
        <v>0</v>
      </c>
      <c r="O103" s="810"/>
      <c r="P103" s="244"/>
      <c r="Q103" s="227"/>
    </row>
    <row r="104" spans="1:17">
      <c r="A104" s="773" t="e">
        <f>IF([7]Vagt!A48&lt;&gt;"",[7]Vagt!A48,"")</f>
        <v>#REF!</v>
      </c>
      <c r="B104" s="773" t="e">
        <f>IF([7]Vagt!B48&lt;&gt;"",[7]Vagt!B48,"")</f>
        <v>#REF!</v>
      </c>
      <c r="C104" s="773" t="e">
        <f>IF([7]Vagt!C48&lt;&gt;"",[7]Vagt!C48,"")</f>
        <v>#REF!</v>
      </c>
      <c r="D104" s="773" t="e">
        <f>IF([7]Vagt!D48&lt;&gt;"",[7]Vagt!D48,"")</f>
        <v>#REF!</v>
      </c>
      <c r="E104" s="773" t="e">
        <f>IF([7]Vagt!E48&lt;&gt;"",[7]Vagt!E48,"")</f>
        <v>#REF!</v>
      </c>
      <c r="F104" s="773" t="e">
        <f>IF([7]Vagt!F48&lt;&gt;"",[7]Vagt!F48,"")</f>
        <v>#REF!</v>
      </c>
      <c r="G104" s="773" t="e">
        <f>IF([7]Vagt!G48&lt;&gt;"",[7]Vagt!G48,"")</f>
        <v>#REF!</v>
      </c>
      <c r="H104" s="773">
        <f>IF([7]Vagt!H48&lt;&gt;"",[7]Vagt!H48,"")</f>
        <v>0</v>
      </c>
      <c r="I104" s="772" t="e">
        <f>IF([7]Vagt!I48&lt;&gt;"",[7]Vagt!I48,"")</f>
        <v>#REF!</v>
      </c>
      <c r="J104" s="772" t="str">
        <f>IF([7]Vagt!J48&lt;&gt;"",[7]Vagt!J48,"")</f>
        <v>Månedligt</v>
      </c>
      <c r="K104" s="772">
        <f>IF([7]Vagt!K48&lt;&gt;"",[7]Vagt!K48,"")</f>
        <v>0</v>
      </c>
      <c r="L104" s="783">
        <f>IF([7]Vagt!L48&lt;&gt;"",[7]Vagt!L48,"")</f>
        <v>0</v>
      </c>
      <c r="M104" s="785"/>
      <c r="N104" s="795">
        <f>IF([7]Vagt!N48&lt;&gt;"",[7]Vagt!N48,"")</f>
        <v>1115663.1666666667</v>
      </c>
      <c r="O104" s="329"/>
      <c r="P104" s="244"/>
      <c r="Q104" s="227"/>
    </row>
    <row r="105" spans="1:17">
      <c r="A105" s="226" t="e">
        <f>IF([8]Vagt!A49&lt;&gt;"",[8]Vagt!A49,"")</f>
        <v>#REF!</v>
      </c>
      <c r="B105" s="299" t="e">
        <f>IF([8]Vagt!B49&lt;&gt;"",[8]Vagt!B49,"")</f>
        <v>#REF!</v>
      </c>
      <c r="C105" s="299" t="e">
        <f>IF([8]Vagt!C49&lt;&gt;"",[8]Vagt!C49,"")</f>
        <v>#REF!</v>
      </c>
      <c r="D105" s="299" t="e">
        <f>IF([8]Vagt!D49&lt;&gt;"",[8]Vagt!D49,"")</f>
        <v>#REF!</v>
      </c>
      <c r="E105" s="299" t="e">
        <f>IF([8]Vagt!E49&lt;&gt;"",[8]Vagt!E49,"")</f>
        <v>#REF!</v>
      </c>
      <c r="F105" s="299"/>
      <c r="G105" s="299"/>
      <c r="H105" s="299"/>
      <c r="I105" s="299" t="e">
        <f>IF([8]Vagt!I49&lt;&gt;"",[8]Vagt!I49,"")</f>
        <v>#REF!</v>
      </c>
      <c r="J105" s="299" t="e">
        <f>IF([8]Vagt!J49&lt;&gt;"",[8]Vagt!J49,"")</f>
        <v>#REF!</v>
      </c>
      <c r="K105" s="299" t="e">
        <f>IF([8]Vagt!K49&lt;&gt;"",[8]Vagt!K49,"")</f>
        <v>#REF!</v>
      </c>
      <c r="L105" s="299" t="e">
        <f>IF([8]Vagt!L49&lt;&gt;"",[8]Vagt!L49,"")</f>
        <v>#REF!</v>
      </c>
      <c r="M105" s="299" t="e">
        <f>IF([8]Vagt!M49&lt;&gt;"",[8]Vagt!M49,"")</f>
        <v>#REF!</v>
      </c>
      <c r="N105" s="683" t="s">
        <v>167</v>
      </c>
      <c r="O105" s="683" t="s">
        <v>168</v>
      </c>
      <c r="P105" s="244"/>
      <c r="Q105" s="227"/>
    </row>
    <row r="106" spans="1:17">
      <c r="A106" s="226" t="e">
        <f>IF([8]Vagt!A50&lt;&gt;"",[8]Vagt!A50,"")</f>
        <v>#REF!</v>
      </c>
      <c r="B106" s="299" t="e">
        <f>IF([8]Vagt!B50&lt;&gt;"",[8]Vagt!B50,"")</f>
        <v>#REF!</v>
      </c>
      <c r="C106" s="299" t="e">
        <f>IF([8]Vagt!C50&lt;&gt;"",[8]Vagt!C50,"")</f>
        <v>#REF!</v>
      </c>
      <c r="D106" s="299" t="e">
        <f>IF([8]Vagt!D50&lt;&gt;"",[8]Vagt!D50,"")</f>
        <v>#REF!</v>
      </c>
      <c r="E106" s="299" t="e">
        <f>IF([8]Vagt!E50&lt;&gt;"",[8]Vagt!E50,"")</f>
        <v>#REF!</v>
      </c>
      <c r="F106" s="299"/>
      <c r="G106" s="299"/>
      <c r="H106" s="299"/>
      <c r="I106" s="299" t="e">
        <f>IF([8]Vagt!I50&lt;&gt;"",[8]Vagt!I50,"")</f>
        <v>#REF!</v>
      </c>
      <c r="J106" s="299" t="s">
        <v>217</v>
      </c>
      <c r="K106" s="299" t="e">
        <f>IF([8]Vagt!K50&lt;&gt;"",[8]Vagt!K50,"")</f>
        <v>#REF!</v>
      </c>
      <c r="L106" s="299" t="e">
        <f>IF([8]Vagt!L50&lt;&gt;"",[8]Vagt!L50,"")</f>
        <v>#REF!</v>
      </c>
      <c r="M106" s="299" t="e">
        <f>IF([8]Vagt!M50&lt;&gt;"",[8]Vagt!M50,"")</f>
        <v>#REF!</v>
      </c>
      <c r="N106" s="683">
        <f>N102</f>
        <v>13387958</v>
      </c>
      <c r="O106" s="683">
        <f>N106/12</f>
        <v>1115663.1666666667</v>
      </c>
      <c r="P106" s="244"/>
      <c r="Q106" s="227"/>
    </row>
    <row r="107" spans="1:17">
      <c r="A107" s="226" t="e">
        <f>IF([8]Vagt!A51&lt;&gt;"",[8]Vagt!A51,"")</f>
        <v>#REF!</v>
      </c>
      <c r="B107" s="299" t="e">
        <f>IF([8]Vagt!B51&lt;&gt;"",[8]Vagt!B51,"")</f>
        <v>#REF!</v>
      </c>
      <c r="C107" s="299" t="e">
        <f>IF([8]Vagt!C51&lt;&gt;"",[8]Vagt!C51,"")</f>
        <v>#REF!</v>
      </c>
      <c r="D107" s="299" t="e">
        <f>IF([8]Vagt!D51&lt;&gt;"",[8]Vagt!D51,"")</f>
        <v>#REF!</v>
      </c>
      <c r="E107" s="299" t="e">
        <f>IF([8]Vagt!E51&lt;&gt;"",[8]Vagt!E51,"")</f>
        <v>#REF!</v>
      </c>
      <c r="F107" s="299"/>
      <c r="G107" s="299"/>
      <c r="H107" s="299"/>
      <c r="I107" s="299" t="e">
        <f>IF([8]Vagt!I51&lt;&gt;"",[8]Vagt!I51,"")</f>
        <v>#REF!</v>
      </c>
      <c r="J107" s="299" t="s">
        <v>218</v>
      </c>
      <c r="K107" s="299" t="e">
        <f>IF([8]Vagt!K51&lt;&gt;"",[8]Vagt!K51,"")</f>
        <v>#REF!</v>
      </c>
      <c r="L107" s="299" t="e">
        <f>IF([8]Vagt!L51&lt;&gt;"",[8]Vagt!L51,"")</f>
        <v>#REF!</v>
      </c>
      <c r="M107" s="299" t="e">
        <f>IF([8]Vagt!M51&lt;&gt;"",[8]Vagt!M51,"")</f>
        <v>#REF!</v>
      </c>
      <c r="N107" s="683">
        <f>D70</f>
        <v>7413134</v>
      </c>
      <c r="O107" s="683">
        <f>N107/12</f>
        <v>617761.16666666663</v>
      </c>
      <c r="P107" s="244"/>
      <c r="Q107" s="227"/>
    </row>
    <row r="108" spans="1:17" ht="13.5" thickBot="1">
      <c r="A108" s="226" t="e">
        <f>IF([8]Vagt!A52&lt;&gt;"",[8]Vagt!A52,"")</f>
        <v>#REF!</v>
      </c>
      <c r="B108" s="299" t="e">
        <f>IF([8]Vagt!B52&lt;&gt;"",[8]Vagt!B52,"")</f>
        <v>#REF!</v>
      </c>
      <c r="C108" s="299" t="e">
        <f>IF([8]Vagt!C52&lt;&gt;"",[8]Vagt!C52,"")</f>
        <v>#REF!</v>
      </c>
      <c r="D108" s="299" t="e">
        <f>IF([8]Vagt!D52&lt;&gt;"",[8]Vagt!D52,"")</f>
        <v>#REF!</v>
      </c>
      <c r="E108" s="299" t="e">
        <f>IF([8]Vagt!E52&lt;&gt;"",[8]Vagt!E52,"")</f>
        <v>#REF!</v>
      </c>
      <c r="F108" s="299"/>
      <c r="G108" s="299"/>
      <c r="H108" s="299"/>
      <c r="I108" s="684" t="e">
        <f>IF([8]Vagt!I52&lt;&gt;"",[8]Vagt!I52,"")</f>
        <v>#REF!</v>
      </c>
      <c r="J108" s="684" t="s">
        <v>30</v>
      </c>
      <c r="K108" s="684" t="e">
        <f>IF([8]Vagt!K52&lt;&gt;"",[8]Vagt!K52,"")</f>
        <v>#REF!</v>
      </c>
      <c r="L108" s="684" t="e">
        <f>IF([8]Vagt!L52&lt;&gt;"",[8]Vagt!L52,"")</f>
        <v>#REF!</v>
      </c>
      <c r="M108" s="684" t="e">
        <f>IF([8]Vagt!M52&lt;&gt;"",[8]Vagt!M52,"")</f>
        <v>#REF!</v>
      </c>
      <c r="N108" s="685">
        <f>N106+N107</f>
        <v>20801092</v>
      </c>
      <c r="O108" s="685">
        <f>N108/12</f>
        <v>1733424.3333333333</v>
      </c>
      <c r="P108" s="244"/>
      <c r="Q108" s="227"/>
    </row>
    <row r="109" spans="1:17">
      <c r="C109" s="291"/>
      <c r="D109" s="291"/>
      <c r="E109" s="291"/>
      <c r="F109" s="291"/>
      <c r="G109" s="291"/>
      <c r="L109" s="300"/>
      <c r="M109" s="326"/>
      <c r="N109" s="326"/>
      <c r="O109" s="291"/>
      <c r="P109" s="244"/>
      <c r="Q109" s="227"/>
    </row>
    <row r="110" spans="1:17">
      <c r="C110" s="291"/>
      <c r="D110" s="291"/>
      <c r="L110" s="300"/>
      <c r="M110" s="326"/>
      <c r="N110" s="326"/>
    </row>
    <row r="111" spans="1:17">
      <c r="A111" s="299" t="s">
        <v>112</v>
      </c>
      <c r="B111" s="328" t="s">
        <v>113</v>
      </c>
      <c r="C111" s="232" t="s">
        <v>44</v>
      </c>
      <c r="D111" s="232" t="s">
        <v>45</v>
      </c>
      <c r="E111" s="232" t="s">
        <v>46</v>
      </c>
      <c r="F111" s="232" t="s">
        <v>47</v>
      </c>
      <c r="G111" s="232" t="s">
        <v>48</v>
      </c>
      <c r="H111" s="232" t="s">
        <v>49</v>
      </c>
      <c r="I111" s="232" t="s">
        <v>38</v>
      </c>
      <c r="J111" s="232" t="s">
        <v>39</v>
      </c>
      <c r="K111" s="232" t="s">
        <v>40</v>
      </c>
      <c r="L111" s="232" t="s">
        <v>41</v>
      </c>
      <c r="M111" s="232" t="s">
        <v>42</v>
      </c>
      <c r="N111" s="232" t="s">
        <v>43</v>
      </c>
      <c r="O111" s="228"/>
      <c r="P111" s="584" t="s">
        <v>114</v>
      </c>
    </row>
    <row r="112" spans="1:17">
      <c r="B112" s="231" t="s">
        <v>115</v>
      </c>
      <c r="C112" s="329">
        <f>$D$71</f>
        <v>617761.16666666663</v>
      </c>
      <c r="D112" s="329">
        <f t="shared" ref="D112:N112" si="12">$D$71</f>
        <v>617761.16666666663</v>
      </c>
      <c r="E112" s="329">
        <f t="shared" si="12"/>
        <v>617761.16666666663</v>
      </c>
      <c r="F112" s="329">
        <f t="shared" si="12"/>
        <v>617761.16666666663</v>
      </c>
      <c r="G112" s="329">
        <f t="shared" si="12"/>
        <v>617761.16666666663</v>
      </c>
      <c r="H112" s="329">
        <f t="shared" si="12"/>
        <v>617761.16666666663</v>
      </c>
      <c r="I112" s="329">
        <f t="shared" si="12"/>
        <v>617761.16666666663</v>
      </c>
      <c r="J112" s="329">
        <f t="shared" si="12"/>
        <v>617761.16666666663</v>
      </c>
      <c r="K112" s="329">
        <f t="shared" si="12"/>
        <v>617761.16666666663</v>
      </c>
      <c r="L112" s="329">
        <f t="shared" si="12"/>
        <v>617761.16666666663</v>
      </c>
      <c r="M112" s="329">
        <f t="shared" si="12"/>
        <v>617761.16666666663</v>
      </c>
      <c r="N112" s="329">
        <f t="shared" si="12"/>
        <v>617761.16666666663</v>
      </c>
      <c r="O112" s="330">
        <f t="shared" ref="O112:O143" si="13">SUM(C112:N112)</f>
        <v>7413134.0000000009</v>
      </c>
    </row>
    <row r="113" spans="1:20" ht="13.5" thickBot="1">
      <c r="B113" s="247" t="s">
        <v>116</v>
      </c>
      <c r="C113" s="331">
        <f>$N$104</f>
        <v>1115663.1666666667</v>
      </c>
      <c r="D113" s="331">
        <f t="shared" ref="D113:N113" si="14">$N$104</f>
        <v>1115663.1666666667</v>
      </c>
      <c r="E113" s="331">
        <f t="shared" si="14"/>
        <v>1115663.1666666667</v>
      </c>
      <c r="F113" s="331">
        <f t="shared" si="14"/>
        <v>1115663.1666666667</v>
      </c>
      <c r="G113" s="331">
        <f t="shared" si="14"/>
        <v>1115663.1666666667</v>
      </c>
      <c r="H113" s="331">
        <f t="shared" si="14"/>
        <v>1115663.1666666667</v>
      </c>
      <c r="I113" s="331">
        <f t="shared" si="14"/>
        <v>1115663.1666666667</v>
      </c>
      <c r="J113" s="331">
        <f t="shared" si="14"/>
        <v>1115663.1666666667</v>
      </c>
      <c r="K113" s="331">
        <f t="shared" si="14"/>
        <v>1115663.1666666667</v>
      </c>
      <c r="L113" s="331">
        <f t="shared" si="14"/>
        <v>1115663.1666666667</v>
      </c>
      <c r="M113" s="331">
        <f t="shared" si="14"/>
        <v>1115663.1666666667</v>
      </c>
      <c r="N113" s="331">
        <f t="shared" si="14"/>
        <v>1115663.1666666667</v>
      </c>
      <c r="O113" s="332">
        <f t="shared" si="13"/>
        <v>13387957.999999998</v>
      </c>
      <c r="Q113" s="525"/>
    </row>
    <row r="114" spans="1:20" ht="13.5" thickBot="1">
      <c r="A114" s="226">
        <v>9845400000</v>
      </c>
      <c r="B114" s="333" t="s">
        <v>117</v>
      </c>
      <c r="C114" s="334">
        <f t="shared" ref="C114:N114" si="15">SUM(C112:C113)</f>
        <v>1733424.3333333335</v>
      </c>
      <c r="D114" s="334">
        <f t="shared" si="15"/>
        <v>1733424.3333333335</v>
      </c>
      <c r="E114" s="334">
        <f t="shared" si="15"/>
        <v>1733424.3333333335</v>
      </c>
      <c r="F114" s="334">
        <f t="shared" si="15"/>
        <v>1733424.3333333335</v>
      </c>
      <c r="G114" s="334">
        <f t="shared" si="15"/>
        <v>1733424.3333333335</v>
      </c>
      <c r="H114" s="334">
        <f t="shared" si="15"/>
        <v>1733424.3333333335</v>
      </c>
      <c r="I114" s="334">
        <f t="shared" si="15"/>
        <v>1733424.3333333335</v>
      </c>
      <c r="J114" s="334">
        <f t="shared" si="15"/>
        <v>1733424.3333333335</v>
      </c>
      <c r="K114" s="334">
        <f t="shared" si="15"/>
        <v>1733424.3333333335</v>
      </c>
      <c r="L114" s="334">
        <f t="shared" si="15"/>
        <v>1733424.3333333335</v>
      </c>
      <c r="M114" s="334">
        <f t="shared" si="15"/>
        <v>1733424.3333333335</v>
      </c>
      <c r="N114" s="334">
        <f t="shared" si="15"/>
        <v>1733424.3333333335</v>
      </c>
      <c r="O114" s="334">
        <f t="shared" si="13"/>
        <v>20801092</v>
      </c>
      <c r="P114" s="708">
        <v>19327852</v>
      </c>
    </row>
    <row r="115" spans="1:20">
      <c r="B115" s="336"/>
      <c r="C115" s="337"/>
      <c r="D115" s="337"/>
      <c r="E115" s="337"/>
      <c r="F115" s="337"/>
      <c r="G115" s="337"/>
      <c r="H115" s="338"/>
      <c r="I115" s="338"/>
      <c r="J115" s="338"/>
      <c r="K115" s="338"/>
      <c r="L115" s="338"/>
      <c r="M115" s="338"/>
      <c r="N115" s="338"/>
      <c r="O115" s="332">
        <f t="shared" si="13"/>
        <v>0</v>
      </c>
      <c r="P115" s="708"/>
    </row>
    <row r="116" spans="1:20">
      <c r="A116" s="226">
        <v>9870000000</v>
      </c>
      <c r="B116" s="231" t="s">
        <v>66</v>
      </c>
      <c r="C116" s="330">
        <v>67.5</v>
      </c>
      <c r="D116" s="330">
        <v>57</v>
      </c>
      <c r="E116" s="330">
        <v>60</v>
      </c>
      <c r="F116" s="330">
        <v>10</v>
      </c>
      <c r="G116" s="330">
        <v>32</v>
      </c>
      <c r="H116" s="330">
        <v>194</v>
      </c>
      <c r="I116" s="330">
        <v>174</v>
      </c>
      <c r="J116" s="330">
        <v>41</v>
      </c>
      <c r="K116" s="330">
        <v>33</v>
      </c>
      <c r="L116" s="330">
        <v>80</v>
      </c>
      <c r="M116" s="330">
        <v>30</v>
      </c>
      <c r="N116" s="330">
        <v>73</v>
      </c>
      <c r="O116" s="332">
        <f t="shared" si="13"/>
        <v>851.5</v>
      </c>
      <c r="P116" s="708">
        <v>1500000</v>
      </c>
    </row>
    <row r="117" spans="1:20">
      <c r="A117" s="226">
        <v>9820100000</v>
      </c>
      <c r="B117" s="231" t="s">
        <v>219</v>
      </c>
      <c r="C117" s="330">
        <v>197</v>
      </c>
      <c r="D117" s="329">
        <v>225</v>
      </c>
      <c r="E117" s="329">
        <v>73</v>
      </c>
      <c r="F117" s="329">
        <v>76</v>
      </c>
      <c r="G117" s="329">
        <v>204</v>
      </c>
      <c r="H117" s="329">
        <v>73</v>
      </c>
      <c r="I117" s="329">
        <v>16.5</v>
      </c>
      <c r="J117" s="329">
        <v>212</v>
      </c>
      <c r="K117" s="329">
        <v>225</v>
      </c>
      <c r="L117" s="329">
        <v>377</v>
      </c>
      <c r="M117" s="329">
        <v>168</v>
      </c>
      <c r="N117" s="329">
        <v>166</v>
      </c>
      <c r="O117" s="332">
        <f t="shared" si="13"/>
        <v>2012.5</v>
      </c>
      <c r="P117" s="708">
        <v>20000</v>
      </c>
    </row>
    <row r="118" spans="1:20">
      <c r="B118" s="228" t="s">
        <v>220</v>
      </c>
      <c r="C118" s="330">
        <v>107</v>
      </c>
      <c r="D118" s="329">
        <v>155</v>
      </c>
      <c r="E118" s="329">
        <v>14</v>
      </c>
      <c r="F118" s="329">
        <v>8.5</v>
      </c>
      <c r="G118" s="329">
        <v>29</v>
      </c>
      <c r="H118" s="329">
        <v>9</v>
      </c>
      <c r="I118" s="329">
        <v>2</v>
      </c>
      <c r="J118" s="329">
        <v>51</v>
      </c>
      <c r="K118" s="329">
        <v>13</v>
      </c>
      <c r="L118" s="329"/>
      <c r="M118" s="329">
        <v>5.5</v>
      </c>
      <c r="N118" s="329">
        <v>16</v>
      </c>
      <c r="O118" s="332">
        <f t="shared" si="13"/>
        <v>410</v>
      </c>
      <c r="P118" s="708"/>
    </row>
    <row r="119" spans="1:20">
      <c r="A119" s="226">
        <v>7210400000</v>
      </c>
      <c r="B119" s="228" t="s">
        <v>120</v>
      </c>
      <c r="C119" s="330">
        <v>13880</v>
      </c>
      <c r="D119" s="330">
        <v>19760</v>
      </c>
      <c r="E119" s="330">
        <v>27710</v>
      </c>
      <c r="F119" s="330"/>
      <c r="G119" s="330"/>
      <c r="H119" s="330"/>
      <c r="I119" s="330"/>
      <c r="J119" s="330"/>
      <c r="K119" s="330"/>
      <c r="L119" s="330"/>
      <c r="M119" s="330"/>
      <c r="N119" s="330"/>
      <c r="O119" s="332">
        <f t="shared" si="13"/>
        <v>61350</v>
      </c>
      <c r="P119" s="708">
        <v>250000</v>
      </c>
    </row>
    <row r="120" spans="1:20">
      <c r="A120" s="226">
        <v>7909900000</v>
      </c>
      <c r="B120" s="228" t="s">
        <v>121</v>
      </c>
      <c r="C120" s="330">
        <v>-29950</v>
      </c>
      <c r="D120" s="329">
        <v>22565</v>
      </c>
      <c r="E120" s="329">
        <v>60775</v>
      </c>
      <c r="F120" s="329">
        <v>120905</v>
      </c>
      <c r="G120" s="329">
        <v>65800</v>
      </c>
      <c r="H120" s="329">
        <v>52277</v>
      </c>
      <c r="I120" s="329">
        <v>10300</v>
      </c>
      <c r="J120" s="329">
        <v>48325</v>
      </c>
      <c r="K120" s="329">
        <v>80950</v>
      </c>
      <c r="L120" s="329">
        <v>70975</v>
      </c>
      <c r="M120" s="329">
        <v>90684</v>
      </c>
      <c r="N120" s="329">
        <v>37700</v>
      </c>
      <c r="O120" s="332">
        <f t="shared" si="13"/>
        <v>631306</v>
      </c>
      <c r="P120" s="708">
        <v>800000</v>
      </c>
    </row>
    <row r="121" spans="1:20">
      <c r="A121" s="525" t="s">
        <v>122</v>
      </c>
      <c r="B121" s="228" t="s">
        <v>123</v>
      </c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2">
        <f t="shared" si="13"/>
        <v>0</v>
      </c>
      <c r="P121" s="708">
        <v>3193000</v>
      </c>
      <c r="Q121" s="708" t="s">
        <v>124</v>
      </c>
    </row>
    <row r="122" spans="1:20">
      <c r="B122" s="292"/>
      <c r="C122" s="292"/>
      <c r="D122" s="292"/>
      <c r="E122" s="292"/>
      <c r="F122" s="292"/>
      <c r="G122" s="292"/>
      <c r="H122" s="292"/>
      <c r="I122" s="292"/>
      <c r="J122" s="292"/>
      <c r="K122" s="292"/>
      <c r="L122" s="292"/>
      <c r="M122" s="292"/>
      <c r="N122" s="292"/>
      <c r="O122" s="332">
        <f t="shared" si="13"/>
        <v>0</v>
      </c>
      <c r="P122" s="708"/>
    </row>
    <row r="123" spans="1:20" ht="13.5" thickBot="1">
      <c r="B123" s="228" t="s">
        <v>125</v>
      </c>
      <c r="C123" s="330"/>
      <c r="D123" s="329"/>
      <c r="E123" s="329"/>
      <c r="F123" s="329"/>
      <c r="G123" s="329"/>
      <c r="H123" s="329"/>
      <c r="I123" s="329"/>
      <c r="J123" s="329"/>
      <c r="K123" s="329"/>
      <c r="L123" s="329"/>
      <c r="M123" s="329"/>
      <c r="N123" s="329"/>
      <c r="O123" s="332">
        <f t="shared" si="13"/>
        <v>0</v>
      </c>
      <c r="P123" s="708"/>
    </row>
    <row r="124" spans="1:20" ht="13.5" thickBot="1">
      <c r="B124" s="341" t="s">
        <v>126</v>
      </c>
      <c r="C124" s="342">
        <f t="shared" ref="C124:N124" si="16">SUM(C115:C123)</f>
        <v>-15698.5</v>
      </c>
      <c r="D124" s="342">
        <f t="shared" si="16"/>
        <v>42762</v>
      </c>
      <c r="E124" s="342">
        <f t="shared" si="16"/>
        <v>88632</v>
      </c>
      <c r="F124" s="342">
        <f t="shared" si="16"/>
        <v>120999.5</v>
      </c>
      <c r="G124" s="342">
        <f t="shared" si="16"/>
        <v>66065</v>
      </c>
      <c r="H124" s="342">
        <f t="shared" si="16"/>
        <v>52553</v>
      </c>
      <c r="I124" s="342">
        <f t="shared" si="16"/>
        <v>10492.5</v>
      </c>
      <c r="J124" s="342">
        <f t="shared" si="16"/>
        <v>48629</v>
      </c>
      <c r="K124" s="342">
        <f t="shared" si="16"/>
        <v>81221</v>
      </c>
      <c r="L124" s="342">
        <f t="shared" si="16"/>
        <v>71432</v>
      </c>
      <c r="M124" s="342">
        <f t="shared" si="16"/>
        <v>90887.5</v>
      </c>
      <c r="N124" s="342">
        <f t="shared" si="16"/>
        <v>37955</v>
      </c>
      <c r="O124" s="334">
        <f t="shared" si="13"/>
        <v>695930</v>
      </c>
      <c r="P124" s="708">
        <f>SUM(P114:P123)</f>
        <v>25090852</v>
      </c>
    </row>
    <row r="125" spans="1:20" ht="13.5" thickBot="1">
      <c r="B125" s="336" t="s">
        <v>127</v>
      </c>
      <c r="C125" s="673"/>
      <c r="D125" s="344"/>
      <c r="E125" s="344"/>
      <c r="F125" s="344"/>
      <c r="G125" s="344"/>
      <c r="H125" s="344"/>
      <c r="I125" s="344"/>
      <c r="J125" s="344"/>
      <c r="K125" s="344"/>
      <c r="L125" s="344"/>
      <c r="M125" s="344"/>
      <c r="N125" s="344"/>
      <c r="O125" s="332">
        <f t="shared" si="13"/>
        <v>0</v>
      </c>
      <c r="P125" s="584" t="s">
        <v>128</v>
      </c>
    </row>
    <row r="126" spans="1:20">
      <c r="B126" s="345" t="s">
        <v>129</v>
      </c>
      <c r="C126" s="346">
        <f t="shared" ref="C126:N126" si="17">SUM(C114,C124,C125)</f>
        <v>1717725.8333333335</v>
      </c>
      <c r="D126" s="346">
        <f t="shared" si="17"/>
        <v>1776186.3333333335</v>
      </c>
      <c r="E126" s="346">
        <f t="shared" si="17"/>
        <v>1822056.3333333335</v>
      </c>
      <c r="F126" s="346">
        <f t="shared" si="17"/>
        <v>1854423.8333333335</v>
      </c>
      <c r="G126" s="346">
        <f t="shared" si="17"/>
        <v>1799489.3333333335</v>
      </c>
      <c r="H126" s="346">
        <f t="shared" si="17"/>
        <v>1785977.3333333335</v>
      </c>
      <c r="I126" s="346">
        <f t="shared" si="17"/>
        <v>1743916.8333333335</v>
      </c>
      <c r="J126" s="346">
        <f t="shared" si="17"/>
        <v>1782053.3333333335</v>
      </c>
      <c r="K126" s="346">
        <f t="shared" si="17"/>
        <v>1814645.3333333335</v>
      </c>
      <c r="L126" s="346">
        <f t="shared" si="17"/>
        <v>1804856.3333333335</v>
      </c>
      <c r="M126" s="346">
        <f t="shared" si="17"/>
        <v>1824311.8333333335</v>
      </c>
      <c r="N126" s="346">
        <f t="shared" si="17"/>
        <v>1771379.3333333335</v>
      </c>
      <c r="O126" s="709">
        <f t="shared" si="13"/>
        <v>21497022</v>
      </c>
      <c r="P126" s="708"/>
    </row>
    <row r="127" spans="1:20" s="710" customFormat="1">
      <c r="A127" s="713" t="s">
        <v>130</v>
      </c>
      <c r="B127" s="711"/>
      <c r="C127" s="712"/>
      <c r="D127" s="712"/>
      <c r="E127" s="712"/>
      <c r="F127" s="712"/>
      <c r="G127" s="712"/>
      <c r="H127" s="712"/>
      <c r="I127" s="712"/>
      <c r="J127" s="712"/>
      <c r="K127" s="712"/>
      <c r="L127" s="712"/>
      <c r="M127" s="712"/>
      <c r="N127" s="712"/>
      <c r="O127" s="712"/>
    </row>
    <row r="128" spans="1:20">
      <c r="A128" s="314"/>
      <c r="B128" s="400" t="s">
        <v>131</v>
      </c>
      <c r="C128" s="329">
        <v>1726575</v>
      </c>
      <c r="D128" s="329">
        <v>1755792</v>
      </c>
      <c r="E128" s="329">
        <v>1660224</v>
      </c>
      <c r="F128" s="329">
        <v>2236982</v>
      </c>
      <c r="G128" s="329">
        <v>1820121</v>
      </c>
      <c r="H128" s="329">
        <v>1820121</v>
      </c>
      <c r="I128" s="329">
        <v>1820121</v>
      </c>
      <c r="J128" s="329">
        <v>1820121</v>
      </c>
      <c r="K128" s="329">
        <v>1820121</v>
      </c>
      <c r="L128" s="329">
        <v>1820121</v>
      </c>
      <c r="M128" s="329">
        <v>1820121</v>
      </c>
      <c r="N128" s="329">
        <v>1820121</v>
      </c>
      <c r="O128" s="329">
        <f>SUM(C128:N128)</f>
        <v>21940541</v>
      </c>
      <c r="P128" s="708">
        <v>22349016</v>
      </c>
      <c r="Q128" s="525">
        <f>25000*9.5*5</f>
        <v>1187500</v>
      </c>
      <c r="R128" s="504" t="s">
        <v>132</v>
      </c>
      <c r="S128" s="291"/>
      <c r="T128" s="291"/>
    </row>
    <row r="129" spans="1:17">
      <c r="A129" s="388">
        <v>2909900000</v>
      </c>
      <c r="B129" s="228" t="s">
        <v>133</v>
      </c>
      <c r="C129" s="329">
        <v>1443</v>
      </c>
      <c r="D129" s="329">
        <v>6433</v>
      </c>
      <c r="E129" s="329">
        <v>7820</v>
      </c>
      <c r="F129" s="329"/>
      <c r="G129" s="329"/>
      <c r="H129" s="329"/>
      <c r="I129" s="329"/>
      <c r="J129" s="329"/>
      <c r="K129" s="329"/>
      <c r="L129" s="329"/>
      <c r="M129" s="329"/>
      <c r="N129" s="329"/>
      <c r="O129" s="330">
        <f t="shared" si="13"/>
        <v>15696</v>
      </c>
      <c r="P129" s="708">
        <v>90000</v>
      </c>
    </row>
    <row r="130" spans="1:17">
      <c r="A130" s="388">
        <v>2910300000</v>
      </c>
      <c r="B130" s="228" t="s">
        <v>134</v>
      </c>
      <c r="C130" s="329"/>
      <c r="D130" s="329"/>
      <c r="E130" s="329">
        <v>2448</v>
      </c>
      <c r="F130" s="329"/>
      <c r="G130" s="329"/>
      <c r="H130" s="329"/>
      <c r="I130" s="329"/>
      <c r="J130" s="329"/>
      <c r="K130" s="329"/>
      <c r="L130" s="329"/>
      <c r="M130" s="329"/>
      <c r="N130" s="329"/>
      <c r="O130" s="330">
        <f t="shared" si="13"/>
        <v>2448</v>
      </c>
      <c r="P130" s="708">
        <v>5000</v>
      </c>
    </row>
    <row r="131" spans="1:17">
      <c r="A131" s="388">
        <v>2911800000</v>
      </c>
      <c r="B131" s="228" t="s">
        <v>135</v>
      </c>
      <c r="C131" s="329">
        <v>4703</v>
      </c>
      <c r="D131" s="329">
        <v>3524</v>
      </c>
      <c r="E131" s="329">
        <v>-13900</v>
      </c>
      <c r="F131" s="329"/>
      <c r="G131" s="329"/>
      <c r="H131" s="329"/>
      <c r="I131" s="329"/>
      <c r="J131" s="329"/>
      <c r="K131" s="329"/>
      <c r="L131" s="329"/>
      <c r="M131" s="329"/>
      <c r="N131" s="329"/>
      <c r="O131" s="330">
        <f t="shared" si="13"/>
        <v>-5673</v>
      </c>
      <c r="P131" s="814">
        <v>300000</v>
      </c>
    </row>
    <row r="132" spans="1:17">
      <c r="A132" s="388">
        <v>4009900000</v>
      </c>
      <c r="B132" s="228" t="s">
        <v>136</v>
      </c>
      <c r="C132" s="329">
        <v>97</v>
      </c>
      <c r="D132" s="329">
        <v>1058</v>
      </c>
      <c r="E132" s="329">
        <v>13207</v>
      </c>
      <c r="F132" s="329"/>
      <c r="G132" s="329"/>
      <c r="H132" s="329"/>
      <c r="I132" s="329"/>
      <c r="J132" s="329"/>
      <c r="K132" s="329"/>
      <c r="L132" s="329"/>
      <c r="M132" s="329"/>
      <c r="N132" s="329"/>
      <c r="O132" s="330">
        <f t="shared" si="13"/>
        <v>14362</v>
      </c>
      <c r="P132" s="708">
        <v>15000</v>
      </c>
    </row>
    <row r="133" spans="1:17">
      <c r="A133" s="388">
        <v>9820000000</v>
      </c>
      <c r="B133" s="228" t="s">
        <v>137</v>
      </c>
      <c r="C133" s="329"/>
      <c r="D133" s="329">
        <v>4304</v>
      </c>
      <c r="E133" s="329">
        <v>2592</v>
      </c>
      <c r="F133" s="329"/>
      <c r="G133" s="329"/>
      <c r="H133" s="329"/>
      <c r="I133" s="329"/>
      <c r="J133" s="329"/>
      <c r="K133" s="329"/>
      <c r="L133" s="329"/>
      <c r="M133" s="329"/>
      <c r="N133" s="329"/>
      <c r="O133" s="330">
        <f t="shared" si="13"/>
        <v>6896</v>
      </c>
      <c r="P133" s="708">
        <v>50000</v>
      </c>
    </row>
    <row r="134" spans="1:17">
      <c r="A134" s="388">
        <v>4013600000</v>
      </c>
      <c r="B134" s="228" t="s">
        <v>138</v>
      </c>
      <c r="C134" s="329">
        <v>2700</v>
      </c>
      <c r="D134" s="329"/>
      <c r="E134" s="329"/>
      <c r="F134" s="329"/>
      <c r="G134" s="329"/>
      <c r="H134" s="329"/>
      <c r="I134" s="329"/>
      <c r="J134" s="329"/>
      <c r="K134" s="329"/>
      <c r="L134" s="329"/>
      <c r="M134" s="329"/>
      <c r="N134" s="329"/>
      <c r="O134" s="330">
        <f t="shared" si="13"/>
        <v>2700</v>
      </c>
      <c r="P134" s="708">
        <v>3000</v>
      </c>
      <c r="Q134" s="525"/>
    </row>
    <row r="135" spans="1:17">
      <c r="A135" s="388">
        <v>4909900000</v>
      </c>
      <c r="B135" s="228" t="s">
        <v>139</v>
      </c>
      <c r="C135" s="329">
        <v>25893</v>
      </c>
      <c r="D135" s="329">
        <v>1266</v>
      </c>
      <c r="E135" s="329">
        <v>18307</v>
      </c>
      <c r="F135" s="329"/>
      <c r="G135" s="329"/>
      <c r="H135" s="329"/>
      <c r="I135" s="329"/>
      <c r="J135" s="329"/>
      <c r="K135" s="329"/>
      <c r="L135" s="329"/>
      <c r="M135" s="329"/>
      <c r="N135" s="329"/>
      <c r="O135" s="330">
        <f t="shared" si="13"/>
        <v>45466</v>
      </c>
      <c r="P135" s="708">
        <v>225000</v>
      </c>
    </row>
    <row r="136" spans="1:17">
      <c r="A136" s="388">
        <v>4011400000</v>
      </c>
      <c r="B136" s="228" t="s">
        <v>140</v>
      </c>
      <c r="C136" s="329"/>
      <c r="D136" s="329"/>
      <c r="E136" s="329"/>
      <c r="F136" s="329"/>
      <c r="G136" s="329"/>
      <c r="H136" s="329"/>
      <c r="I136" s="329"/>
      <c r="J136" s="329"/>
      <c r="K136" s="329"/>
      <c r="L136" s="329"/>
      <c r="M136" s="329"/>
      <c r="N136" s="329"/>
      <c r="O136" s="330">
        <f t="shared" si="13"/>
        <v>0</v>
      </c>
      <c r="P136" s="708">
        <v>2000</v>
      </c>
    </row>
    <row r="137" spans="1:17">
      <c r="A137" s="388">
        <v>9845500000</v>
      </c>
      <c r="B137" s="228" t="s">
        <v>141</v>
      </c>
      <c r="C137" s="329"/>
      <c r="D137" s="329">
        <v>4509</v>
      </c>
      <c r="E137" s="329">
        <v>7792</v>
      </c>
      <c r="F137" s="329"/>
      <c r="G137" s="329"/>
      <c r="H137" s="329"/>
      <c r="I137" s="329"/>
      <c r="J137" s="329"/>
      <c r="K137" s="329"/>
      <c r="L137" s="329"/>
      <c r="M137" s="329"/>
      <c r="N137" s="329"/>
      <c r="O137" s="330">
        <f t="shared" si="13"/>
        <v>12301</v>
      </c>
      <c r="P137" s="708">
        <v>70000</v>
      </c>
    </row>
    <row r="138" spans="1:17">
      <c r="A138" s="813" t="s">
        <v>142</v>
      </c>
      <c r="B138" s="228" t="s">
        <v>143</v>
      </c>
      <c r="C138" s="329">
        <v>20560</v>
      </c>
      <c r="D138" s="329">
        <v>15800</v>
      </c>
      <c r="E138" s="329">
        <v>15900</v>
      </c>
      <c r="F138" s="329">
        <v>0</v>
      </c>
      <c r="G138" s="329">
        <v>9600</v>
      </c>
      <c r="H138" s="329">
        <v>45000</v>
      </c>
      <c r="I138" s="329">
        <v>57900</v>
      </c>
      <c r="J138" s="329">
        <v>12000</v>
      </c>
      <c r="K138" s="329">
        <v>7800</v>
      </c>
      <c r="L138" s="329">
        <v>16950</v>
      </c>
      <c r="M138" s="329"/>
      <c r="N138" s="329"/>
      <c r="O138" s="330">
        <f t="shared" si="13"/>
        <v>201510</v>
      </c>
      <c r="P138" s="708"/>
    </row>
    <row r="139" spans="1:17">
      <c r="A139" s="813" t="s">
        <v>144</v>
      </c>
      <c r="B139" s="228" t="s">
        <v>143</v>
      </c>
      <c r="C139" s="329">
        <v>3500</v>
      </c>
      <c r="D139" s="329"/>
      <c r="E139" s="329"/>
      <c r="F139" s="329"/>
      <c r="G139" s="329"/>
      <c r="H139" s="329"/>
      <c r="I139" s="329"/>
      <c r="J139" s="329"/>
      <c r="K139" s="329"/>
      <c r="L139" s="329">
        <v>2625</v>
      </c>
      <c r="M139" s="329"/>
      <c r="N139" s="329"/>
      <c r="O139" s="330">
        <f t="shared" si="13"/>
        <v>6125</v>
      </c>
      <c r="P139" s="708"/>
    </row>
    <row r="140" spans="1:17">
      <c r="A140" s="388"/>
      <c r="B140" s="228"/>
      <c r="C140" s="329"/>
      <c r="D140" s="329"/>
      <c r="E140" s="329"/>
      <c r="F140" s="329"/>
      <c r="G140" s="329"/>
      <c r="H140" s="329"/>
      <c r="I140" s="329"/>
      <c r="J140" s="329"/>
      <c r="K140" s="329"/>
      <c r="L140" s="329"/>
      <c r="M140" s="329"/>
      <c r="N140" s="329"/>
      <c r="O140" s="330">
        <f t="shared" si="13"/>
        <v>0</v>
      </c>
      <c r="P140" s="708"/>
    </row>
    <row r="141" spans="1:17">
      <c r="A141" s="388"/>
      <c r="B141" s="292"/>
      <c r="C141" s="292"/>
      <c r="D141" s="292"/>
      <c r="E141" s="292"/>
      <c r="F141" s="292"/>
      <c r="G141" s="292"/>
      <c r="H141" s="292"/>
      <c r="I141" s="292"/>
      <c r="J141" s="292"/>
      <c r="K141" s="292"/>
      <c r="L141" s="292"/>
      <c r="M141" s="292"/>
      <c r="N141" s="292"/>
      <c r="O141" s="330">
        <f t="shared" si="13"/>
        <v>0</v>
      </c>
      <c r="P141" s="708"/>
    </row>
    <row r="142" spans="1:17" ht="13.5" thickBot="1">
      <c r="A142" s="388"/>
      <c r="B142" s="345" t="s">
        <v>145</v>
      </c>
      <c r="C142" s="346">
        <f>SUM(C128:C137)</f>
        <v>1761411</v>
      </c>
      <c r="D142" s="346">
        <f t="shared" ref="D142:N142" si="18">SUM(D128:D137)</f>
        <v>1776886</v>
      </c>
      <c r="E142" s="346">
        <f>SUM(E128:E138)</f>
        <v>1714390</v>
      </c>
      <c r="F142" s="346">
        <f t="shared" si="18"/>
        <v>2236982</v>
      </c>
      <c r="G142" s="346">
        <f t="shared" si="18"/>
        <v>1820121</v>
      </c>
      <c r="H142" s="346">
        <f t="shared" si="18"/>
        <v>1820121</v>
      </c>
      <c r="I142" s="346">
        <f t="shared" si="18"/>
        <v>1820121</v>
      </c>
      <c r="J142" s="346">
        <f t="shared" si="18"/>
        <v>1820121</v>
      </c>
      <c r="K142" s="346">
        <f t="shared" si="18"/>
        <v>1820121</v>
      </c>
      <c r="L142" s="346">
        <f t="shared" si="18"/>
        <v>1820121</v>
      </c>
      <c r="M142" s="346">
        <f t="shared" si="18"/>
        <v>1820121</v>
      </c>
      <c r="N142" s="346">
        <f t="shared" si="18"/>
        <v>1820121</v>
      </c>
      <c r="O142" s="346">
        <f>SUM(C142:N142)</f>
        <v>22050637</v>
      </c>
      <c r="P142" s="708">
        <f>SUM(P128:P141)</f>
        <v>23109016</v>
      </c>
    </row>
    <row r="143" spans="1:17" ht="13.5" thickBot="1">
      <c r="B143" s="350" t="s">
        <v>146</v>
      </c>
      <c r="C143" s="351">
        <f>C126-C142</f>
        <v>-43685.166666666511</v>
      </c>
      <c r="D143" s="351">
        <f t="shared" ref="D143:N143" si="19">D126-D142</f>
        <v>-699.66666666651145</v>
      </c>
      <c r="E143" s="351">
        <f t="shared" si="19"/>
        <v>107666.33333333349</v>
      </c>
      <c r="F143" s="351">
        <f t="shared" si="19"/>
        <v>-382558.16666666651</v>
      </c>
      <c r="G143" s="351">
        <f t="shared" si="19"/>
        <v>-20631.666666666511</v>
      </c>
      <c r="H143" s="351">
        <f t="shared" si="19"/>
        <v>-34143.666666666511</v>
      </c>
      <c r="I143" s="351">
        <f t="shared" si="19"/>
        <v>-76204.166666666511</v>
      </c>
      <c r="J143" s="351">
        <f t="shared" si="19"/>
        <v>-38067.666666666511</v>
      </c>
      <c r="K143" s="351">
        <f t="shared" si="19"/>
        <v>-5475.6666666665114</v>
      </c>
      <c r="L143" s="351">
        <f t="shared" si="19"/>
        <v>-15264.666666666511</v>
      </c>
      <c r="M143" s="351">
        <f t="shared" si="19"/>
        <v>4190.8333333334886</v>
      </c>
      <c r="N143" s="351">
        <f t="shared" si="19"/>
        <v>-48741.666666666511</v>
      </c>
      <c r="O143" s="351">
        <f t="shared" si="13"/>
        <v>-553614.99999999814</v>
      </c>
      <c r="P143" s="291">
        <f>+P124-P142</f>
        <v>1981836</v>
      </c>
    </row>
    <row r="144" spans="1:17" ht="13.5" thickBot="1">
      <c r="A144" s="352"/>
      <c r="B144" s="353"/>
      <c r="C144" s="353"/>
      <c r="D144" s="353"/>
      <c r="E144" s="353"/>
      <c r="F144" s="353"/>
      <c r="G144" s="353"/>
      <c r="H144" s="353"/>
      <c r="I144" s="353"/>
      <c r="J144" s="353"/>
      <c r="K144" s="353"/>
      <c r="L144" s="353"/>
      <c r="M144" s="353"/>
      <c r="N144" s="353"/>
    </row>
    <row r="145" spans="1:14" ht="20.25">
      <c r="A145" s="825" t="s">
        <v>221</v>
      </c>
      <c r="B145" s="825"/>
      <c r="C145" s="825"/>
      <c r="D145" s="825"/>
      <c r="E145" s="825"/>
      <c r="F145" s="825"/>
      <c r="G145" s="825"/>
      <c r="H145" s="825"/>
      <c r="I145" s="825"/>
      <c r="J145" s="825"/>
      <c r="K145" s="825"/>
      <c r="L145" s="825"/>
      <c r="M145" s="825"/>
      <c r="N145" s="825"/>
    </row>
    <row r="146" spans="1:14">
      <c r="A146" s="227"/>
      <c r="B146" s="227"/>
      <c r="C146" s="227"/>
      <c r="D146" s="227"/>
      <c r="E146" s="227"/>
      <c r="F146" s="227"/>
      <c r="G146" s="227"/>
      <c r="H146" s="227"/>
      <c r="I146" s="227"/>
      <c r="J146" s="227"/>
      <c r="K146" s="227"/>
      <c r="L146" s="227"/>
      <c r="M146" s="227"/>
    </row>
    <row r="147" spans="1:14">
      <c r="A147" s="228"/>
      <c r="B147" s="229" t="s">
        <v>44</v>
      </c>
      <c r="C147" s="229" t="s">
        <v>45</v>
      </c>
      <c r="D147" s="230" t="s">
        <v>46</v>
      </c>
      <c r="E147" s="229" t="s">
        <v>47</v>
      </c>
      <c r="F147" s="229" t="s">
        <v>48</v>
      </c>
      <c r="G147" s="230" t="s">
        <v>49</v>
      </c>
      <c r="H147" s="229" t="s">
        <v>38</v>
      </c>
      <c r="I147" s="229" t="s">
        <v>39</v>
      </c>
      <c r="J147" s="229" t="s">
        <v>40</v>
      </c>
      <c r="K147" s="229" t="s">
        <v>41</v>
      </c>
      <c r="L147" s="229" t="s">
        <v>42</v>
      </c>
      <c r="M147" s="229" t="s">
        <v>43</v>
      </c>
      <c r="N147" s="228" t="s">
        <v>64</v>
      </c>
    </row>
    <row r="148" spans="1:14">
      <c r="A148" s="231" t="s">
        <v>65</v>
      </c>
      <c r="B148" s="620">
        <v>2565</v>
      </c>
      <c r="C148" s="620">
        <v>2565</v>
      </c>
      <c r="D148" s="620">
        <v>2565</v>
      </c>
      <c r="E148" s="620">
        <v>2565</v>
      </c>
      <c r="F148" s="620">
        <v>2565</v>
      </c>
      <c r="G148" s="620">
        <v>2565</v>
      </c>
      <c r="H148" s="620">
        <v>2565</v>
      </c>
      <c r="I148" s="620">
        <v>2565</v>
      </c>
      <c r="J148" s="620">
        <v>2565</v>
      </c>
      <c r="K148" s="620">
        <v>2565</v>
      </c>
      <c r="L148" s="620">
        <v>2565</v>
      </c>
      <c r="M148" s="620">
        <v>2565</v>
      </c>
      <c r="N148" s="620">
        <f t="shared" ref="N148:N158" si="20">SUM(B148:M148)</f>
        <v>30780</v>
      </c>
    </row>
    <row r="149" spans="1:14">
      <c r="A149" s="231" t="s">
        <v>66</v>
      </c>
      <c r="B149" s="620"/>
      <c r="C149" s="620"/>
      <c r="D149" s="620"/>
      <c r="E149" s="620"/>
      <c r="F149" s="620"/>
      <c r="G149" s="621"/>
      <c r="H149" s="620"/>
      <c r="I149" s="620"/>
      <c r="J149" s="622"/>
      <c r="K149" s="620"/>
      <c r="L149" s="620"/>
      <c r="M149" s="620"/>
      <c r="N149" s="620">
        <f t="shared" si="20"/>
        <v>0</v>
      </c>
    </row>
    <row r="150" spans="1:14">
      <c r="A150" s="231" t="s">
        <v>222</v>
      </c>
      <c r="B150" s="620">
        <v>116</v>
      </c>
      <c r="C150" s="620">
        <v>45</v>
      </c>
      <c r="D150" s="620">
        <v>203.5</v>
      </c>
      <c r="E150" s="620">
        <v>145</v>
      </c>
      <c r="F150" s="620">
        <v>165</v>
      </c>
      <c r="G150" s="621">
        <v>78</v>
      </c>
      <c r="H150" s="620">
        <v>13</v>
      </c>
      <c r="I150" s="620">
        <v>273</v>
      </c>
      <c r="J150" s="620">
        <v>253</v>
      </c>
      <c r="K150" s="620">
        <v>244</v>
      </c>
      <c r="L150" s="620">
        <v>286</v>
      </c>
      <c r="M150" s="620">
        <v>184</v>
      </c>
      <c r="N150" s="620">
        <f t="shared" si="20"/>
        <v>2005.5</v>
      </c>
    </row>
    <row r="151" spans="1:14">
      <c r="A151" s="231" t="s">
        <v>223</v>
      </c>
      <c r="B151" s="620">
        <v>96.5</v>
      </c>
      <c r="C151" s="620">
        <v>110</v>
      </c>
      <c r="D151" s="620">
        <v>79.5</v>
      </c>
      <c r="E151" s="620">
        <v>52</v>
      </c>
      <c r="F151" s="620">
        <v>106</v>
      </c>
      <c r="G151" s="621">
        <v>46</v>
      </c>
      <c r="H151" s="620">
        <v>10</v>
      </c>
      <c r="I151" s="620">
        <v>55</v>
      </c>
      <c r="J151" s="620">
        <v>90</v>
      </c>
      <c r="K151" s="620">
        <v>73</v>
      </c>
      <c r="L151" s="620">
        <v>86</v>
      </c>
      <c r="M151" s="620">
        <v>52</v>
      </c>
      <c r="N151" s="620">
        <f t="shared" si="20"/>
        <v>856</v>
      </c>
    </row>
    <row r="152" spans="1:14">
      <c r="A152" s="231" t="s">
        <v>70</v>
      </c>
      <c r="B152" s="620"/>
      <c r="C152" s="620">
        <v>43</v>
      </c>
      <c r="D152" s="620"/>
      <c r="E152" s="620"/>
      <c r="F152" s="620"/>
      <c r="G152" s="621"/>
      <c r="H152" s="620"/>
      <c r="I152" s="620"/>
      <c r="J152" s="620"/>
      <c r="K152" s="620"/>
      <c r="L152" s="620"/>
      <c r="M152" s="620"/>
      <c r="N152" s="620">
        <f t="shared" si="20"/>
        <v>43</v>
      </c>
    </row>
    <row r="153" spans="1:14">
      <c r="A153" s="231" t="s">
        <v>71</v>
      </c>
      <c r="B153" s="620">
        <v>192.75</v>
      </c>
      <c r="C153" s="620">
        <v>216.25</v>
      </c>
      <c r="D153" s="620"/>
      <c r="E153" s="620"/>
      <c r="F153" s="620"/>
      <c r="G153" s="621"/>
      <c r="H153" s="620"/>
      <c r="I153" s="620"/>
      <c r="J153" s="620"/>
      <c r="K153" s="620"/>
      <c r="L153" s="620"/>
      <c r="M153" s="620"/>
      <c r="N153" s="620">
        <f t="shared" si="20"/>
        <v>409</v>
      </c>
    </row>
    <row r="154" spans="1:14">
      <c r="A154" s="231" t="s">
        <v>72</v>
      </c>
      <c r="B154" s="620">
        <v>7.75</v>
      </c>
      <c r="C154" s="620"/>
      <c r="D154" s="620"/>
      <c r="E154" s="620"/>
      <c r="F154" s="620"/>
      <c r="G154" s="621"/>
      <c r="H154" s="620"/>
      <c r="I154" s="620"/>
      <c r="J154" s="620"/>
      <c r="K154" s="620"/>
      <c r="L154" s="620"/>
      <c r="M154" s="620"/>
      <c r="N154" s="620">
        <f t="shared" si="20"/>
        <v>7.75</v>
      </c>
    </row>
    <row r="155" spans="1:14">
      <c r="A155" s="231" t="s">
        <v>73</v>
      </c>
      <c r="B155" s="620">
        <v>18.75</v>
      </c>
      <c r="C155" s="620">
        <v>90</v>
      </c>
      <c r="D155" s="620"/>
      <c r="E155" s="620"/>
      <c r="F155" s="620"/>
      <c r="G155" s="621"/>
      <c r="H155" s="620"/>
      <c r="I155" s="620"/>
      <c r="J155" s="620"/>
      <c r="K155" s="620"/>
      <c r="L155" s="620"/>
      <c r="M155" s="620"/>
      <c r="N155" s="620">
        <f t="shared" si="20"/>
        <v>108.75</v>
      </c>
    </row>
    <row r="156" spans="1:14">
      <c r="A156" s="231" t="s">
        <v>74</v>
      </c>
      <c r="B156" s="620"/>
      <c r="C156" s="620"/>
      <c r="D156" s="620"/>
      <c r="E156" s="620"/>
      <c r="F156" s="620"/>
      <c r="G156" s="621"/>
      <c r="H156" s="620"/>
      <c r="I156" s="620"/>
      <c r="J156" s="620"/>
      <c r="K156" s="620"/>
      <c r="L156" s="620"/>
      <c r="M156" s="620"/>
      <c r="N156" s="620">
        <f t="shared" si="20"/>
        <v>0</v>
      </c>
    </row>
    <row r="157" spans="1:14">
      <c r="A157" s="231" t="s">
        <v>75</v>
      </c>
      <c r="B157" s="620"/>
      <c r="C157" s="620"/>
      <c r="D157" s="620"/>
      <c r="E157" s="620"/>
      <c r="F157" s="620"/>
      <c r="G157" s="621"/>
      <c r="H157" s="620"/>
      <c r="I157" s="620"/>
      <c r="J157" s="620"/>
      <c r="K157" s="620"/>
      <c r="L157" s="620"/>
      <c r="M157" s="620"/>
      <c r="N157" s="620">
        <f t="shared" si="20"/>
        <v>0</v>
      </c>
    </row>
    <row r="158" spans="1:14" ht="13.5" thickBot="1">
      <c r="A158" s="235" t="s">
        <v>76</v>
      </c>
      <c r="B158" s="623">
        <v>6</v>
      </c>
      <c r="C158" s="623"/>
      <c r="D158" s="623"/>
      <c r="E158" s="623"/>
      <c r="F158" s="623"/>
      <c r="G158" s="624"/>
      <c r="H158" s="623"/>
      <c r="I158" s="623"/>
      <c r="J158" s="623"/>
      <c r="K158" s="623"/>
      <c r="L158" s="623"/>
      <c r="M158" s="623"/>
      <c r="N158" s="625">
        <f t="shared" si="20"/>
        <v>6</v>
      </c>
    </row>
    <row r="159" spans="1:14" ht="13.5" thickBot="1">
      <c r="A159" s="239" t="s">
        <v>77</v>
      </c>
      <c r="B159" s="626">
        <f>SUM(B148:B158)</f>
        <v>3002.75</v>
      </c>
      <c r="C159" s="626">
        <f t="shared" ref="C159:N159" si="21">SUM(C148:C158)</f>
        <v>3069.25</v>
      </c>
      <c r="D159" s="626">
        <f t="shared" si="21"/>
        <v>2848</v>
      </c>
      <c r="E159" s="626">
        <f t="shared" si="21"/>
        <v>2762</v>
      </c>
      <c r="F159" s="626">
        <f t="shared" si="21"/>
        <v>2836</v>
      </c>
      <c r="G159" s="626">
        <f t="shared" si="21"/>
        <v>2689</v>
      </c>
      <c r="H159" s="626">
        <f t="shared" si="21"/>
        <v>2588</v>
      </c>
      <c r="I159" s="626">
        <f t="shared" si="21"/>
        <v>2893</v>
      </c>
      <c r="J159" s="626">
        <f t="shared" si="21"/>
        <v>2908</v>
      </c>
      <c r="K159" s="626">
        <f t="shared" si="21"/>
        <v>2882</v>
      </c>
      <c r="L159" s="626">
        <f t="shared" si="21"/>
        <v>2937</v>
      </c>
      <c r="M159" s="626">
        <f t="shared" si="21"/>
        <v>2801</v>
      </c>
      <c r="N159" s="632">
        <f t="shared" si="21"/>
        <v>34216</v>
      </c>
    </row>
    <row r="160" spans="1:14">
      <c r="A160" s="243"/>
      <c r="B160" s="261"/>
      <c r="C160" s="261"/>
      <c r="D160" s="261"/>
      <c r="E160" s="261"/>
      <c r="F160" s="261"/>
      <c r="G160" s="261"/>
      <c r="H160" s="261"/>
      <c r="I160" s="261"/>
      <c r="J160" s="261"/>
      <c r="K160" s="261"/>
      <c r="L160" s="261"/>
      <c r="M160" s="261"/>
      <c r="N160" s="261"/>
    </row>
    <row r="161" spans="1:14">
      <c r="A161" s="243"/>
      <c r="B161" s="261"/>
      <c r="C161" s="261"/>
      <c r="D161" s="261"/>
      <c r="E161" s="261"/>
      <c r="F161" s="261"/>
      <c r="G161" s="261"/>
      <c r="H161" s="261"/>
      <c r="I161" s="261"/>
      <c r="J161" s="261"/>
      <c r="K161" s="261"/>
      <c r="L161" s="261"/>
      <c r="M161" s="261"/>
      <c r="N161" s="629" t="s">
        <v>78</v>
      </c>
    </row>
    <row r="162" spans="1:14">
      <c r="A162" s="231" t="s">
        <v>79</v>
      </c>
      <c r="B162" s="620">
        <v>0</v>
      </c>
      <c r="C162" s="620">
        <f t="shared" ref="C162:M162" si="22">SUM(C149*100/C159)</f>
        <v>0</v>
      </c>
      <c r="D162" s="620">
        <f t="shared" si="22"/>
        <v>0</v>
      </c>
      <c r="E162" s="620">
        <f t="shared" si="22"/>
        <v>0</v>
      </c>
      <c r="F162" s="620">
        <f t="shared" si="22"/>
        <v>0</v>
      </c>
      <c r="G162" s="620">
        <f t="shared" si="22"/>
        <v>0</v>
      </c>
      <c r="H162" s="620">
        <f t="shared" si="22"/>
        <v>0</v>
      </c>
      <c r="I162" s="620">
        <f t="shared" si="22"/>
        <v>0</v>
      </c>
      <c r="J162" s="620">
        <f t="shared" si="22"/>
        <v>0</v>
      </c>
      <c r="K162" s="620">
        <f t="shared" si="22"/>
        <v>0</v>
      </c>
      <c r="L162" s="620">
        <f t="shared" si="22"/>
        <v>0</v>
      </c>
      <c r="M162" s="620">
        <f t="shared" si="22"/>
        <v>0</v>
      </c>
      <c r="N162" s="630">
        <f>SUM(B162:M162)/12</f>
        <v>0</v>
      </c>
    </row>
    <row r="163" spans="1:14">
      <c r="A163" s="243"/>
      <c r="B163" s="261"/>
      <c r="C163" s="261"/>
      <c r="D163" s="261"/>
      <c r="E163" s="261"/>
      <c r="F163" s="261"/>
      <c r="G163" s="261"/>
      <c r="H163" s="261"/>
      <c r="I163" s="261"/>
      <c r="J163" s="261"/>
      <c r="K163" s="261"/>
      <c r="L163" s="261"/>
      <c r="M163" s="261"/>
      <c r="N163" s="261"/>
    </row>
    <row r="164" spans="1:14">
      <c r="A164" s="231" t="s">
        <v>80</v>
      </c>
      <c r="B164" s="620">
        <f t="shared" ref="B164:M164" si="23">SUM(B153*100/B159)</f>
        <v>6.4191158105070354</v>
      </c>
      <c r="C164" s="620">
        <f t="shared" si="23"/>
        <v>7.0456952024110127</v>
      </c>
      <c r="D164" s="620">
        <f t="shared" si="23"/>
        <v>0</v>
      </c>
      <c r="E164" s="620">
        <f t="shared" si="23"/>
        <v>0</v>
      </c>
      <c r="F164" s="620">
        <f t="shared" si="23"/>
        <v>0</v>
      </c>
      <c r="G164" s="620">
        <f t="shared" si="23"/>
        <v>0</v>
      </c>
      <c r="H164" s="620">
        <f t="shared" si="23"/>
        <v>0</v>
      </c>
      <c r="I164" s="620">
        <f t="shared" si="23"/>
        <v>0</v>
      </c>
      <c r="J164" s="620">
        <f t="shared" si="23"/>
        <v>0</v>
      </c>
      <c r="K164" s="620">
        <f t="shared" si="23"/>
        <v>0</v>
      </c>
      <c r="L164" s="620">
        <f t="shared" si="23"/>
        <v>0</v>
      </c>
      <c r="M164" s="620">
        <f t="shared" si="23"/>
        <v>0</v>
      </c>
      <c r="N164" s="630">
        <f>SUM(B164:M164)/12</f>
        <v>1.1220675844098373</v>
      </c>
    </row>
    <row r="165" spans="1:14" ht="13.5" thickBot="1">
      <c r="A165" s="247" t="s">
        <v>81</v>
      </c>
      <c r="B165" s="625">
        <f t="shared" ref="B165:M165" si="24">SUM(B154*100/B159)</f>
        <v>0.25809674465073684</v>
      </c>
      <c r="C165" s="625">
        <f t="shared" si="24"/>
        <v>0</v>
      </c>
      <c r="D165" s="625">
        <f t="shared" si="24"/>
        <v>0</v>
      </c>
      <c r="E165" s="625">
        <f t="shared" si="24"/>
        <v>0</v>
      </c>
      <c r="F165" s="625">
        <f t="shared" si="24"/>
        <v>0</v>
      </c>
      <c r="G165" s="625">
        <f t="shared" si="24"/>
        <v>0</v>
      </c>
      <c r="H165" s="625">
        <f t="shared" si="24"/>
        <v>0</v>
      </c>
      <c r="I165" s="625">
        <f t="shared" si="24"/>
        <v>0</v>
      </c>
      <c r="J165" s="625">
        <f t="shared" si="24"/>
        <v>0</v>
      </c>
      <c r="K165" s="625">
        <f t="shared" si="24"/>
        <v>0</v>
      </c>
      <c r="L165" s="625">
        <f t="shared" si="24"/>
        <v>0</v>
      </c>
      <c r="M165" s="625">
        <f t="shared" si="24"/>
        <v>0</v>
      </c>
      <c r="N165" s="631">
        <f>SUM(B165:M165)/12</f>
        <v>2.1508062054228071E-2</v>
      </c>
    </row>
    <row r="166" spans="1:14" ht="13.5" thickBot="1">
      <c r="A166" s="249" t="s">
        <v>82</v>
      </c>
      <c r="B166" s="632">
        <f t="shared" ref="B166:M166" si="25">SUM(B164:B164)</f>
        <v>6.4191158105070354</v>
      </c>
      <c r="C166" s="632">
        <f t="shared" si="25"/>
        <v>7.0456952024110127</v>
      </c>
      <c r="D166" s="632">
        <f t="shared" si="25"/>
        <v>0</v>
      </c>
      <c r="E166" s="632">
        <f t="shared" si="25"/>
        <v>0</v>
      </c>
      <c r="F166" s="632">
        <f t="shared" si="25"/>
        <v>0</v>
      </c>
      <c r="G166" s="632">
        <f t="shared" si="25"/>
        <v>0</v>
      </c>
      <c r="H166" s="632">
        <f t="shared" si="25"/>
        <v>0</v>
      </c>
      <c r="I166" s="632">
        <f t="shared" si="25"/>
        <v>0</v>
      </c>
      <c r="J166" s="632">
        <f t="shared" si="25"/>
        <v>0</v>
      </c>
      <c r="K166" s="632">
        <f t="shared" si="25"/>
        <v>0</v>
      </c>
      <c r="L166" s="632">
        <f t="shared" si="25"/>
        <v>0</v>
      </c>
      <c r="M166" s="632">
        <f t="shared" si="25"/>
        <v>0</v>
      </c>
      <c r="N166" s="633">
        <f>SUM(N164:N165)</f>
        <v>1.1435756464640654</v>
      </c>
    </row>
    <row r="167" spans="1:14">
      <c r="A167" s="243" t="s">
        <v>83</v>
      </c>
      <c r="B167" s="261"/>
      <c r="C167" s="261"/>
      <c r="D167" s="634">
        <f>SUM(B166:D166)/3</f>
        <v>4.4882703376393493</v>
      </c>
      <c r="E167" s="261"/>
      <c r="F167" s="261"/>
      <c r="G167" s="634">
        <f>SUM(E166,F166,G166)/3</f>
        <v>0</v>
      </c>
      <c r="H167" s="261"/>
      <c r="I167" s="261"/>
      <c r="J167" s="634">
        <f>SUM(H166,I166,J166)/3</f>
        <v>0</v>
      </c>
      <c r="K167" s="261"/>
      <c r="L167" s="261"/>
      <c r="M167" s="634">
        <f>SUM(K166,L166,M166)/3</f>
        <v>0</v>
      </c>
      <c r="N167" s="635">
        <f>SUM(D167:M167)/4</f>
        <v>1.1220675844098373</v>
      </c>
    </row>
    <row r="168" spans="1:14">
      <c r="A168" s="243" t="s">
        <v>84</v>
      </c>
      <c r="B168" s="261"/>
      <c r="C168" s="261"/>
      <c r="D168" s="262"/>
      <c r="E168" s="261"/>
      <c r="F168" s="261"/>
      <c r="G168" s="262"/>
      <c r="H168" s="261"/>
      <c r="I168" s="261"/>
      <c r="J168" s="262"/>
      <c r="K168" s="261"/>
      <c r="L168" s="261"/>
      <c r="M168" s="262"/>
      <c r="N168" s="630">
        <f>SUM(D168:G168,J168,M168)/4</f>
        <v>0</v>
      </c>
    </row>
    <row r="169" spans="1:14">
      <c r="A169" s="243"/>
      <c r="B169" s="261"/>
      <c r="C169" s="261"/>
      <c r="D169" s="261"/>
      <c r="E169" s="261"/>
      <c r="F169" s="261"/>
      <c r="G169" s="261"/>
      <c r="H169" s="261"/>
      <c r="I169" s="261"/>
      <c r="J169" s="261"/>
      <c r="K169" s="261"/>
      <c r="L169" s="261"/>
      <c r="M169" s="261"/>
      <c r="N169" s="261"/>
    </row>
    <row r="170" spans="1:14">
      <c r="A170" s="231" t="s">
        <v>85</v>
      </c>
      <c r="B170" s="620">
        <f t="shared" ref="B170:M170" si="26">B157*100/B159</f>
        <v>0</v>
      </c>
      <c r="C170" s="620">
        <f t="shared" si="26"/>
        <v>0</v>
      </c>
      <c r="D170" s="620">
        <f t="shared" si="26"/>
        <v>0</v>
      </c>
      <c r="E170" s="620">
        <f t="shared" si="26"/>
        <v>0</v>
      </c>
      <c r="F170" s="620">
        <f t="shared" si="26"/>
        <v>0</v>
      </c>
      <c r="G170" s="620">
        <f t="shared" si="26"/>
        <v>0</v>
      </c>
      <c r="H170" s="620">
        <f t="shared" si="26"/>
        <v>0</v>
      </c>
      <c r="I170" s="620">
        <f t="shared" si="26"/>
        <v>0</v>
      </c>
      <c r="J170" s="620">
        <f t="shared" si="26"/>
        <v>0</v>
      </c>
      <c r="K170" s="620">
        <f t="shared" si="26"/>
        <v>0</v>
      </c>
      <c r="L170" s="620">
        <f t="shared" si="26"/>
        <v>0</v>
      </c>
      <c r="M170" s="620">
        <f t="shared" si="26"/>
        <v>0</v>
      </c>
      <c r="N170" s="630">
        <f>SUM(B170:M170)/12</f>
        <v>0</v>
      </c>
    </row>
    <row r="171" spans="1:14">
      <c r="A171" s="231" t="s">
        <v>86</v>
      </c>
      <c r="B171" s="620">
        <f t="shared" ref="B171:M171" si="27">B155*100/B159</f>
        <v>0.62442760802597619</v>
      </c>
      <c r="C171" s="620">
        <f t="shared" si="27"/>
        <v>2.9323124541826178</v>
      </c>
      <c r="D171" s="620">
        <f t="shared" si="27"/>
        <v>0</v>
      </c>
      <c r="E171" s="620">
        <f t="shared" si="27"/>
        <v>0</v>
      </c>
      <c r="F171" s="620">
        <f t="shared" si="27"/>
        <v>0</v>
      </c>
      <c r="G171" s="620">
        <f t="shared" si="27"/>
        <v>0</v>
      </c>
      <c r="H171" s="620">
        <f t="shared" si="27"/>
        <v>0</v>
      </c>
      <c r="I171" s="620">
        <f t="shared" si="27"/>
        <v>0</v>
      </c>
      <c r="J171" s="620">
        <f t="shared" si="27"/>
        <v>0</v>
      </c>
      <c r="K171" s="620">
        <f t="shared" si="27"/>
        <v>0</v>
      </c>
      <c r="L171" s="620">
        <f t="shared" si="27"/>
        <v>0</v>
      </c>
      <c r="M171" s="620">
        <f t="shared" si="27"/>
        <v>0</v>
      </c>
      <c r="N171" s="630">
        <f>SUM(B171:M171)/12</f>
        <v>0.29639500518404949</v>
      </c>
    </row>
    <row r="172" spans="1:14" ht="13.5" thickBot="1">
      <c r="A172" s="231" t="s">
        <v>87</v>
      </c>
      <c r="B172" s="620">
        <f t="shared" ref="B172:M172" si="28">B151*100/B159</f>
        <v>3.2137207559736907</v>
      </c>
      <c r="C172" s="620">
        <f t="shared" si="28"/>
        <v>3.5839374440009775</v>
      </c>
      <c r="D172" s="620">
        <f t="shared" si="28"/>
        <v>2.7914325842696628</v>
      </c>
      <c r="E172" s="620">
        <f t="shared" si="28"/>
        <v>1.8826937002172339</v>
      </c>
      <c r="F172" s="620">
        <f t="shared" si="28"/>
        <v>3.7376586741889986</v>
      </c>
      <c r="G172" s="620">
        <f t="shared" si="28"/>
        <v>1.7106731126812942</v>
      </c>
      <c r="H172" s="620">
        <f t="shared" si="28"/>
        <v>0.38639876352395675</v>
      </c>
      <c r="I172" s="620">
        <f t="shared" si="28"/>
        <v>1.9011406844106464</v>
      </c>
      <c r="J172" s="620">
        <f t="shared" si="28"/>
        <v>3.0949105914718018</v>
      </c>
      <c r="K172" s="620">
        <f t="shared" si="28"/>
        <v>2.532963219986121</v>
      </c>
      <c r="L172" s="620">
        <f t="shared" si="28"/>
        <v>2.9281579843377594</v>
      </c>
      <c r="M172" s="620">
        <f t="shared" si="28"/>
        <v>1.8564798286326312</v>
      </c>
      <c r="N172" s="630">
        <f>SUM(B172:M172)/12</f>
        <v>2.468347278641231</v>
      </c>
    </row>
    <row r="173" spans="1:14" ht="13.5" thickBot="1">
      <c r="A173" s="255" t="s">
        <v>88</v>
      </c>
      <c r="B173" s="636">
        <f t="shared" ref="B173:M173" si="29">SUM(B148-B159)*100/B159</f>
        <v>-14.578303222046458</v>
      </c>
      <c r="C173" s="636">
        <f t="shared" si="29"/>
        <v>-16.42909505579539</v>
      </c>
      <c r="D173" s="636">
        <f t="shared" si="29"/>
        <v>-9.9367977528089888</v>
      </c>
      <c r="E173" s="636">
        <f t="shared" si="29"/>
        <v>-7.1325126719768281</v>
      </c>
      <c r="F173" s="636">
        <f t="shared" si="29"/>
        <v>-9.5557122708039497</v>
      </c>
      <c r="G173" s="636">
        <f t="shared" si="29"/>
        <v>-4.6113796950539232</v>
      </c>
      <c r="H173" s="636">
        <f t="shared" si="29"/>
        <v>-0.88871715610510049</v>
      </c>
      <c r="I173" s="636">
        <f t="shared" si="29"/>
        <v>-11.337711717939856</v>
      </c>
      <c r="J173" s="636">
        <f t="shared" si="29"/>
        <v>-11.795048143053645</v>
      </c>
      <c r="K173" s="636">
        <f t="shared" si="29"/>
        <v>-10.999306037473977</v>
      </c>
      <c r="L173" s="636">
        <f t="shared" si="29"/>
        <v>-12.665985699693564</v>
      </c>
      <c r="M173" s="636">
        <f t="shared" si="29"/>
        <v>-8.4255622991788641</v>
      </c>
      <c r="N173" s="637">
        <f>SUM(B173:M173)/12</f>
        <v>-9.8630109768275442</v>
      </c>
    </row>
    <row r="174" spans="1:14">
      <c r="A174" s="243"/>
      <c r="B174" s="244"/>
      <c r="C174" s="244"/>
      <c r="D174" s="244"/>
      <c r="E174" s="244"/>
      <c r="F174" s="244"/>
      <c r="G174" s="244"/>
      <c r="H174" s="244"/>
      <c r="I174" s="244"/>
      <c r="J174" s="244"/>
      <c r="K174" s="244"/>
      <c r="L174" s="244"/>
      <c r="M174" s="244"/>
      <c r="N174" s="227"/>
    </row>
    <row r="175" spans="1:14">
      <c r="A175" s="258" t="s">
        <v>89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27"/>
    </row>
    <row r="176" spans="1:14">
      <c r="A176" s="231" t="s">
        <v>90</v>
      </c>
      <c r="B176" s="259">
        <v>16</v>
      </c>
      <c r="C176" s="259">
        <v>16</v>
      </c>
      <c r="D176" s="259">
        <v>16</v>
      </c>
      <c r="E176" s="259">
        <v>16</v>
      </c>
      <c r="F176" s="259">
        <v>16</v>
      </c>
      <c r="G176" s="259">
        <v>16</v>
      </c>
      <c r="H176" s="259">
        <v>16</v>
      </c>
      <c r="I176" s="259">
        <f t="shared" ref="I176:N176" si="30">H179</f>
        <v>16</v>
      </c>
      <c r="J176" s="259">
        <f t="shared" si="30"/>
        <v>16</v>
      </c>
      <c r="K176" s="259">
        <f t="shared" si="30"/>
        <v>16</v>
      </c>
      <c r="L176" s="259">
        <f t="shared" si="30"/>
        <v>16</v>
      </c>
      <c r="M176" s="259">
        <f t="shared" si="30"/>
        <v>16</v>
      </c>
      <c r="N176" s="259">
        <f t="shared" si="30"/>
        <v>16</v>
      </c>
    </row>
    <row r="177" spans="1:14">
      <c r="A177" s="231" t="s">
        <v>91</v>
      </c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59"/>
      <c r="N177" s="259">
        <f>SUM(B177:M177)/12</f>
        <v>0</v>
      </c>
    </row>
    <row r="178" spans="1:14">
      <c r="A178" s="231" t="s">
        <v>92</v>
      </c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59"/>
      <c r="N178" s="259">
        <f>SUM(B177:M177)/12</f>
        <v>0</v>
      </c>
    </row>
    <row r="179" spans="1:14">
      <c r="A179" s="231" t="s">
        <v>89</v>
      </c>
      <c r="B179" s="259">
        <f t="shared" ref="B179:M179" si="31">SUM(B176+B177-B178)</f>
        <v>16</v>
      </c>
      <c r="C179" s="259">
        <f t="shared" si="31"/>
        <v>16</v>
      </c>
      <c r="D179" s="259">
        <f t="shared" si="31"/>
        <v>16</v>
      </c>
      <c r="E179" s="259">
        <f t="shared" si="31"/>
        <v>16</v>
      </c>
      <c r="F179" s="259">
        <f t="shared" si="31"/>
        <v>16</v>
      </c>
      <c r="G179" s="259">
        <f t="shared" si="31"/>
        <v>16</v>
      </c>
      <c r="H179" s="259">
        <f t="shared" si="31"/>
        <v>16</v>
      </c>
      <c r="I179" s="259">
        <f t="shared" si="31"/>
        <v>16</v>
      </c>
      <c r="J179" s="259">
        <f t="shared" si="31"/>
        <v>16</v>
      </c>
      <c r="K179" s="259">
        <f t="shared" si="31"/>
        <v>16</v>
      </c>
      <c r="L179" s="259">
        <f t="shared" si="31"/>
        <v>16</v>
      </c>
      <c r="M179" s="259">
        <f t="shared" si="31"/>
        <v>16</v>
      </c>
      <c r="N179" s="259">
        <f>SUM(B178:M178)/12</f>
        <v>0</v>
      </c>
    </row>
    <row r="180" spans="1:14">
      <c r="A180" s="231" t="s">
        <v>93</v>
      </c>
      <c r="B180" s="260">
        <f t="shared" ref="B180:M180" si="32">SUM(B179*100)/B176-100</f>
        <v>0</v>
      </c>
      <c r="C180" s="260">
        <f t="shared" si="32"/>
        <v>0</v>
      </c>
      <c r="D180" s="260">
        <f t="shared" si="32"/>
        <v>0</v>
      </c>
      <c r="E180" s="260">
        <f t="shared" si="32"/>
        <v>0</v>
      </c>
      <c r="F180" s="260">
        <f t="shared" si="32"/>
        <v>0</v>
      </c>
      <c r="G180" s="260">
        <f t="shared" si="32"/>
        <v>0</v>
      </c>
      <c r="H180" s="260">
        <f t="shared" si="32"/>
        <v>0</v>
      </c>
      <c r="I180" s="260">
        <f t="shared" si="32"/>
        <v>0</v>
      </c>
      <c r="J180" s="260">
        <f t="shared" si="32"/>
        <v>0</v>
      </c>
      <c r="K180" s="260">
        <f t="shared" si="32"/>
        <v>0</v>
      </c>
      <c r="L180" s="260">
        <f t="shared" si="32"/>
        <v>0</v>
      </c>
      <c r="M180" s="260">
        <f t="shared" si="32"/>
        <v>0</v>
      </c>
      <c r="N180" s="259"/>
    </row>
    <row r="181" spans="1:14">
      <c r="A181" s="243" t="s">
        <v>94</v>
      </c>
      <c r="B181" s="261"/>
      <c r="C181" s="261"/>
      <c r="D181" s="262">
        <f>SUM(B180:D180/3)</f>
        <v>0</v>
      </c>
      <c r="E181" s="261"/>
      <c r="F181" s="261"/>
      <c r="G181" s="262">
        <f>SUM(E180:G180)/3</f>
        <v>0</v>
      </c>
      <c r="H181" s="261"/>
      <c r="I181" s="261"/>
      <c r="J181" s="262">
        <f>SUM(H180:J180)/3</f>
        <v>0</v>
      </c>
      <c r="K181" s="261"/>
      <c r="L181" s="261"/>
      <c r="M181" s="262">
        <f>SUM(K180:M180)/3</f>
        <v>0</v>
      </c>
      <c r="N181" s="261"/>
    </row>
    <row r="182" spans="1:14">
      <c r="A182" s="243"/>
      <c r="B182" s="244"/>
      <c r="C182" s="244"/>
      <c r="D182" s="244"/>
      <c r="E182" s="244"/>
      <c r="F182" s="244"/>
      <c r="G182" s="244"/>
      <c r="H182" s="244"/>
      <c r="I182" s="244"/>
      <c r="J182" s="244"/>
      <c r="K182" s="244"/>
      <c r="L182" s="244"/>
      <c r="M182" s="244"/>
      <c r="N182" s="227"/>
    </row>
    <row r="183" spans="1:14" ht="15.75">
      <c r="A183" s="258"/>
      <c r="B183" s="326"/>
      <c r="C183" s="326"/>
      <c r="D183" s="326"/>
      <c r="E183" s="326"/>
      <c r="F183" s="326"/>
      <c r="G183" s="355"/>
      <c r="H183" s="326"/>
      <c r="I183" s="326"/>
      <c r="J183" s="326"/>
      <c r="K183" s="326"/>
      <c r="L183" s="326"/>
      <c r="M183" s="326"/>
      <c r="N183" s="227"/>
    </row>
    <row r="184" spans="1:14">
      <c r="A184" s="328" t="s">
        <v>150</v>
      </c>
      <c r="B184" s="232" t="s">
        <v>44</v>
      </c>
      <c r="C184" s="232" t="s">
        <v>45</v>
      </c>
      <c r="D184" s="232" t="s">
        <v>46</v>
      </c>
      <c r="E184" s="232" t="s">
        <v>47</v>
      </c>
      <c r="F184" s="232" t="s">
        <v>48</v>
      </c>
      <c r="G184" s="232" t="s">
        <v>49</v>
      </c>
      <c r="H184" s="232" t="s">
        <v>38</v>
      </c>
      <c r="I184" s="232" t="s">
        <v>39</v>
      </c>
      <c r="J184" s="232" t="s">
        <v>40</v>
      </c>
      <c r="K184" s="232" t="s">
        <v>41</v>
      </c>
      <c r="L184" s="232" t="s">
        <v>42</v>
      </c>
      <c r="M184" s="232" t="s">
        <v>43</v>
      </c>
      <c r="N184" s="228" t="s">
        <v>64</v>
      </c>
    </row>
    <row r="185" spans="1:14">
      <c r="A185" s="231"/>
      <c r="B185" s="329"/>
      <c r="C185" s="329"/>
      <c r="D185" s="329"/>
      <c r="E185" s="329"/>
      <c r="F185" s="329"/>
      <c r="G185" s="329"/>
      <c r="H185" s="329"/>
      <c r="I185" s="329"/>
      <c r="J185" s="329"/>
      <c r="K185" s="329"/>
      <c r="L185" s="329"/>
      <c r="M185" s="329"/>
      <c r="N185" s="329">
        <f t="shared" ref="N185:N200" si="33">SUM(B185:M185)</f>
        <v>0</v>
      </c>
    </row>
    <row r="186" spans="1:14">
      <c r="A186" s="231"/>
      <c r="B186" s="329"/>
      <c r="C186" s="329"/>
      <c r="D186" s="329"/>
      <c r="E186" s="329"/>
      <c r="F186" s="329"/>
      <c r="G186" s="329"/>
      <c r="H186" s="329"/>
      <c r="I186" s="329"/>
      <c r="J186" s="329"/>
      <c r="K186" s="329"/>
      <c r="L186" s="329"/>
      <c r="M186" s="329"/>
      <c r="N186" s="329">
        <f t="shared" si="33"/>
        <v>0</v>
      </c>
    </row>
    <row r="187" spans="1:14">
      <c r="A187" s="231"/>
      <c r="B187" s="329"/>
      <c r="C187" s="329">
        <v>0</v>
      </c>
      <c r="D187" s="329">
        <v>0</v>
      </c>
      <c r="E187" s="329">
        <v>0</v>
      </c>
      <c r="F187" s="329">
        <v>0</v>
      </c>
      <c r="G187" s="329">
        <v>0</v>
      </c>
      <c r="H187" s="329">
        <v>0</v>
      </c>
      <c r="I187" s="329">
        <v>0</v>
      </c>
      <c r="J187" s="329">
        <v>0</v>
      </c>
      <c r="K187" s="329">
        <v>0</v>
      </c>
      <c r="L187" s="329">
        <v>0</v>
      </c>
      <c r="M187" s="329">
        <v>0</v>
      </c>
      <c r="N187" s="329">
        <f t="shared" si="33"/>
        <v>0</v>
      </c>
    </row>
    <row r="188" spans="1:14" ht="13.5" thickBot="1">
      <c r="A188" s="356"/>
      <c r="B188" s="357"/>
      <c r="C188" s="357"/>
      <c r="D188" s="357"/>
      <c r="E188" s="357"/>
      <c r="F188" s="357"/>
      <c r="G188" s="357"/>
      <c r="H188" s="357"/>
      <c r="I188" s="357"/>
      <c r="J188" s="357"/>
      <c r="K188" s="357"/>
      <c r="L188" s="357"/>
      <c r="M188" s="357"/>
      <c r="N188" s="329">
        <f t="shared" si="33"/>
        <v>0</v>
      </c>
    </row>
    <row r="189" spans="1:14" ht="13.5" thickBot="1">
      <c r="A189" s="333" t="s">
        <v>151</v>
      </c>
      <c r="B189" s="334">
        <f t="shared" ref="B189:M189" si="34">SUM(B185:B188)</f>
        <v>0</v>
      </c>
      <c r="C189" s="334">
        <f t="shared" si="34"/>
        <v>0</v>
      </c>
      <c r="D189" s="334">
        <f t="shared" si="34"/>
        <v>0</v>
      </c>
      <c r="E189" s="334">
        <f t="shared" si="34"/>
        <v>0</v>
      </c>
      <c r="F189" s="334">
        <f t="shared" si="34"/>
        <v>0</v>
      </c>
      <c r="G189" s="334">
        <f t="shared" si="34"/>
        <v>0</v>
      </c>
      <c r="H189" s="334">
        <f t="shared" si="34"/>
        <v>0</v>
      </c>
      <c r="I189" s="334">
        <f t="shared" si="34"/>
        <v>0</v>
      </c>
      <c r="J189" s="334">
        <f t="shared" si="34"/>
        <v>0</v>
      </c>
      <c r="K189" s="334">
        <f t="shared" si="34"/>
        <v>0</v>
      </c>
      <c r="L189" s="334">
        <f t="shared" si="34"/>
        <v>0</v>
      </c>
      <c r="M189" s="334">
        <f t="shared" si="34"/>
        <v>0</v>
      </c>
      <c r="N189" s="334">
        <f t="shared" si="33"/>
        <v>0</v>
      </c>
    </row>
    <row r="190" spans="1:14">
      <c r="A190" s="228" t="s">
        <v>152</v>
      </c>
      <c r="B190" s="329"/>
      <c r="C190" s="329"/>
      <c r="D190" s="329"/>
      <c r="E190" s="329"/>
      <c r="F190" s="329"/>
      <c r="G190" s="329"/>
      <c r="H190" s="329"/>
      <c r="I190" s="329"/>
      <c r="J190" s="329"/>
      <c r="K190" s="329"/>
      <c r="L190" s="329"/>
      <c r="M190" s="329"/>
      <c r="N190" s="329">
        <f t="shared" si="33"/>
        <v>0</v>
      </c>
    </row>
    <row r="191" spans="1:14">
      <c r="A191" s="231" t="s">
        <v>153</v>
      </c>
      <c r="B191" s="329"/>
      <c r="C191" s="329"/>
      <c r="D191" s="329"/>
      <c r="E191" s="329"/>
      <c r="F191" s="329"/>
      <c r="G191" s="358"/>
      <c r="H191" s="329"/>
      <c r="I191" s="329"/>
      <c r="J191" s="329"/>
      <c r="K191" s="329"/>
      <c r="L191" s="329"/>
      <c r="M191" s="329"/>
      <c r="N191" s="329">
        <f t="shared" si="33"/>
        <v>0</v>
      </c>
    </row>
    <row r="192" spans="1:14">
      <c r="A192" s="356" t="s">
        <v>154</v>
      </c>
      <c r="B192" s="329"/>
      <c r="C192" s="329"/>
      <c r="D192" s="329"/>
      <c r="E192" s="329"/>
      <c r="F192" s="329"/>
      <c r="G192" s="329"/>
      <c r="H192" s="329"/>
      <c r="I192" s="329"/>
      <c r="J192" s="329"/>
      <c r="K192" s="329"/>
      <c r="L192" s="329"/>
      <c r="M192" s="329"/>
      <c r="N192" s="329">
        <f t="shared" si="33"/>
        <v>0</v>
      </c>
    </row>
    <row r="193" spans="1:15">
      <c r="A193" s="228" t="s">
        <v>155</v>
      </c>
      <c r="B193" s="329">
        <v>344727.25</v>
      </c>
      <c r="C193" s="329"/>
      <c r="D193" s="329"/>
      <c r="E193" s="329"/>
      <c r="F193" s="329"/>
      <c r="G193" s="329"/>
      <c r="H193" s="329"/>
      <c r="I193" s="329"/>
      <c r="J193" s="329"/>
      <c r="K193" s="329"/>
      <c r="L193" s="329"/>
      <c r="M193" s="329"/>
      <c r="N193" s="329">
        <f t="shared" si="33"/>
        <v>344727.25</v>
      </c>
    </row>
    <row r="194" spans="1:15" ht="13.5" thickBot="1">
      <c r="A194" s="359" t="s">
        <v>156</v>
      </c>
      <c r="B194" s="357">
        <v>35530.25</v>
      </c>
      <c r="C194" s="357"/>
      <c r="D194" s="357"/>
      <c r="E194" s="357"/>
      <c r="F194" s="357"/>
      <c r="G194" s="357"/>
      <c r="H194" s="357"/>
      <c r="I194" s="357"/>
      <c r="J194" s="357"/>
      <c r="K194" s="357"/>
      <c r="L194" s="357"/>
      <c r="M194" s="329"/>
      <c r="N194" s="329">
        <f t="shared" si="33"/>
        <v>35530.25</v>
      </c>
    </row>
    <row r="195" spans="1:15" ht="13.5" thickBot="1">
      <c r="A195" s="360" t="s">
        <v>126</v>
      </c>
      <c r="B195" s="334">
        <f t="shared" ref="B195:M195" si="35">SUM(B190:B194)</f>
        <v>380257.5</v>
      </c>
      <c r="C195" s="334">
        <f t="shared" si="35"/>
        <v>0</v>
      </c>
      <c r="D195" s="334">
        <f t="shared" si="35"/>
        <v>0</v>
      </c>
      <c r="E195" s="334">
        <f t="shared" si="35"/>
        <v>0</v>
      </c>
      <c r="F195" s="334">
        <f t="shared" si="35"/>
        <v>0</v>
      </c>
      <c r="G195" s="334">
        <f t="shared" si="35"/>
        <v>0</v>
      </c>
      <c r="H195" s="334">
        <f t="shared" si="35"/>
        <v>0</v>
      </c>
      <c r="I195" s="334">
        <f t="shared" si="35"/>
        <v>0</v>
      </c>
      <c r="J195" s="334">
        <f t="shared" si="35"/>
        <v>0</v>
      </c>
      <c r="K195" s="334">
        <f t="shared" si="35"/>
        <v>0</v>
      </c>
      <c r="L195" s="334">
        <f t="shared" si="35"/>
        <v>0</v>
      </c>
      <c r="M195" s="334">
        <f t="shared" si="35"/>
        <v>0</v>
      </c>
      <c r="N195" s="334">
        <f t="shared" si="33"/>
        <v>380257.5</v>
      </c>
    </row>
    <row r="196" spans="1:15" ht="13.5" thickBot="1">
      <c r="A196" s="228" t="s">
        <v>127</v>
      </c>
      <c r="B196" s="331"/>
      <c r="C196" s="331"/>
      <c r="D196" s="331"/>
      <c r="E196" s="331"/>
      <c r="F196" s="331"/>
      <c r="G196" s="331"/>
      <c r="H196" s="331"/>
      <c r="I196" s="331"/>
      <c r="J196" s="331"/>
      <c r="K196" s="331"/>
      <c r="L196" s="331"/>
      <c r="M196" s="357">
        <v>0</v>
      </c>
      <c r="N196" s="329">
        <f t="shared" si="33"/>
        <v>0</v>
      </c>
      <c r="O196" s="291"/>
    </row>
    <row r="197" spans="1:15" ht="13.5" thickBot="1">
      <c r="A197" s="363" t="s">
        <v>129</v>
      </c>
      <c r="B197" s="364">
        <f t="shared" ref="B197:M197" si="36">SUM(B189,B195,B196)</f>
        <v>380257.5</v>
      </c>
      <c r="C197" s="364">
        <f t="shared" si="36"/>
        <v>0</v>
      </c>
      <c r="D197" s="364">
        <f t="shared" si="36"/>
        <v>0</v>
      </c>
      <c r="E197" s="364">
        <f t="shared" si="36"/>
        <v>0</v>
      </c>
      <c r="F197" s="364">
        <f t="shared" si="36"/>
        <v>0</v>
      </c>
      <c r="G197" s="364">
        <f t="shared" si="36"/>
        <v>0</v>
      </c>
      <c r="H197" s="364">
        <f t="shared" si="36"/>
        <v>0</v>
      </c>
      <c r="I197" s="364">
        <f t="shared" si="36"/>
        <v>0</v>
      </c>
      <c r="J197" s="364">
        <f t="shared" si="36"/>
        <v>0</v>
      </c>
      <c r="K197" s="364">
        <f t="shared" si="36"/>
        <v>0</v>
      </c>
      <c r="L197" s="364">
        <f t="shared" si="36"/>
        <v>0</v>
      </c>
      <c r="M197" s="334">
        <f t="shared" si="36"/>
        <v>0</v>
      </c>
      <c r="N197" s="334">
        <f t="shared" si="33"/>
        <v>380257.5</v>
      </c>
    </row>
    <row r="198" spans="1:15">
      <c r="A198" s="336" t="s">
        <v>131</v>
      </c>
      <c r="B198" s="365">
        <v>511689</v>
      </c>
      <c r="C198" s="365">
        <v>511689</v>
      </c>
      <c r="D198" s="365">
        <v>511689</v>
      </c>
      <c r="E198" s="365">
        <v>511689</v>
      </c>
      <c r="F198" s="365">
        <v>511689</v>
      </c>
      <c r="G198" s="365">
        <v>511689</v>
      </c>
      <c r="H198" s="365">
        <v>511689</v>
      </c>
      <c r="I198" s="365">
        <v>511689</v>
      </c>
      <c r="J198" s="365">
        <v>511689</v>
      </c>
      <c r="K198" s="365">
        <v>511689</v>
      </c>
      <c r="L198" s="365">
        <v>511689</v>
      </c>
      <c r="M198" s="365">
        <v>511689</v>
      </c>
      <c r="N198" s="329">
        <f t="shared" si="33"/>
        <v>6140268</v>
      </c>
    </row>
    <row r="199" spans="1:15">
      <c r="A199" s="336" t="s">
        <v>157</v>
      </c>
      <c r="B199" s="365"/>
      <c r="C199" s="365"/>
      <c r="D199" s="365"/>
      <c r="E199" s="365"/>
      <c r="F199" s="365"/>
      <c r="G199" s="365"/>
      <c r="H199" s="365"/>
      <c r="I199" s="365"/>
      <c r="J199" s="365"/>
      <c r="K199" s="365"/>
      <c r="L199" s="365"/>
      <c r="M199" s="365"/>
      <c r="N199" s="329">
        <f t="shared" si="33"/>
        <v>0</v>
      </c>
    </row>
    <row r="200" spans="1:15">
      <c r="A200" s="336" t="s">
        <v>158</v>
      </c>
      <c r="B200" s="365"/>
      <c r="C200" s="365"/>
      <c r="D200" s="365"/>
      <c r="E200" s="365"/>
      <c r="F200" s="365"/>
      <c r="G200" s="365"/>
      <c r="H200" s="365"/>
      <c r="I200" s="365"/>
      <c r="J200" s="365"/>
      <c r="K200" s="365"/>
      <c r="L200" s="365"/>
      <c r="M200" s="365"/>
      <c r="N200" s="329">
        <f t="shared" si="33"/>
        <v>0</v>
      </c>
    </row>
    <row r="201" spans="1:15">
      <c r="A201" s="367" t="s">
        <v>146</v>
      </c>
      <c r="B201" s="368">
        <f t="shared" ref="B201:N201" si="37">B197-SUM(B198:B200)</f>
        <v>-131431.5</v>
      </c>
      <c r="C201" s="368">
        <f t="shared" si="37"/>
        <v>-511689</v>
      </c>
      <c r="D201" s="368">
        <f t="shared" si="37"/>
        <v>-511689</v>
      </c>
      <c r="E201" s="368">
        <f t="shared" si="37"/>
        <v>-511689</v>
      </c>
      <c r="F201" s="368">
        <f t="shared" si="37"/>
        <v>-511689</v>
      </c>
      <c r="G201" s="368">
        <f t="shared" si="37"/>
        <v>-511689</v>
      </c>
      <c r="H201" s="368">
        <f t="shared" si="37"/>
        <v>-511689</v>
      </c>
      <c r="I201" s="368">
        <f t="shared" si="37"/>
        <v>-511689</v>
      </c>
      <c r="J201" s="368">
        <f t="shared" si="37"/>
        <v>-511689</v>
      </c>
      <c r="K201" s="368">
        <f t="shared" si="37"/>
        <v>-511689</v>
      </c>
      <c r="L201" s="368">
        <f t="shared" si="37"/>
        <v>-511689</v>
      </c>
      <c r="M201" s="368">
        <f t="shared" si="37"/>
        <v>-511689</v>
      </c>
      <c r="N201" s="368">
        <f t="shared" si="37"/>
        <v>-5760010.5</v>
      </c>
    </row>
    <row r="202" spans="1:15" ht="13.5" thickBot="1">
      <c r="A202" s="369">
        <v>206552</v>
      </c>
      <c r="B202" s="369"/>
      <c r="C202" s="369"/>
      <c r="D202" s="369"/>
      <c r="E202" s="369"/>
      <c r="F202" s="369"/>
      <c r="G202" s="369"/>
      <c r="H202" s="369"/>
      <c r="I202" s="369"/>
      <c r="J202" s="369"/>
      <c r="K202" s="369"/>
      <c r="L202" s="369"/>
      <c r="M202" s="369"/>
      <c r="N202" s="369"/>
    </row>
    <row r="203" spans="1:15" ht="13.5" thickBot="1"/>
    <row r="204" spans="1:15" ht="20.25">
      <c r="A204" s="826" t="s">
        <v>224</v>
      </c>
      <c r="B204" s="826"/>
      <c r="C204" s="826"/>
      <c r="D204" s="826"/>
      <c r="E204" s="826"/>
      <c r="F204" s="826"/>
      <c r="G204" s="826"/>
      <c r="H204" s="826"/>
      <c r="I204" s="826"/>
      <c r="J204" s="826"/>
      <c r="K204" s="826"/>
      <c r="L204" s="826"/>
      <c r="M204" s="826"/>
      <c r="N204" s="826"/>
    </row>
    <row r="205" spans="1:15">
      <c r="A205" s="227"/>
      <c r="B205" s="227"/>
      <c r="C205" s="227"/>
      <c r="D205" s="227"/>
      <c r="E205" s="227"/>
      <c r="F205" s="227"/>
      <c r="G205" s="227"/>
      <c r="H205" s="227"/>
      <c r="I205" s="227"/>
      <c r="J205" s="227"/>
      <c r="K205" s="227"/>
      <c r="L205" s="227"/>
      <c r="M205" s="227"/>
    </row>
    <row r="206" spans="1:15">
      <c r="A206" s="228"/>
      <c r="B206" s="229" t="s">
        <v>44</v>
      </c>
      <c r="C206" s="229" t="s">
        <v>45</v>
      </c>
      <c r="D206" s="230" t="s">
        <v>46</v>
      </c>
      <c r="E206" s="229" t="s">
        <v>47</v>
      </c>
      <c r="F206" s="229" t="s">
        <v>48</v>
      </c>
      <c r="G206" s="230" t="s">
        <v>49</v>
      </c>
      <c r="H206" s="229" t="s">
        <v>38</v>
      </c>
      <c r="I206" s="229" t="s">
        <v>39</v>
      </c>
      <c r="J206" s="229" t="s">
        <v>40</v>
      </c>
      <c r="K206" s="229" t="s">
        <v>41</v>
      </c>
      <c r="L206" s="229" t="s">
        <v>42</v>
      </c>
      <c r="M206" s="229" t="s">
        <v>43</v>
      </c>
      <c r="N206" s="228" t="s">
        <v>64</v>
      </c>
    </row>
    <row r="207" spans="1:15">
      <c r="A207" s="231" t="s">
        <v>65</v>
      </c>
      <c r="B207" s="620">
        <v>1924</v>
      </c>
      <c r="C207" s="620">
        <v>1924</v>
      </c>
      <c r="D207" s="620">
        <v>1924</v>
      </c>
      <c r="E207" s="620">
        <v>1924</v>
      </c>
      <c r="F207" s="620">
        <v>1924</v>
      </c>
      <c r="G207" s="620">
        <v>1924</v>
      </c>
      <c r="H207" s="620">
        <v>1924</v>
      </c>
      <c r="I207" s="620">
        <v>1924</v>
      </c>
      <c r="J207" s="620">
        <v>1924</v>
      </c>
      <c r="K207" s="620">
        <v>1924</v>
      </c>
      <c r="L207" s="620">
        <v>1924</v>
      </c>
      <c r="M207" s="620">
        <v>1924</v>
      </c>
      <c r="N207" s="620">
        <f t="shared" ref="N207:N217" si="38">SUM(B207:M207)</f>
        <v>23088</v>
      </c>
    </row>
    <row r="208" spans="1:15">
      <c r="A208" s="231" t="s">
        <v>66</v>
      </c>
      <c r="B208" s="620"/>
      <c r="C208" s="620"/>
      <c r="D208" s="620"/>
      <c r="E208" s="620"/>
      <c r="F208" s="620"/>
      <c r="G208" s="621"/>
      <c r="H208" s="620"/>
      <c r="I208" s="620"/>
      <c r="J208" s="622"/>
      <c r="K208" s="620"/>
      <c r="L208" s="620"/>
      <c r="M208" s="620"/>
      <c r="N208" s="620">
        <f t="shared" si="38"/>
        <v>0</v>
      </c>
    </row>
    <row r="209" spans="1:14">
      <c r="A209" s="231" t="s">
        <v>67</v>
      </c>
      <c r="B209" s="620"/>
      <c r="C209" s="620"/>
      <c r="D209" s="620"/>
      <c r="E209" s="620"/>
      <c r="F209" s="620"/>
      <c r="G209" s="621"/>
      <c r="H209" s="620"/>
      <c r="I209" s="620"/>
      <c r="J209" s="620"/>
      <c r="K209" s="620"/>
      <c r="L209" s="620"/>
      <c r="M209" s="620"/>
      <c r="N209" s="620">
        <f t="shared" si="38"/>
        <v>0</v>
      </c>
    </row>
    <row r="210" spans="1:14">
      <c r="A210" s="231" t="s">
        <v>69</v>
      </c>
      <c r="B210" s="620">
        <v>81.5</v>
      </c>
      <c r="C210" s="620">
        <v>118.75</v>
      </c>
      <c r="D210" s="620"/>
      <c r="E210" s="620"/>
      <c r="F210" s="620"/>
      <c r="G210" s="621"/>
      <c r="H210" s="620"/>
      <c r="I210" s="620"/>
      <c r="J210" s="620"/>
      <c r="K210" s="620"/>
      <c r="L210" s="620"/>
      <c r="M210" s="620"/>
      <c r="N210" s="620">
        <f t="shared" si="38"/>
        <v>200.25</v>
      </c>
    </row>
    <row r="211" spans="1:14">
      <c r="A211" s="231" t="s">
        <v>70</v>
      </c>
      <c r="B211" s="620"/>
      <c r="C211" s="620">
        <v>7.5</v>
      </c>
      <c r="D211" s="620"/>
      <c r="E211" s="620"/>
      <c r="F211" s="620"/>
      <c r="G211" s="621"/>
      <c r="H211" s="620"/>
      <c r="I211" s="620"/>
      <c r="J211" s="620"/>
      <c r="K211" s="620"/>
      <c r="L211" s="620"/>
      <c r="M211" s="620"/>
      <c r="N211" s="620">
        <f t="shared" si="38"/>
        <v>7.5</v>
      </c>
    </row>
    <row r="212" spans="1:14">
      <c r="A212" s="231" t="s">
        <v>71</v>
      </c>
      <c r="B212" s="620">
        <v>75.75</v>
      </c>
      <c r="C212" s="620">
        <v>94.25</v>
      </c>
      <c r="D212" s="620"/>
      <c r="E212" s="620"/>
      <c r="F212" s="620"/>
      <c r="G212" s="621"/>
      <c r="H212" s="620"/>
      <c r="I212" s="620"/>
      <c r="J212" s="620"/>
      <c r="K212" s="620"/>
      <c r="L212" s="620"/>
      <c r="M212" s="620"/>
      <c r="N212" s="620">
        <f t="shared" si="38"/>
        <v>170</v>
      </c>
    </row>
    <row r="213" spans="1:14">
      <c r="A213" s="231" t="s">
        <v>72</v>
      </c>
      <c r="B213" s="620"/>
      <c r="C213" s="620"/>
      <c r="D213" s="620"/>
      <c r="E213" s="620"/>
      <c r="F213" s="620"/>
      <c r="G213" s="621"/>
      <c r="H213" s="620"/>
      <c r="I213" s="620"/>
      <c r="J213" s="620"/>
      <c r="K213" s="620"/>
      <c r="L213" s="620"/>
      <c r="M213" s="620"/>
      <c r="N213" s="620">
        <f t="shared" si="38"/>
        <v>0</v>
      </c>
    </row>
    <row r="214" spans="1:14">
      <c r="A214" s="231" t="s">
        <v>73</v>
      </c>
      <c r="B214" s="620"/>
      <c r="C214" s="620">
        <v>37</v>
      </c>
      <c r="D214" s="620"/>
      <c r="E214" s="620"/>
      <c r="F214" s="620"/>
      <c r="G214" s="621"/>
      <c r="H214" s="620"/>
      <c r="I214" s="620"/>
      <c r="J214" s="620"/>
      <c r="K214" s="620"/>
      <c r="L214" s="620"/>
      <c r="M214" s="620"/>
      <c r="N214" s="620">
        <f t="shared" si="38"/>
        <v>37</v>
      </c>
    </row>
    <row r="215" spans="1:14">
      <c r="A215" s="231" t="s">
        <v>74</v>
      </c>
      <c r="B215" s="620"/>
      <c r="C215" s="620">
        <v>74</v>
      </c>
      <c r="D215" s="620"/>
      <c r="E215" s="620"/>
      <c r="F215" s="620"/>
      <c r="G215" s="621"/>
      <c r="H215" s="620"/>
      <c r="I215" s="620"/>
      <c r="J215" s="620"/>
      <c r="K215" s="620"/>
      <c r="L215" s="620"/>
      <c r="M215" s="620"/>
      <c r="N215" s="620">
        <f t="shared" si="38"/>
        <v>74</v>
      </c>
    </row>
    <row r="216" spans="1:14">
      <c r="A216" s="231" t="s">
        <v>75</v>
      </c>
      <c r="B216" s="620"/>
      <c r="C216" s="620"/>
      <c r="D216" s="620"/>
      <c r="E216" s="620"/>
      <c r="F216" s="620"/>
      <c r="G216" s="621"/>
      <c r="H216" s="620"/>
      <c r="I216" s="620"/>
      <c r="J216" s="620"/>
      <c r="K216" s="620"/>
      <c r="L216" s="620"/>
      <c r="M216" s="620"/>
      <c r="N216" s="620">
        <f t="shared" si="38"/>
        <v>0</v>
      </c>
    </row>
    <row r="217" spans="1:14" ht="13.5" thickBot="1">
      <c r="A217" s="235" t="s">
        <v>76</v>
      </c>
      <c r="B217" s="623"/>
      <c r="C217" s="623">
        <v>37</v>
      </c>
      <c r="D217" s="623"/>
      <c r="E217" s="623"/>
      <c r="F217" s="623"/>
      <c r="G217" s="624"/>
      <c r="H217" s="623"/>
      <c r="I217" s="623"/>
      <c r="J217" s="623"/>
      <c r="K217" s="623"/>
      <c r="L217" s="623"/>
      <c r="M217" s="623"/>
      <c r="N217" s="625">
        <f t="shared" si="38"/>
        <v>37</v>
      </c>
    </row>
    <row r="218" spans="1:14" ht="13.5" thickBot="1">
      <c r="A218" s="239" t="s">
        <v>77</v>
      </c>
      <c r="B218" s="626">
        <f>SUM(B207:B217)</f>
        <v>2081.25</v>
      </c>
      <c r="C218" s="626">
        <f t="shared" ref="C218:N218" si="39">SUM(C207:C217)</f>
        <v>2292.5</v>
      </c>
      <c r="D218" s="626">
        <f t="shared" si="39"/>
        <v>1924</v>
      </c>
      <c r="E218" s="626">
        <f t="shared" si="39"/>
        <v>1924</v>
      </c>
      <c r="F218" s="626">
        <f t="shared" si="39"/>
        <v>1924</v>
      </c>
      <c r="G218" s="626">
        <f t="shared" si="39"/>
        <v>1924</v>
      </c>
      <c r="H218" s="626">
        <f t="shared" si="39"/>
        <v>1924</v>
      </c>
      <c r="I218" s="626">
        <f t="shared" si="39"/>
        <v>1924</v>
      </c>
      <c r="J218" s="626">
        <f t="shared" si="39"/>
        <v>1924</v>
      </c>
      <c r="K218" s="626">
        <f t="shared" si="39"/>
        <v>1924</v>
      </c>
      <c r="L218" s="626">
        <f t="shared" si="39"/>
        <v>1924</v>
      </c>
      <c r="M218" s="626">
        <f t="shared" si="39"/>
        <v>1924</v>
      </c>
      <c r="N218" s="632">
        <f t="shared" si="39"/>
        <v>23613.75</v>
      </c>
    </row>
    <row r="219" spans="1:14">
      <c r="A219" s="243"/>
      <c r="B219" s="261"/>
      <c r="C219" s="261"/>
      <c r="D219" s="261"/>
      <c r="E219" s="261"/>
      <c r="F219" s="261"/>
      <c r="G219" s="261"/>
      <c r="H219" s="261"/>
      <c r="I219" s="261"/>
      <c r="J219" s="261"/>
      <c r="K219" s="261"/>
      <c r="L219" s="261"/>
      <c r="M219" s="261"/>
      <c r="N219" s="261"/>
    </row>
    <row r="220" spans="1:14">
      <c r="A220" s="243"/>
      <c r="B220" s="261"/>
      <c r="C220" s="261"/>
      <c r="D220" s="261"/>
      <c r="E220" s="261"/>
      <c r="F220" s="261"/>
      <c r="G220" s="261"/>
      <c r="H220" s="261"/>
      <c r="I220" s="261"/>
      <c r="J220" s="261"/>
      <c r="K220" s="261"/>
      <c r="L220" s="261"/>
      <c r="M220" s="261"/>
      <c r="N220" s="629" t="s">
        <v>78</v>
      </c>
    </row>
    <row r="221" spans="1:14">
      <c r="A221" s="231" t="s">
        <v>79</v>
      </c>
      <c r="B221" s="620">
        <f t="shared" ref="B221:M221" si="40">SUM(B208*100/B218)</f>
        <v>0</v>
      </c>
      <c r="C221" s="620">
        <f t="shared" si="40"/>
        <v>0</v>
      </c>
      <c r="D221" s="620">
        <f t="shared" si="40"/>
        <v>0</v>
      </c>
      <c r="E221" s="620">
        <f t="shared" si="40"/>
        <v>0</v>
      </c>
      <c r="F221" s="620">
        <f t="shared" si="40"/>
        <v>0</v>
      </c>
      <c r="G221" s="620">
        <f t="shared" si="40"/>
        <v>0</v>
      </c>
      <c r="H221" s="620">
        <f t="shared" si="40"/>
        <v>0</v>
      </c>
      <c r="I221" s="620">
        <f t="shared" si="40"/>
        <v>0</v>
      </c>
      <c r="J221" s="620">
        <f t="shared" si="40"/>
        <v>0</v>
      </c>
      <c r="K221" s="620">
        <f t="shared" si="40"/>
        <v>0</v>
      </c>
      <c r="L221" s="620">
        <f t="shared" si="40"/>
        <v>0</v>
      </c>
      <c r="M221" s="620">
        <f t="shared" si="40"/>
        <v>0</v>
      </c>
      <c r="N221" s="630">
        <f>SUM(B221:M221)/12</f>
        <v>0</v>
      </c>
    </row>
    <row r="222" spans="1:14">
      <c r="A222" s="243"/>
      <c r="B222" s="261"/>
      <c r="C222" s="261"/>
      <c r="D222" s="261"/>
      <c r="E222" s="261"/>
      <c r="F222" s="261"/>
      <c r="G222" s="261"/>
      <c r="H222" s="261"/>
      <c r="I222" s="261"/>
      <c r="J222" s="261"/>
      <c r="K222" s="261"/>
      <c r="L222" s="261"/>
      <c r="M222" s="261"/>
      <c r="N222" s="261"/>
    </row>
    <row r="223" spans="1:14">
      <c r="A223" s="231" t="s">
        <v>80</v>
      </c>
      <c r="B223" s="620">
        <f t="shared" ref="B223:M223" si="41">SUM(B212*100/B218)</f>
        <v>3.6396396396396398</v>
      </c>
      <c r="C223" s="620">
        <f t="shared" si="41"/>
        <v>4.1112322791712108</v>
      </c>
      <c r="D223" s="620">
        <f t="shared" si="41"/>
        <v>0</v>
      </c>
      <c r="E223" s="620">
        <f t="shared" si="41"/>
        <v>0</v>
      </c>
      <c r="F223" s="620">
        <f t="shared" si="41"/>
        <v>0</v>
      </c>
      <c r="G223" s="620">
        <f t="shared" si="41"/>
        <v>0</v>
      </c>
      <c r="H223" s="620">
        <f t="shared" si="41"/>
        <v>0</v>
      </c>
      <c r="I223" s="620">
        <f t="shared" si="41"/>
        <v>0</v>
      </c>
      <c r="J223" s="620">
        <f t="shared" si="41"/>
        <v>0</v>
      </c>
      <c r="K223" s="620">
        <f t="shared" si="41"/>
        <v>0</v>
      </c>
      <c r="L223" s="620">
        <f t="shared" si="41"/>
        <v>0</v>
      </c>
      <c r="M223" s="620">
        <f t="shared" si="41"/>
        <v>0</v>
      </c>
      <c r="N223" s="630">
        <f>SUM(B223:M223)/12</f>
        <v>0.64590599323423759</v>
      </c>
    </row>
    <row r="224" spans="1:14" ht="13.5" thickBot="1">
      <c r="A224" s="247" t="s">
        <v>81</v>
      </c>
      <c r="B224" s="625">
        <f t="shared" ref="B224:M224" si="42">SUM(B213*100/B218)</f>
        <v>0</v>
      </c>
      <c r="C224" s="625">
        <f t="shared" si="42"/>
        <v>0</v>
      </c>
      <c r="D224" s="625">
        <f t="shared" si="42"/>
        <v>0</v>
      </c>
      <c r="E224" s="625">
        <f t="shared" si="42"/>
        <v>0</v>
      </c>
      <c r="F224" s="625">
        <f t="shared" si="42"/>
        <v>0</v>
      </c>
      <c r="G224" s="625">
        <f t="shared" si="42"/>
        <v>0</v>
      </c>
      <c r="H224" s="625">
        <f t="shared" si="42"/>
        <v>0</v>
      </c>
      <c r="I224" s="625">
        <f t="shared" si="42"/>
        <v>0</v>
      </c>
      <c r="J224" s="625">
        <f t="shared" si="42"/>
        <v>0</v>
      </c>
      <c r="K224" s="625">
        <f t="shared" si="42"/>
        <v>0</v>
      </c>
      <c r="L224" s="625">
        <f t="shared" si="42"/>
        <v>0</v>
      </c>
      <c r="M224" s="625">
        <f t="shared" si="42"/>
        <v>0</v>
      </c>
      <c r="N224" s="630">
        <f>SUM(B224:M224)/12</f>
        <v>0</v>
      </c>
    </row>
    <row r="225" spans="1:14" ht="13.5" thickBot="1">
      <c r="A225" s="249" t="s">
        <v>82</v>
      </c>
      <c r="B225" s="632">
        <f t="shared" ref="B225:M225" si="43">SUM(B223:B223)</f>
        <v>3.6396396396396398</v>
      </c>
      <c r="C225" s="632">
        <f t="shared" si="43"/>
        <v>4.1112322791712108</v>
      </c>
      <c r="D225" s="632">
        <f t="shared" si="43"/>
        <v>0</v>
      </c>
      <c r="E225" s="632">
        <f t="shared" si="43"/>
        <v>0</v>
      </c>
      <c r="F225" s="632">
        <f t="shared" si="43"/>
        <v>0</v>
      </c>
      <c r="G225" s="632">
        <f t="shared" si="43"/>
        <v>0</v>
      </c>
      <c r="H225" s="632">
        <f t="shared" si="43"/>
        <v>0</v>
      </c>
      <c r="I225" s="632">
        <f t="shared" si="43"/>
        <v>0</v>
      </c>
      <c r="J225" s="632">
        <f t="shared" si="43"/>
        <v>0</v>
      </c>
      <c r="K225" s="632">
        <f t="shared" si="43"/>
        <v>0</v>
      </c>
      <c r="L225" s="632">
        <f t="shared" si="43"/>
        <v>0</v>
      </c>
      <c r="M225" s="632">
        <f t="shared" si="43"/>
        <v>0</v>
      </c>
      <c r="N225" s="633">
        <f>SUM(N223:N224)</f>
        <v>0.64590599323423759</v>
      </c>
    </row>
    <row r="226" spans="1:14">
      <c r="A226" s="243" t="s">
        <v>83</v>
      </c>
      <c r="B226" s="261"/>
      <c r="C226" s="261"/>
      <c r="D226" s="634">
        <f>SUM(B225:D225)/3</f>
        <v>2.5836239729369503</v>
      </c>
      <c r="E226" s="261"/>
      <c r="F226" s="261"/>
      <c r="G226" s="634">
        <f>SUM(E225,F225,G225)/3</f>
        <v>0</v>
      </c>
      <c r="H226" s="261"/>
      <c r="I226" s="261"/>
      <c r="J226" s="634">
        <f>SUM(H225,I225,J225)/3</f>
        <v>0</v>
      </c>
      <c r="K226" s="261"/>
      <c r="L226" s="261"/>
      <c r="M226" s="634">
        <f>SUM(K225,L225,M225)/3</f>
        <v>0</v>
      </c>
      <c r="N226" s="635">
        <f>SUM(D226:M226)/4</f>
        <v>0.64590599323423759</v>
      </c>
    </row>
    <row r="227" spans="1:14">
      <c r="A227" s="243" t="s">
        <v>84</v>
      </c>
      <c r="B227" s="261"/>
      <c r="C227" s="261"/>
      <c r="D227" s="262"/>
      <c r="E227" s="261"/>
      <c r="F227" s="261"/>
      <c r="G227" s="262"/>
      <c r="H227" s="261"/>
      <c r="I227" s="261"/>
      <c r="J227" s="262"/>
      <c r="K227" s="261"/>
      <c r="L227" s="261"/>
      <c r="M227" s="262"/>
      <c r="N227" s="630">
        <f>SUM(D227:G227,J227,M227)/4</f>
        <v>0</v>
      </c>
    </row>
    <row r="228" spans="1:14">
      <c r="A228" s="243"/>
      <c r="B228" s="261"/>
      <c r="C228" s="261"/>
      <c r="D228" s="261"/>
      <c r="E228" s="261"/>
      <c r="F228" s="261"/>
      <c r="G228" s="261"/>
      <c r="H228" s="261"/>
      <c r="I228" s="261"/>
      <c r="J228" s="261"/>
      <c r="K228" s="261"/>
      <c r="L228" s="261"/>
      <c r="M228" s="261"/>
      <c r="N228" s="261"/>
    </row>
    <row r="229" spans="1:14">
      <c r="A229" s="231" t="s">
        <v>85</v>
      </c>
      <c r="B229" s="620">
        <f t="shared" ref="B229:M229" si="44">B216*100/B218</f>
        <v>0</v>
      </c>
      <c r="C229" s="620">
        <f t="shared" si="44"/>
        <v>0</v>
      </c>
      <c r="D229" s="620">
        <f t="shared" si="44"/>
        <v>0</v>
      </c>
      <c r="E229" s="620">
        <f t="shared" si="44"/>
        <v>0</v>
      </c>
      <c r="F229" s="620">
        <f t="shared" si="44"/>
        <v>0</v>
      </c>
      <c r="G229" s="620">
        <f t="shared" si="44"/>
        <v>0</v>
      </c>
      <c r="H229" s="620">
        <f t="shared" si="44"/>
        <v>0</v>
      </c>
      <c r="I229" s="620">
        <f t="shared" si="44"/>
        <v>0</v>
      </c>
      <c r="J229" s="620">
        <f t="shared" si="44"/>
        <v>0</v>
      </c>
      <c r="K229" s="620">
        <f t="shared" si="44"/>
        <v>0</v>
      </c>
      <c r="L229" s="620">
        <f t="shared" si="44"/>
        <v>0</v>
      </c>
      <c r="M229" s="620">
        <f t="shared" si="44"/>
        <v>0</v>
      </c>
      <c r="N229" s="630">
        <f>SUM(B229:M229)/12</f>
        <v>0</v>
      </c>
    </row>
    <row r="230" spans="1:14">
      <c r="A230" s="231" t="s">
        <v>86</v>
      </c>
      <c r="B230" s="620">
        <f t="shared" ref="B230:M230" si="45">B214*100/B218</f>
        <v>0</v>
      </c>
      <c r="C230" s="620">
        <f t="shared" si="45"/>
        <v>1.6139585605234461</v>
      </c>
      <c r="D230" s="620">
        <f t="shared" si="45"/>
        <v>0</v>
      </c>
      <c r="E230" s="620">
        <f t="shared" si="45"/>
        <v>0</v>
      </c>
      <c r="F230" s="620">
        <f t="shared" si="45"/>
        <v>0</v>
      </c>
      <c r="G230" s="620">
        <f t="shared" si="45"/>
        <v>0</v>
      </c>
      <c r="H230" s="620">
        <f t="shared" si="45"/>
        <v>0</v>
      </c>
      <c r="I230" s="620">
        <f t="shared" si="45"/>
        <v>0</v>
      </c>
      <c r="J230" s="620">
        <f t="shared" si="45"/>
        <v>0</v>
      </c>
      <c r="K230" s="620">
        <f t="shared" si="45"/>
        <v>0</v>
      </c>
      <c r="L230" s="620">
        <f t="shared" si="45"/>
        <v>0</v>
      </c>
      <c r="M230" s="620">
        <f t="shared" si="45"/>
        <v>0</v>
      </c>
      <c r="N230" s="630">
        <f>SUM(B230:M230)/12</f>
        <v>0.13449654671028718</v>
      </c>
    </row>
    <row r="231" spans="1:14" ht="13.5" thickBot="1">
      <c r="A231" s="231" t="s">
        <v>87</v>
      </c>
      <c r="B231" s="620">
        <f t="shared" ref="B231:M231" si="46">B210*100/B218</f>
        <v>3.915915915915916</v>
      </c>
      <c r="C231" s="620">
        <f t="shared" si="46"/>
        <v>5.1799345692475462</v>
      </c>
      <c r="D231" s="620">
        <f t="shared" si="46"/>
        <v>0</v>
      </c>
      <c r="E231" s="620">
        <f t="shared" si="46"/>
        <v>0</v>
      </c>
      <c r="F231" s="620">
        <f t="shared" si="46"/>
        <v>0</v>
      </c>
      <c r="G231" s="620">
        <f t="shared" si="46"/>
        <v>0</v>
      </c>
      <c r="H231" s="620">
        <f t="shared" si="46"/>
        <v>0</v>
      </c>
      <c r="I231" s="620">
        <f t="shared" si="46"/>
        <v>0</v>
      </c>
      <c r="J231" s="620">
        <f t="shared" si="46"/>
        <v>0</v>
      </c>
      <c r="K231" s="620">
        <f t="shared" si="46"/>
        <v>0</v>
      </c>
      <c r="L231" s="620">
        <f t="shared" si="46"/>
        <v>0</v>
      </c>
      <c r="M231" s="620">
        <f t="shared" si="46"/>
        <v>0</v>
      </c>
      <c r="N231" s="631">
        <f>SUM(B231:M231)/12</f>
        <v>0.75798754043028849</v>
      </c>
    </row>
    <row r="232" spans="1:14" ht="13.5" thickBot="1">
      <c r="A232" s="255" t="s">
        <v>88</v>
      </c>
      <c r="B232" s="636">
        <f t="shared" ref="B232:M232" si="47">SUM(B207-B218)*100/B218</f>
        <v>-7.5555555555555554</v>
      </c>
      <c r="C232" s="636">
        <f t="shared" si="47"/>
        <v>-16.074154852780808</v>
      </c>
      <c r="D232" s="636">
        <f t="shared" si="47"/>
        <v>0</v>
      </c>
      <c r="E232" s="636">
        <f t="shared" si="47"/>
        <v>0</v>
      </c>
      <c r="F232" s="636">
        <f t="shared" si="47"/>
        <v>0</v>
      </c>
      <c r="G232" s="636">
        <f t="shared" si="47"/>
        <v>0</v>
      </c>
      <c r="H232" s="636">
        <f t="shared" si="47"/>
        <v>0</v>
      </c>
      <c r="I232" s="636">
        <f t="shared" si="47"/>
        <v>0</v>
      </c>
      <c r="J232" s="636">
        <f t="shared" si="47"/>
        <v>0</v>
      </c>
      <c r="K232" s="636">
        <f t="shared" si="47"/>
        <v>0</v>
      </c>
      <c r="L232" s="636">
        <f t="shared" si="47"/>
        <v>0</v>
      </c>
      <c r="M232" s="638">
        <f t="shared" si="47"/>
        <v>0</v>
      </c>
      <c r="N232" s="639">
        <f>SUM(B232:M232)/12</f>
        <v>-1.9691425340280304</v>
      </c>
    </row>
    <row r="233" spans="1:14">
      <c r="A233" s="243"/>
      <c r="B233" s="244"/>
      <c r="C233" s="244"/>
      <c r="D233" s="244"/>
      <c r="E233" s="244"/>
      <c r="F233" s="244"/>
      <c r="G233" s="244"/>
      <c r="H233" s="244"/>
      <c r="I233" s="244"/>
      <c r="J233" s="244"/>
      <c r="K233" s="244"/>
      <c r="L233" s="244"/>
      <c r="M233" s="244"/>
      <c r="N233" s="227"/>
    </row>
    <row r="234" spans="1:14">
      <c r="A234" s="258" t="s">
        <v>89</v>
      </c>
      <c r="B234" s="244"/>
      <c r="C234" s="244"/>
      <c r="D234" s="244"/>
      <c r="E234" s="244"/>
      <c r="F234" s="244"/>
      <c r="G234" s="244"/>
      <c r="H234" s="244"/>
      <c r="I234" s="244"/>
      <c r="J234" s="244"/>
      <c r="K234" s="244"/>
      <c r="L234" s="244"/>
      <c r="M234" s="244"/>
      <c r="N234" s="227"/>
    </row>
    <row r="235" spans="1:14">
      <c r="A235" s="231" t="s">
        <v>90</v>
      </c>
      <c r="B235" s="259">
        <v>12</v>
      </c>
      <c r="C235" s="259">
        <v>12</v>
      </c>
      <c r="D235" s="259">
        <v>12</v>
      </c>
      <c r="E235" s="259">
        <v>12</v>
      </c>
      <c r="F235" s="259">
        <f t="shared" ref="F235:N235" si="48">E238</f>
        <v>12</v>
      </c>
      <c r="G235" s="259">
        <f t="shared" si="48"/>
        <v>12</v>
      </c>
      <c r="H235" s="259">
        <f t="shared" si="48"/>
        <v>12</v>
      </c>
      <c r="I235" s="259">
        <f t="shared" si="48"/>
        <v>12</v>
      </c>
      <c r="J235" s="259">
        <f t="shared" si="48"/>
        <v>12</v>
      </c>
      <c r="K235" s="259">
        <f t="shared" si="48"/>
        <v>12</v>
      </c>
      <c r="L235" s="259">
        <f t="shared" si="48"/>
        <v>12</v>
      </c>
      <c r="M235" s="259">
        <f t="shared" si="48"/>
        <v>12</v>
      </c>
      <c r="N235" s="259">
        <f t="shared" si="48"/>
        <v>12</v>
      </c>
    </row>
    <row r="236" spans="1:14">
      <c r="A236" s="231" t="s">
        <v>91</v>
      </c>
      <c r="B236" s="259"/>
      <c r="C236" s="259"/>
      <c r="D236" s="259"/>
      <c r="E236" s="259"/>
      <c r="F236" s="259"/>
      <c r="G236" s="259"/>
      <c r="H236" s="259"/>
      <c r="I236" s="259"/>
      <c r="J236" s="259"/>
      <c r="K236" s="259"/>
      <c r="L236" s="259"/>
      <c r="M236" s="259"/>
      <c r="N236" s="259">
        <f>SUM(B236:M236)/12</f>
        <v>0</v>
      </c>
    </row>
    <row r="237" spans="1:14">
      <c r="A237" s="231" t="s">
        <v>92</v>
      </c>
      <c r="B237" s="259"/>
      <c r="C237" s="259"/>
      <c r="D237" s="259"/>
      <c r="E237" s="259"/>
      <c r="F237" s="259"/>
      <c r="G237" s="259"/>
      <c r="H237" s="259"/>
      <c r="I237" s="259"/>
      <c r="J237" s="259"/>
      <c r="K237" s="259"/>
      <c r="L237" s="259"/>
      <c r="M237" s="259"/>
      <c r="N237" s="259">
        <f>SUM(B236:M236)/12</f>
        <v>0</v>
      </c>
    </row>
    <row r="238" spans="1:14">
      <c r="A238" s="231" t="s">
        <v>89</v>
      </c>
      <c r="B238" s="259">
        <f t="shared" ref="B238:M238" si="49">SUM(B235+B236-B237)</f>
        <v>12</v>
      </c>
      <c r="C238" s="259">
        <f t="shared" si="49"/>
        <v>12</v>
      </c>
      <c r="D238" s="259">
        <f t="shared" si="49"/>
        <v>12</v>
      </c>
      <c r="E238" s="259">
        <f t="shared" si="49"/>
        <v>12</v>
      </c>
      <c r="F238" s="259">
        <f t="shared" si="49"/>
        <v>12</v>
      </c>
      <c r="G238" s="259">
        <f t="shared" si="49"/>
        <v>12</v>
      </c>
      <c r="H238" s="259">
        <f t="shared" si="49"/>
        <v>12</v>
      </c>
      <c r="I238" s="259">
        <f t="shared" si="49"/>
        <v>12</v>
      </c>
      <c r="J238" s="259">
        <f t="shared" si="49"/>
        <v>12</v>
      </c>
      <c r="K238" s="259">
        <f t="shared" si="49"/>
        <v>12</v>
      </c>
      <c r="L238" s="259">
        <f t="shared" si="49"/>
        <v>12</v>
      </c>
      <c r="M238" s="259">
        <f t="shared" si="49"/>
        <v>12</v>
      </c>
      <c r="N238" s="259">
        <f>SUM(B237:M237)/12</f>
        <v>0</v>
      </c>
    </row>
    <row r="239" spans="1:14">
      <c r="A239" s="231" t="s">
        <v>93</v>
      </c>
      <c r="B239" s="260">
        <f t="shared" ref="B239:M239" si="50">SUM(B238*100)/B235-100</f>
        <v>0</v>
      </c>
      <c r="C239" s="260">
        <f t="shared" si="50"/>
        <v>0</v>
      </c>
      <c r="D239" s="260">
        <f t="shared" si="50"/>
        <v>0</v>
      </c>
      <c r="E239" s="260">
        <f t="shared" si="50"/>
        <v>0</v>
      </c>
      <c r="F239" s="260">
        <f t="shared" si="50"/>
        <v>0</v>
      </c>
      <c r="G239" s="260">
        <f t="shared" si="50"/>
        <v>0</v>
      </c>
      <c r="H239" s="260">
        <f t="shared" si="50"/>
        <v>0</v>
      </c>
      <c r="I239" s="260">
        <f t="shared" si="50"/>
        <v>0</v>
      </c>
      <c r="J239" s="260">
        <f t="shared" si="50"/>
        <v>0</v>
      </c>
      <c r="K239" s="260">
        <f t="shared" si="50"/>
        <v>0</v>
      </c>
      <c r="L239" s="260">
        <f t="shared" si="50"/>
        <v>0</v>
      </c>
      <c r="M239" s="260">
        <f t="shared" si="50"/>
        <v>0</v>
      </c>
      <c r="N239" s="259"/>
    </row>
    <row r="240" spans="1:14">
      <c r="A240" s="243" t="s">
        <v>94</v>
      </c>
      <c r="B240" s="261"/>
      <c r="C240" s="261"/>
      <c r="D240" s="262">
        <f>SUM(B239:D239/3)</f>
        <v>0</v>
      </c>
      <c r="E240" s="261"/>
      <c r="F240" s="261"/>
      <c r="G240" s="262">
        <f>SUM(E239:G239)/3</f>
        <v>0</v>
      </c>
      <c r="H240" s="261"/>
      <c r="I240" s="261"/>
      <c r="J240" s="262">
        <f>SUM(H239:J239)/3</f>
        <v>0</v>
      </c>
      <c r="K240" s="261"/>
      <c r="L240" s="261"/>
      <c r="M240" s="262">
        <f>SUM(K239:M239)/3</f>
        <v>0</v>
      </c>
      <c r="N240" s="261"/>
    </row>
    <row r="241" spans="1:17">
      <c r="A241" s="243"/>
      <c r="B241" s="244"/>
      <c r="C241" s="244"/>
      <c r="D241" s="244"/>
      <c r="E241" s="244"/>
      <c r="F241" s="244"/>
      <c r="G241" s="244"/>
      <c r="H241" s="244"/>
      <c r="I241" s="244"/>
      <c r="J241" s="244"/>
      <c r="K241" s="244"/>
      <c r="L241" s="244"/>
      <c r="M241" s="244"/>
      <c r="N241" s="227"/>
    </row>
    <row r="242" spans="1:17" ht="15.75">
      <c r="E242" s="282"/>
      <c r="M242" s="244"/>
      <c r="N242" s="227"/>
    </row>
    <row r="243" spans="1:17">
      <c r="A243" s="299"/>
      <c r="B243" s="283" t="s">
        <v>160</v>
      </c>
      <c r="C243" s="377"/>
      <c r="D243" s="377"/>
      <c r="E243" s="377"/>
      <c r="F243" s="288"/>
      <c r="N243" s="227"/>
    </row>
    <row r="244" spans="1:17">
      <c r="A244" s="691"/>
      <c r="B244" s="455"/>
      <c r="C244" s="455" t="s">
        <v>161</v>
      </c>
      <c r="D244" s="510"/>
      <c r="E244" s="270" t="s">
        <v>162</v>
      </c>
      <c r="F244" s="487" t="s">
        <v>163</v>
      </c>
    </row>
    <row r="245" spans="1:17">
      <c r="A245" s="691"/>
      <c r="B245" s="286"/>
      <c r="C245" s="303"/>
      <c r="D245" s="289"/>
      <c r="E245" s="292"/>
      <c r="F245" s="311"/>
      <c r="H245" s="584" t="s">
        <v>164</v>
      </c>
      <c r="N245" s="227"/>
    </row>
    <row r="246" spans="1:17">
      <c r="A246" s="691"/>
      <c r="B246" s="286"/>
      <c r="C246" s="303"/>
      <c r="D246" s="289"/>
      <c r="E246" s="292"/>
      <c r="F246" s="290"/>
      <c r="N246" s="227"/>
    </row>
    <row r="247" spans="1:17" ht="13.5" thickBot="1">
      <c r="A247" s="691"/>
      <c r="B247" s="309" t="s">
        <v>165</v>
      </c>
      <c r="C247" s="528" t="s">
        <v>225</v>
      </c>
      <c r="D247" s="314"/>
      <c r="E247" s="312"/>
      <c r="F247" s="692">
        <f>'[9]Øvrige Kontrakter 2015'!$K$44</f>
        <v>2964528</v>
      </c>
      <c r="N247" s="300"/>
    </row>
    <row r="248" spans="1:17" ht="13.5" thickBot="1">
      <c r="A248" s="691"/>
      <c r="B248" s="382" t="s">
        <v>167</v>
      </c>
      <c r="C248" s="383"/>
      <c r="D248" s="384"/>
      <c r="E248" s="385"/>
      <c r="F248" s="488">
        <f>SUM(F245:F247)</f>
        <v>2964528</v>
      </c>
      <c r="N248" s="227"/>
    </row>
    <row r="249" spans="1:17">
      <c r="A249" s="691"/>
      <c r="B249" s="286" t="s">
        <v>168</v>
      </c>
      <c r="C249" s="284"/>
      <c r="D249" s="284"/>
      <c r="E249" s="386"/>
      <c r="F249" s="393">
        <f>F248/12</f>
        <v>247044</v>
      </c>
      <c r="N249" s="227"/>
    </row>
    <row r="250" spans="1:17">
      <c r="A250" s="299"/>
      <c r="B250" s="244"/>
      <c r="C250" s="244"/>
      <c r="D250" s="244"/>
      <c r="E250" s="320"/>
      <c r="F250" s="244"/>
      <c r="G250" s="244"/>
      <c r="H250" s="244"/>
      <c r="N250" s="227"/>
    </row>
    <row r="251" spans="1:17">
      <c r="A251" s="258" t="s">
        <v>113</v>
      </c>
      <c r="B251" s="244"/>
      <c r="C251" s="244"/>
      <c r="D251" s="244"/>
      <c r="E251" s="244"/>
      <c r="F251" s="244"/>
      <c r="G251" s="244"/>
      <c r="H251" s="244"/>
      <c r="I251" s="244"/>
      <c r="J251" s="244"/>
      <c r="K251" s="244"/>
      <c r="L251" s="244"/>
      <c r="M251" s="244"/>
      <c r="N251" s="227"/>
    </row>
    <row r="252" spans="1:17">
      <c r="A252" s="525" t="s">
        <v>112</v>
      </c>
      <c r="B252" s="328"/>
      <c r="C252" s="232" t="s">
        <v>44</v>
      </c>
      <c r="D252" s="232" t="s">
        <v>45</v>
      </c>
      <c r="E252" s="232" t="s">
        <v>46</v>
      </c>
      <c r="F252" s="232" t="s">
        <v>47</v>
      </c>
      <c r="G252" s="232" t="s">
        <v>48</v>
      </c>
      <c r="H252" s="232" t="s">
        <v>49</v>
      </c>
      <c r="I252" s="232" t="s">
        <v>38</v>
      </c>
      <c r="J252" s="232" t="s">
        <v>39</v>
      </c>
      <c r="K252" s="232" t="s">
        <v>40</v>
      </c>
      <c r="L252" s="232" t="s">
        <v>41</v>
      </c>
      <c r="M252" s="232" t="s">
        <v>42</v>
      </c>
      <c r="N252" s="232" t="s">
        <v>43</v>
      </c>
      <c r="O252" s="228"/>
    </row>
    <row r="253" spans="1:17" ht="13.5" thickBot="1">
      <c r="B253" s="247" t="s">
        <v>116</v>
      </c>
      <c r="C253" s="331">
        <f t="shared" ref="C253:N253" si="51">$F$249</f>
        <v>247044</v>
      </c>
      <c r="D253" s="331">
        <f t="shared" si="51"/>
        <v>247044</v>
      </c>
      <c r="E253" s="331">
        <f t="shared" si="51"/>
        <v>247044</v>
      </c>
      <c r="F253" s="331">
        <f t="shared" si="51"/>
        <v>247044</v>
      </c>
      <c r="G253" s="331">
        <f t="shared" si="51"/>
        <v>247044</v>
      </c>
      <c r="H253" s="331">
        <f t="shared" si="51"/>
        <v>247044</v>
      </c>
      <c r="I253" s="331">
        <f t="shared" si="51"/>
        <v>247044</v>
      </c>
      <c r="J253" s="331">
        <f t="shared" si="51"/>
        <v>247044</v>
      </c>
      <c r="K253" s="331">
        <f t="shared" si="51"/>
        <v>247044</v>
      </c>
      <c r="L253" s="331">
        <f t="shared" si="51"/>
        <v>247044</v>
      </c>
      <c r="M253" s="331">
        <f t="shared" si="51"/>
        <v>247044</v>
      </c>
      <c r="N253" s="331">
        <f t="shared" si="51"/>
        <v>247044</v>
      </c>
      <c r="O253" s="331">
        <f t="shared" ref="O253:O278" si="52">SUM(C253:N253)</f>
        <v>2964528</v>
      </c>
      <c r="P253" s="708"/>
    </row>
    <row r="254" spans="1:17" ht="13.5" thickBot="1">
      <c r="A254" s="226">
        <v>9845400000</v>
      </c>
      <c r="B254" s="333" t="s">
        <v>169</v>
      </c>
      <c r="C254" s="395">
        <f>C253</f>
        <v>247044</v>
      </c>
      <c r="D254" s="395">
        <f t="shared" ref="D254:N254" si="53">D253</f>
        <v>247044</v>
      </c>
      <c r="E254" s="395">
        <f t="shared" si="53"/>
        <v>247044</v>
      </c>
      <c r="F254" s="395">
        <f t="shared" si="53"/>
        <v>247044</v>
      </c>
      <c r="G254" s="395">
        <f t="shared" si="53"/>
        <v>247044</v>
      </c>
      <c r="H254" s="395">
        <f t="shared" si="53"/>
        <v>247044</v>
      </c>
      <c r="I254" s="395">
        <f t="shared" si="53"/>
        <v>247044</v>
      </c>
      <c r="J254" s="395">
        <f t="shared" si="53"/>
        <v>247044</v>
      </c>
      <c r="K254" s="395">
        <f t="shared" si="53"/>
        <v>247044</v>
      </c>
      <c r="L254" s="395">
        <f t="shared" si="53"/>
        <v>247044</v>
      </c>
      <c r="M254" s="395">
        <f t="shared" si="53"/>
        <v>247044</v>
      </c>
      <c r="N254" s="395">
        <f t="shared" si="53"/>
        <v>247044</v>
      </c>
      <c r="O254" s="395">
        <f t="shared" si="52"/>
        <v>2964528</v>
      </c>
      <c r="P254" s="708"/>
    </row>
    <row r="255" spans="1:17">
      <c r="A255" s="226">
        <v>9870000000</v>
      </c>
      <c r="B255" s="336" t="s">
        <v>170</v>
      </c>
      <c r="C255" s="365">
        <v>193166.7</v>
      </c>
      <c r="D255" s="365">
        <v>166187</v>
      </c>
      <c r="E255" s="365"/>
      <c r="F255" s="365"/>
      <c r="G255" s="365"/>
      <c r="H255" s="693"/>
      <c r="I255" s="365"/>
      <c r="J255" s="365"/>
      <c r="K255" s="365"/>
      <c r="L255" s="365"/>
      <c r="M255" s="365"/>
      <c r="N255" s="365"/>
      <c r="O255" s="365">
        <f t="shared" si="52"/>
        <v>359353.7</v>
      </c>
      <c r="P255" s="708">
        <v>1875000</v>
      </c>
      <c r="Q255" s="291"/>
    </row>
    <row r="256" spans="1:17">
      <c r="A256" s="226">
        <v>9840000000</v>
      </c>
      <c r="B256" s="336" t="s">
        <v>171</v>
      </c>
      <c r="C256" s="365">
        <v>0</v>
      </c>
      <c r="D256" s="365">
        <v>1679</v>
      </c>
      <c r="E256" s="365"/>
      <c r="F256" s="365"/>
      <c r="G256" s="365"/>
      <c r="H256" s="365"/>
      <c r="I256" s="365"/>
      <c r="J256" s="365"/>
      <c r="K256" s="365"/>
      <c r="L256" s="365"/>
      <c r="M256" s="365"/>
      <c r="N256" s="365"/>
      <c r="O256" s="365">
        <f t="shared" si="52"/>
        <v>1679</v>
      </c>
      <c r="P256" s="708">
        <v>125000</v>
      </c>
    </row>
    <row r="257" spans="1:18">
      <c r="A257" s="226">
        <v>7909900000</v>
      </c>
      <c r="B257" s="228" t="s">
        <v>121</v>
      </c>
      <c r="C257" s="329">
        <v>0</v>
      </c>
      <c r="D257" s="329">
        <v>29586</v>
      </c>
      <c r="E257" s="329"/>
      <c r="F257" s="329"/>
      <c r="G257" s="329"/>
      <c r="H257" s="358"/>
      <c r="I257" s="329"/>
      <c r="J257" s="329"/>
      <c r="K257" s="329"/>
      <c r="L257" s="329"/>
      <c r="M257" s="329"/>
      <c r="N257" s="329"/>
      <c r="O257" s="365">
        <f t="shared" si="52"/>
        <v>29586</v>
      </c>
      <c r="P257" s="708">
        <v>80000</v>
      </c>
    </row>
    <row r="258" spans="1:18">
      <c r="B258" s="349"/>
      <c r="C258" s="329"/>
      <c r="D258" s="329"/>
      <c r="E258" s="329"/>
      <c r="F258" s="329"/>
      <c r="G258" s="329"/>
      <c r="H258" s="358"/>
      <c r="I258" s="329"/>
      <c r="J258" s="329"/>
      <c r="K258" s="329"/>
      <c r="L258" s="329"/>
      <c r="M258" s="329"/>
      <c r="N258" s="329"/>
      <c r="O258" s="365">
        <f t="shared" si="52"/>
        <v>0</v>
      </c>
      <c r="P258" s="708"/>
    </row>
    <row r="259" spans="1:18" ht="13.5" thickBot="1">
      <c r="B259" s="228"/>
      <c r="C259" s="357"/>
      <c r="D259" s="357"/>
      <c r="E259" s="357"/>
      <c r="F259" s="357"/>
      <c r="G259" s="357"/>
      <c r="H259" s="694"/>
      <c r="I259" s="357"/>
      <c r="J259" s="357"/>
      <c r="K259" s="329"/>
      <c r="L259" s="357"/>
      <c r="M259" s="357"/>
      <c r="N259" s="357"/>
      <c r="O259" s="365">
        <f t="shared" si="52"/>
        <v>0</v>
      </c>
      <c r="P259" s="708"/>
    </row>
    <row r="260" spans="1:18" ht="13.5" thickBot="1">
      <c r="B260" s="361" t="s">
        <v>112</v>
      </c>
      <c r="C260" s="395">
        <f t="shared" ref="C260:N260" si="54">SUM(C255:C259)</f>
        <v>193166.7</v>
      </c>
      <c r="D260" s="395">
        <f t="shared" si="54"/>
        <v>197452</v>
      </c>
      <c r="E260" s="395">
        <f t="shared" si="54"/>
        <v>0</v>
      </c>
      <c r="F260" s="395">
        <f t="shared" si="54"/>
        <v>0</v>
      </c>
      <c r="G260" s="395">
        <f t="shared" si="54"/>
        <v>0</v>
      </c>
      <c r="H260" s="395">
        <f t="shared" si="54"/>
        <v>0</v>
      </c>
      <c r="I260" s="395">
        <f t="shared" si="54"/>
        <v>0</v>
      </c>
      <c r="J260" s="395">
        <f t="shared" si="54"/>
        <v>0</v>
      </c>
      <c r="K260" s="395">
        <f t="shared" si="54"/>
        <v>0</v>
      </c>
      <c r="L260" s="395">
        <f t="shared" si="54"/>
        <v>0</v>
      </c>
      <c r="M260" s="395">
        <f t="shared" si="54"/>
        <v>0</v>
      </c>
      <c r="N260" s="395">
        <f t="shared" si="54"/>
        <v>0</v>
      </c>
      <c r="O260" s="395">
        <f t="shared" si="52"/>
        <v>390618.7</v>
      </c>
      <c r="P260" s="708"/>
    </row>
    <row r="261" spans="1:18" ht="13.5" thickBot="1">
      <c r="B261" s="349" t="s">
        <v>127</v>
      </c>
      <c r="C261" s="332"/>
      <c r="D261" s="332"/>
      <c r="E261" s="332"/>
      <c r="F261" s="332"/>
      <c r="G261" s="332"/>
      <c r="H261" s="398"/>
      <c r="I261" s="332"/>
      <c r="J261" s="332"/>
      <c r="K261" s="332"/>
      <c r="L261" s="332"/>
      <c r="M261" s="332"/>
      <c r="N261" s="332"/>
      <c r="O261" s="331">
        <f t="shared" si="52"/>
        <v>0</v>
      </c>
      <c r="P261" s="708"/>
    </row>
    <row r="262" spans="1:18" ht="13.5" thickBot="1">
      <c r="B262" s="690" t="s">
        <v>129</v>
      </c>
      <c r="C262" s="334">
        <f t="shared" ref="C262:N262" si="55">SUM(C254,C260,C261)</f>
        <v>440210.7</v>
      </c>
      <c r="D262" s="334">
        <f t="shared" si="55"/>
        <v>444496</v>
      </c>
      <c r="E262" s="334">
        <f t="shared" si="55"/>
        <v>247044</v>
      </c>
      <c r="F262" s="334">
        <f t="shared" si="55"/>
        <v>247044</v>
      </c>
      <c r="G262" s="334">
        <f t="shared" si="55"/>
        <v>247044</v>
      </c>
      <c r="H262" s="334">
        <f t="shared" si="55"/>
        <v>247044</v>
      </c>
      <c r="I262" s="334">
        <f t="shared" si="55"/>
        <v>247044</v>
      </c>
      <c r="J262" s="334">
        <f t="shared" si="55"/>
        <v>247044</v>
      </c>
      <c r="K262" s="334">
        <f t="shared" si="55"/>
        <v>247044</v>
      </c>
      <c r="L262" s="334">
        <f t="shared" si="55"/>
        <v>247044</v>
      </c>
      <c r="M262" s="334">
        <f t="shared" si="55"/>
        <v>247044</v>
      </c>
      <c r="N262" s="334">
        <f t="shared" si="55"/>
        <v>247044</v>
      </c>
      <c r="O262" s="709">
        <f t="shared" si="52"/>
        <v>3355146.7</v>
      </c>
      <c r="P262" s="708"/>
    </row>
    <row r="263" spans="1:18">
      <c r="A263" s="525" t="s">
        <v>130</v>
      </c>
      <c r="B263" s="689" t="s">
        <v>172</v>
      </c>
      <c r="C263" s="357">
        <v>106174</v>
      </c>
      <c r="D263" s="357">
        <v>108429</v>
      </c>
      <c r="E263" s="357">
        <v>125000</v>
      </c>
      <c r="F263" s="357">
        <v>150000</v>
      </c>
      <c r="G263" s="357">
        <v>125000</v>
      </c>
      <c r="H263" s="357">
        <v>125000</v>
      </c>
      <c r="I263" s="357">
        <v>125000</v>
      </c>
      <c r="J263" s="357">
        <v>125000</v>
      </c>
      <c r="K263" s="357">
        <v>125000</v>
      </c>
      <c r="L263" s="357">
        <v>125000</v>
      </c>
      <c r="M263" s="357">
        <v>125000</v>
      </c>
      <c r="N263" s="357">
        <v>125000</v>
      </c>
      <c r="O263" s="329">
        <f t="shared" si="52"/>
        <v>1489603</v>
      </c>
      <c r="P263" s="708" t="s">
        <v>173</v>
      </c>
      <c r="Q263" s="291">
        <v>1574800</v>
      </c>
    </row>
    <row r="264" spans="1:18">
      <c r="A264" s="226">
        <v>9845000000</v>
      </c>
      <c r="B264" s="228" t="s">
        <v>174</v>
      </c>
      <c r="C264" s="331"/>
      <c r="D264" s="331"/>
      <c r="E264" s="331"/>
      <c r="F264" s="331"/>
      <c r="G264" s="331"/>
      <c r="H264" s="331"/>
      <c r="I264" s="331"/>
      <c r="J264" s="331"/>
      <c r="K264" s="331"/>
      <c r="L264" s="331"/>
      <c r="M264" s="331"/>
      <c r="N264" s="331"/>
      <c r="O264" s="365">
        <f t="shared" si="52"/>
        <v>0</v>
      </c>
      <c r="P264" s="708">
        <v>40000</v>
      </c>
    </row>
    <row r="265" spans="1:18">
      <c r="A265" s="226">
        <v>4009900000</v>
      </c>
      <c r="B265" s="228" t="s">
        <v>136</v>
      </c>
      <c r="C265" s="331">
        <v>5195</v>
      </c>
      <c r="D265" s="331">
        <v>337</v>
      </c>
      <c r="E265" s="331"/>
      <c r="F265" s="331"/>
      <c r="G265" s="331"/>
      <c r="H265" s="331"/>
      <c r="I265" s="331"/>
      <c r="J265" s="331"/>
      <c r="K265" s="331"/>
      <c r="L265" s="331"/>
      <c r="M265" s="331"/>
      <c r="N265" s="331"/>
      <c r="O265" s="365">
        <f t="shared" si="52"/>
        <v>5532</v>
      </c>
      <c r="P265" s="708">
        <v>40000</v>
      </c>
      <c r="Q265" s="525"/>
    </row>
    <row r="266" spans="1:18">
      <c r="A266" s="226">
        <v>2709900000</v>
      </c>
      <c r="B266" s="228" t="s">
        <v>175</v>
      </c>
      <c r="C266" s="331">
        <v>0</v>
      </c>
      <c r="D266" s="331">
        <v>0</v>
      </c>
      <c r="E266" s="331">
        <v>200000</v>
      </c>
      <c r="F266" s="331"/>
      <c r="G266" s="331"/>
      <c r="H266" s="331"/>
      <c r="I266" s="331"/>
      <c r="J266" s="331"/>
      <c r="K266" s="331"/>
      <c r="L266" s="331"/>
      <c r="M266" s="331"/>
      <c r="N266" s="331"/>
      <c r="O266" s="365">
        <f t="shared" si="52"/>
        <v>200000</v>
      </c>
      <c r="P266" s="708">
        <v>200000</v>
      </c>
      <c r="Q266" s="584" t="s">
        <v>176</v>
      </c>
    </row>
    <row r="267" spans="1:18">
      <c r="A267" s="388">
        <v>2911800000</v>
      </c>
      <c r="B267" s="228" t="s">
        <v>135</v>
      </c>
      <c r="C267" s="331">
        <v>0</v>
      </c>
      <c r="D267" s="331">
        <v>0</v>
      </c>
      <c r="E267" s="331">
        <v>40000</v>
      </c>
      <c r="F267" s="331"/>
      <c r="G267" s="331"/>
      <c r="H267" s="331"/>
      <c r="I267" s="331"/>
      <c r="J267" s="331"/>
      <c r="K267" s="331"/>
      <c r="L267" s="331"/>
      <c r="M267" s="331"/>
      <c r="N267" s="331"/>
      <c r="O267" s="365">
        <f t="shared" si="52"/>
        <v>40000</v>
      </c>
      <c r="P267" s="708"/>
      <c r="Q267" s="525"/>
    </row>
    <row r="268" spans="1:18">
      <c r="A268" s="226">
        <v>2310100000</v>
      </c>
      <c r="B268" s="228" t="s">
        <v>177</v>
      </c>
      <c r="C268" s="331">
        <v>0</v>
      </c>
      <c r="D268" s="331">
        <v>4178</v>
      </c>
      <c r="E268" s="331">
        <v>5000</v>
      </c>
      <c r="F268" s="331">
        <v>5000</v>
      </c>
      <c r="G268" s="331">
        <v>5000</v>
      </c>
      <c r="H268" s="331">
        <v>5000</v>
      </c>
      <c r="I268" s="331">
        <v>5000</v>
      </c>
      <c r="J268" s="331">
        <v>5000</v>
      </c>
      <c r="K268" s="331">
        <v>5000</v>
      </c>
      <c r="L268" s="331">
        <v>5000</v>
      </c>
      <c r="M268" s="331">
        <v>5000</v>
      </c>
      <c r="N268" s="331">
        <v>5000</v>
      </c>
      <c r="O268" s="365">
        <f t="shared" si="52"/>
        <v>54178</v>
      </c>
      <c r="P268" s="708">
        <v>60000</v>
      </c>
    </row>
    <row r="269" spans="1:18">
      <c r="A269" s="388">
        <v>9845500000</v>
      </c>
      <c r="B269" s="228" t="s">
        <v>178</v>
      </c>
      <c r="C269" s="331">
        <v>0</v>
      </c>
      <c r="D269" s="331">
        <v>14484</v>
      </c>
      <c r="E269" s="331"/>
      <c r="F269" s="331"/>
      <c r="G269" s="331"/>
      <c r="H269" s="331"/>
      <c r="I269" s="331"/>
      <c r="J269" s="331"/>
      <c r="K269" s="331"/>
      <c r="L269" s="331"/>
      <c r="M269" s="331"/>
      <c r="N269" s="331"/>
      <c r="O269" s="329">
        <f t="shared" si="52"/>
        <v>14484</v>
      </c>
      <c r="P269" s="708">
        <v>130000</v>
      </c>
    </row>
    <row r="270" spans="1:18">
      <c r="A270" s="226">
        <v>4909900000</v>
      </c>
      <c r="B270" s="228" t="s">
        <v>179</v>
      </c>
      <c r="C270" s="331">
        <v>1988</v>
      </c>
      <c r="D270" s="331">
        <v>6491</v>
      </c>
      <c r="E270" s="331"/>
      <c r="F270" s="331"/>
      <c r="G270" s="331"/>
      <c r="H270" s="331"/>
      <c r="I270" s="331"/>
      <c r="J270" s="331"/>
      <c r="K270" s="331"/>
      <c r="L270" s="331"/>
      <c r="M270" s="331"/>
      <c r="N270" s="331"/>
      <c r="O270" s="329">
        <f t="shared" si="52"/>
        <v>8479</v>
      </c>
      <c r="P270" s="708">
        <v>200000</v>
      </c>
    </row>
    <row r="271" spans="1:18">
      <c r="A271" s="226">
        <v>4516500000</v>
      </c>
      <c r="B271" s="228" t="s">
        <v>180</v>
      </c>
      <c r="C271" s="331">
        <v>49640</v>
      </c>
      <c r="D271" s="331">
        <v>46558</v>
      </c>
      <c r="E271" s="331"/>
      <c r="F271" s="331"/>
      <c r="G271" s="331"/>
      <c r="H271" s="331"/>
      <c r="I271" s="331"/>
      <c r="J271" s="331"/>
      <c r="K271" s="331"/>
      <c r="L271" s="331"/>
      <c r="M271" s="331"/>
      <c r="N271" s="331"/>
      <c r="O271" s="329">
        <f t="shared" si="52"/>
        <v>96198</v>
      </c>
      <c r="P271" s="708">
        <v>80000</v>
      </c>
      <c r="R271" s="525"/>
    </row>
    <row r="272" spans="1:18">
      <c r="A272" s="226">
        <v>2909900000</v>
      </c>
      <c r="B272" s="228" t="s">
        <v>181</v>
      </c>
      <c r="C272" s="331">
        <v>5794</v>
      </c>
      <c r="D272" s="331">
        <v>3157</v>
      </c>
      <c r="E272" s="331"/>
      <c r="F272" s="331"/>
      <c r="G272" s="331"/>
      <c r="H272" s="331"/>
      <c r="I272" s="331"/>
      <c r="J272" s="331"/>
      <c r="K272" s="331"/>
      <c r="L272" s="331"/>
      <c r="M272" s="331"/>
      <c r="N272" s="331"/>
      <c r="O272" s="329">
        <f t="shared" si="52"/>
        <v>8951</v>
      </c>
      <c r="P272" s="708">
        <v>60000</v>
      </c>
    </row>
    <row r="273" spans="1:17">
      <c r="A273" s="226">
        <v>4010400000</v>
      </c>
      <c r="B273" s="228" t="s">
        <v>182</v>
      </c>
      <c r="C273" s="331">
        <v>186317</v>
      </c>
      <c r="D273" s="331">
        <v>160908</v>
      </c>
      <c r="E273" s="331"/>
      <c r="F273" s="331"/>
      <c r="G273" s="331"/>
      <c r="H273" s="331"/>
      <c r="I273" s="331"/>
      <c r="J273" s="331"/>
      <c r="K273" s="331"/>
      <c r="L273" s="331"/>
      <c r="M273" s="331"/>
      <c r="N273" s="331"/>
      <c r="O273" s="329">
        <f t="shared" si="52"/>
        <v>347225</v>
      </c>
      <c r="P273" s="708">
        <v>1800000</v>
      </c>
      <c r="Q273" s="291"/>
    </row>
    <row r="274" spans="1:17">
      <c r="A274" s="226">
        <v>4910300000</v>
      </c>
      <c r="B274" s="228" t="s">
        <v>171</v>
      </c>
      <c r="C274" s="329">
        <v>4687</v>
      </c>
      <c r="D274" s="329">
        <v>3676</v>
      </c>
      <c r="E274" s="329"/>
      <c r="F274" s="329"/>
      <c r="G274" s="329"/>
      <c r="H274" s="329"/>
      <c r="I274" s="329"/>
      <c r="J274" s="329"/>
      <c r="K274" s="329"/>
      <c r="L274" s="329"/>
      <c r="M274" s="329"/>
      <c r="N274" s="329"/>
      <c r="O274" s="329">
        <f t="shared" si="52"/>
        <v>8363</v>
      </c>
      <c r="P274" s="708">
        <v>60000</v>
      </c>
    </row>
    <row r="275" spans="1:17">
      <c r="B275" s="349"/>
      <c r="C275" s="331"/>
      <c r="D275" s="331"/>
      <c r="E275" s="331"/>
      <c r="F275" s="331"/>
      <c r="G275" s="331"/>
      <c r="H275" s="331"/>
      <c r="I275" s="331"/>
      <c r="J275" s="331"/>
      <c r="K275" s="331"/>
      <c r="L275" s="331"/>
      <c r="M275" s="331"/>
      <c r="N275" s="331"/>
      <c r="O275" s="329">
        <f t="shared" si="52"/>
        <v>0</v>
      </c>
      <c r="P275" s="708"/>
    </row>
    <row r="276" spans="1:17" ht="13.5" thickBot="1">
      <c r="A276" s="226">
        <v>4911800000</v>
      </c>
      <c r="B276" s="349" t="s">
        <v>183</v>
      </c>
      <c r="C276" s="331">
        <v>465</v>
      </c>
      <c r="D276" s="331">
        <v>25024</v>
      </c>
      <c r="E276" s="331"/>
      <c r="F276" s="331"/>
      <c r="G276" s="331"/>
      <c r="H276" s="331"/>
      <c r="I276" s="331"/>
      <c r="J276" s="331"/>
      <c r="K276" s="331"/>
      <c r="L276" s="331"/>
      <c r="M276" s="331"/>
      <c r="N276" s="331"/>
      <c r="O276" s="329">
        <f t="shared" si="52"/>
        <v>25489</v>
      </c>
      <c r="P276" s="708">
        <v>120000</v>
      </c>
      <c r="Q276" s="525"/>
    </row>
    <row r="277" spans="1:17" ht="13.5" thickBot="1">
      <c r="B277" s="690" t="s">
        <v>145</v>
      </c>
      <c r="C277" s="334">
        <f>SUM(C263:C276)</f>
        <v>360260</v>
      </c>
      <c r="D277" s="334">
        <f t="shared" ref="D277:O277" si="56">SUM(D263:D276)</f>
        <v>373242</v>
      </c>
      <c r="E277" s="334">
        <f t="shared" si="56"/>
        <v>370000</v>
      </c>
      <c r="F277" s="334">
        <f t="shared" si="56"/>
        <v>155000</v>
      </c>
      <c r="G277" s="334">
        <f t="shared" si="56"/>
        <v>130000</v>
      </c>
      <c r="H277" s="334">
        <f t="shared" si="56"/>
        <v>130000</v>
      </c>
      <c r="I277" s="334">
        <f t="shared" si="56"/>
        <v>130000</v>
      </c>
      <c r="J277" s="334">
        <f t="shared" si="56"/>
        <v>130000</v>
      </c>
      <c r="K277" s="334">
        <f t="shared" si="56"/>
        <v>130000</v>
      </c>
      <c r="L277" s="334">
        <f t="shared" si="56"/>
        <v>130000</v>
      </c>
      <c r="M277" s="334">
        <f t="shared" si="56"/>
        <v>130000</v>
      </c>
      <c r="N277" s="334">
        <f t="shared" si="56"/>
        <v>130000</v>
      </c>
      <c r="O277" s="334">
        <f t="shared" si="56"/>
        <v>2298502</v>
      </c>
      <c r="P277" s="708"/>
    </row>
    <row r="278" spans="1:17" ht="13.5" thickBot="1">
      <c r="B278" s="695" t="s">
        <v>146</v>
      </c>
      <c r="C278" s="351">
        <f>C262-SUM(C263:C276)</f>
        <v>79950.700000000012</v>
      </c>
      <c r="D278" s="351">
        <f t="shared" ref="D278:N278" si="57">D262-SUM(D263:D276)</f>
        <v>71254</v>
      </c>
      <c r="E278" s="351">
        <f t="shared" si="57"/>
        <v>-122956</v>
      </c>
      <c r="F278" s="351">
        <f t="shared" si="57"/>
        <v>92044</v>
      </c>
      <c r="G278" s="351">
        <f t="shared" si="57"/>
        <v>117044</v>
      </c>
      <c r="H278" s="351">
        <f t="shared" si="57"/>
        <v>117044</v>
      </c>
      <c r="I278" s="351">
        <f t="shared" si="57"/>
        <v>117044</v>
      </c>
      <c r="J278" s="351">
        <f t="shared" si="57"/>
        <v>117044</v>
      </c>
      <c r="K278" s="351">
        <f t="shared" si="57"/>
        <v>117044</v>
      </c>
      <c r="L278" s="351">
        <f t="shared" si="57"/>
        <v>117044</v>
      </c>
      <c r="M278" s="351">
        <f t="shared" si="57"/>
        <v>117044</v>
      </c>
      <c r="N278" s="351">
        <f t="shared" si="57"/>
        <v>117044</v>
      </c>
      <c r="O278" s="351">
        <f t="shared" si="52"/>
        <v>1056644.7</v>
      </c>
    </row>
    <row r="279" spans="1:17" ht="15" customHeight="1">
      <c r="A279" s="406"/>
      <c r="B279" s="517"/>
      <c r="C279" s="517"/>
      <c r="D279" s="517"/>
      <c r="E279" s="517"/>
      <c r="F279" s="517"/>
      <c r="G279" s="517"/>
      <c r="H279" s="517"/>
      <c r="I279" s="517"/>
      <c r="J279" s="517"/>
      <c r="K279" s="517"/>
      <c r="L279" s="517"/>
      <c r="M279" s="517"/>
      <c r="N279" s="517"/>
    </row>
    <row r="280" spans="1:17" ht="15" customHeight="1" thickBot="1">
      <c r="A280" s="406"/>
      <c r="B280" s="517"/>
      <c r="C280" s="517"/>
      <c r="D280" s="517"/>
      <c r="E280" s="517"/>
      <c r="F280" s="517"/>
      <c r="G280" s="517"/>
      <c r="H280" s="517"/>
      <c r="I280" s="517"/>
      <c r="J280" s="517"/>
      <c r="K280" s="517"/>
      <c r="L280" s="517"/>
      <c r="M280" s="517"/>
      <c r="N280" s="517"/>
    </row>
    <row r="281" spans="1:17" ht="20.25">
      <c r="A281" s="826" t="s">
        <v>226</v>
      </c>
      <c r="B281" s="826"/>
      <c r="C281" s="826"/>
      <c r="D281" s="826"/>
      <c r="E281" s="826"/>
      <c r="F281" s="826"/>
      <c r="G281" s="826"/>
      <c r="H281" s="826"/>
      <c r="I281" s="826"/>
      <c r="J281" s="826"/>
      <c r="K281" s="826"/>
      <c r="L281" s="826"/>
      <c r="M281" s="826"/>
      <c r="N281" s="826"/>
    </row>
    <row r="282" spans="1:17">
      <c r="A282" s="227"/>
      <c r="B282" s="227"/>
      <c r="C282" s="227"/>
      <c r="D282" s="227"/>
      <c r="E282" s="227"/>
      <c r="F282" s="227"/>
      <c r="G282" s="227"/>
      <c r="H282" s="227"/>
      <c r="I282" s="227"/>
      <c r="J282" s="227"/>
      <c r="K282" s="227"/>
      <c r="L282" s="227"/>
      <c r="M282" s="227"/>
    </row>
    <row r="283" spans="1:17">
      <c r="A283" s="228"/>
      <c r="B283" s="229" t="s">
        <v>44</v>
      </c>
      <c r="C283" s="229" t="s">
        <v>45</v>
      </c>
      <c r="D283" s="230" t="s">
        <v>46</v>
      </c>
      <c r="E283" s="229" t="s">
        <v>47</v>
      </c>
      <c r="F283" s="229" t="s">
        <v>48</v>
      </c>
      <c r="G283" s="230" t="s">
        <v>49</v>
      </c>
      <c r="H283" s="229" t="s">
        <v>38</v>
      </c>
      <c r="I283" s="229" t="s">
        <v>39</v>
      </c>
      <c r="J283" s="229" t="s">
        <v>40</v>
      </c>
      <c r="K283" s="229" t="s">
        <v>41</v>
      </c>
      <c r="L283" s="229" t="s">
        <v>42</v>
      </c>
      <c r="M283" s="229" t="s">
        <v>43</v>
      </c>
      <c r="N283" s="228" t="s">
        <v>64</v>
      </c>
    </row>
    <row r="284" spans="1:17">
      <c r="A284" s="231" t="s">
        <v>65</v>
      </c>
      <c r="B284" s="620">
        <v>1924</v>
      </c>
      <c r="C284" s="620">
        <v>1924</v>
      </c>
      <c r="D284" s="620">
        <v>1924</v>
      </c>
      <c r="E284" s="620">
        <v>1924</v>
      </c>
      <c r="F284" s="620">
        <v>1924</v>
      </c>
      <c r="G284" s="620">
        <v>1924</v>
      </c>
      <c r="H284" s="620">
        <v>1924</v>
      </c>
      <c r="I284" s="620">
        <v>1924</v>
      </c>
      <c r="J284" s="620">
        <v>1924</v>
      </c>
      <c r="K284" s="620">
        <v>1924</v>
      </c>
      <c r="L284" s="620">
        <v>1924</v>
      </c>
      <c r="M284" s="620">
        <v>1924</v>
      </c>
      <c r="N284" s="620">
        <f t="shared" ref="N284:N294" si="58">SUM(B284:M284)</f>
        <v>23088</v>
      </c>
    </row>
    <row r="285" spans="1:17">
      <c r="A285" s="231" t="s">
        <v>66</v>
      </c>
      <c r="B285" s="620"/>
      <c r="C285" s="620"/>
      <c r="D285" s="620"/>
      <c r="E285" s="620"/>
      <c r="F285" s="620"/>
      <c r="G285" s="621"/>
      <c r="H285" s="620"/>
      <c r="I285" s="620"/>
      <c r="J285" s="622"/>
      <c r="K285" s="620"/>
      <c r="L285" s="620"/>
      <c r="M285" s="620"/>
      <c r="N285" s="620">
        <f t="shared" si="58"/>
        <v>0</v>
      </c>
    </row>
    <row r="286" spans="1:17">
      <c r="A286" s="231" t="s">
        <v>67</v>
      </c>
      <c r="B286" s="620"/>
      <c r="C286" s="620"/>
      <c r="D286" s="620"/>
      <c r="E286" s="620"/>
      <c r="F286" s="620"/>
      <c r="G286" s="621"/>
      <c r="H286" s="620"/>
      <c r="I286" s="620"/>
      <c r="J286" s="620"/>
      <c r="K286" s="620"/>
      <c r="L286" s="620"/>
      <c r="M286" s="620"/>
      <c r="N286" s="620">
        <f t="shared" si="58"/>
        <v>0</v>
      </c>
    </row>
    <row r="287" spans="1:17">
      <c r="A287" s="231" t="s">
        <v>69</v>
      </c>
      <c r="B287" s="620"/>
      <c r="C287" s="620"/>
      <c r="D287" s="620"/>
      <c r="E287" s="620"/>
      <c r="F287" s="620"/>
      <c r="G287" s="621"/>
      <c r="H287" s="620"/>
      <c r="I287" s="620"/>
      <c r="J287" s="620"/>
      <c r="K287" s="620"/>
      <c r="L287" s="620"/>
      <c r="M287" s="620"/>
      <c r="N287" s="620">
        <f t="shared" si="58"/>
        <v>0</v>
      </c>
    </row>
    <row r="288" spans="1:17">
      <c r="A288" s="231" t="s">
        <v>70</v>
      </c>
      <c r="B288" s="620"/>
      <c r="C288" s="620"/>
      <c r="D288" s="620"/>
      <c r="E288" s="620"/>
      <c r="F288" s="620"/>
      <c r="G288" s="621"/>
      <c r="H288" s="620"/>
      <c r="I288" s="620"/>
      <c r="J288" s="620"/>
      <c r="K288" s="620"/>
      <c r="L288" s="620"/>
      <c r="M288" s="620"/>
      <c r="N288" s="620">
        <f t="shared" si="58"/>
        <v>0</v>
      </c>
    </row>
    <row r="289" spans="1:14">
      <c r="A289" s="231" t="s">
        <v>71</v>
      </c>
      <c r="B289" s="620"/>
      <c r="C289" s="620"/>
      <c r="D289" s="620"/>
      <c r="E289" s="620"/>
      <c r="F289" s="620"/>
      <c r="G289" s="621"/>
      <c r="H289" s="620"/>
      <c r="I289" s="620"/>
      <c r="J289" s="620"/>
      <c r="K289" s="620"/>
      <c r="L289" s="620"/>
      <c r="M289" s="620"/>
      <c r="N289" s="620">
        <f t="shared" si="58"/>
        <v>0</v>
      </c>
    </row>
    <row r="290" spans="1:14">
      <c r="A290" s="231" t="s">
        <v>72</v>
      </c>
      <c r="B290" s="620"/>
      <c r="C290" s="620"/>
      <c r="D290" s="620"/>
      <c r="E290" s="620"/>
      <c r="F290" s="620"/>
      <c r="G290" s="621"/>
      <c r="H290" s="620"/>
      <c r="I290" s="620"/>
      <c r="J290" s="620"/>
      <c r="K290" s="620"/>
      <c r="L290" s="620"/>
      <c r="M290" s="620"/>
      <c r="N290" s="620">
        <f t="shared" si="58"/>
        <v>0</v>
      </c>
    </row>
    <row r="291" spans="1:14">
      <c r="A291" s="231" t="s">
        <v>73</v>
      </c>
      <c r="B291" s="620"/>
      <c r="C291" s="620"/>
      <c r="D291" s="620"/>
      <c r="E291" s="620"/>
      <c r="F291" s="620"/>
      <c r="G291" s="621"/>
      <c r="H291" s="620"/>
      <c r="I291" s="620"/>
      <c r="J291" s="620"/>
      <c r="K291" s="620"/>
      <c r="L291" s="620"/>
      <c r="M291" s="620"/>
      <c r="N291" s="620">
        <f t="shared" si="58"/>
        <v>0</v>
      </c>
    </row>
    <row r="292" spans="1:14">
      <c r="A292" s="231" t="s">
        <v>74</v>
      </c>
      <c r="B292" s="620"/>
      <c r="C292" s="620"/>
      <c r="D292" s="620"/>
      <c r="E292" s="620"/>
      <c r="F292" s="620"/>
      <c r="G292" s="621"/>
      <c r="H292" s="620"/>
      <c r="I292" s="620"/>
      <c r="J292" s="620"/>
      <c r="K292" s="620"/>
      <c r="L292" s="620"/>
      <c r="M292" s="620"/>
      <c r="N292" s="620">
        <f t="shared" si="58"/>
        <v>0</v>
      </c>
    </row>
    <row r="293" spans="1:14">
      <c r="A293" s="231" t="s">
        <v>75</v>
      </c>
      <c r="B293" s="620"/>
      <c r="C293" s="620"/>
      <c r="D293" s="620"/>
      <c r="E293" s="620"/>
      <c r="F293" s="620"/>
      <c r="G293" s="621"/>
      <c r="H293" s="620"/>
      <c r="I293" s="620"/>
      <c r="J293" s="620"/>
      <c r="K293" s="620"/>
      <c r="L293" s="620"/>
      <c r="M293" s="620"/>
      <c r="N293" s="620">
        <f t="shared" si="58"/>
        <v>0</v>
      </c>
    </row>
    <row r="294" spans="1:14" ht="13.5" thickBot="1">
      <c r="A294" s="235" t="s">
        <v>76</v>
      </c>
      <c r="B294" s="623"/>
      <c r="C294" s="623"/>
      <c r="D294" s="623"/>
      <c r="E294" s="623"/>
      <c r="F294" s="623"/>
      <c r="G294" s="624"/>
      <c r="H294" s="623"/>
      <c r="I294" s="623"/>
      <c r="J294" s="623"/>
      <c r="K294" s="623"/>
      <c r="L294" s="623"/>
      <c r="M294" s="623"/>
      <c r="N294" s="625">
        <f t="shared" si="58"/>
        <v>0</v>
      </c>
    </row>
    <row r="295" spans="1:14" ht="13.5" thickBot="1">
      <c r="A295" s="239" t="s">
        <v>77</v>
      </c>
      <c r="B295" s="626">
        <f>SUM(B284:B294)</f>
        <v>1924</v>
      </c>
      <c r="C295" s="626">
        <f t="shared" ref="C295:N295" si="59">SUM(C284:C294)</f>
        <v>1924</v>
      </c>
      <c r="D295" s="626">
        <f t="shared" si="59"/>
        <v>1924</v>
      </c>
      <c r="E295" s="626">
        <f t="shared" si="59"/>
        <v>1924</v>
      </c>
      <c r="F295" s="626">
        <f t="shared" si="59"/>
        <v>1924</v>
      </c>
      <c r="G295" s="626">
        <f t="shared" si="59"/>
        <v>1924</v>
      </c>
      <c r="H295" s="626">
        <f t="shared" si="59"/>
        <v>1924</v>
      </c>
      <c r="I295" s="626">
        <f t="shared" si="59"/>
        <v>1924</v>
      </c>
      <c r="J295" s="626">
        <f t="shared" si="59"/>
        <v>1924</v>
      </c>
      <c r="K295" s="626">
        <f t="shared" si="59"/>
        <v>1924</v>
      </c>
      <c r="L295" s="626">
        <f t="shared" si="59"/>
        <v>1924</v>
      </c>
      <c r="M295" s="626">
        <f t="shared" si="59"/>
        <v>1924</v>
      </c>
      <c r="N295" s="632">
        <f t="shared" si="59"/>
        <v>23088</v>
      </c>
    </row>
    <row r="296" spans="1:14">
      <c r="A296" s="243"/>
      <c r="B296" s="261"/>
      <c r="C296" s="261"/>
      <c r="D296" s="261"/>
      <c r="E296" s="261"/>
      <c r="F296" s="261"/>
      <c r="G296" s="261"/>
      <c r="H296" s="261"/>
      <c r="I296" s="261"/>
      <c r="J296" s="261"/>
      <c r="K296" s="261"/>
      <c r="L296" s="261"/>
      <c r="M296" s="261"/>
      <c r="N296" s="261"/>
    </row>
    <row r="297" spans="1:14">
      <c r="A297" s="243"/>
      <c r="B297" s="261"/>
      <c r="C297" s="261"/>
      <c r="D297" s="261"/>
      <c r="E297" s="261"/>
      <c r="F297" s="261"/>
      <c r="G297" s="261"/>
      <c r="H297" s="261"/>
      <c r="I297" s="261"/>
      <c r="J297" s="261"/>
      <c r="K297" s="261"/>
      <c r="L297" s="261"/>
      <c r="M297" s="261"/>
      <c r="N297" s="629" t="s">
        <v>78</v>
      </c>
    </row>
    <row r="298" spans="1:14">
      <c r="A298" s="231" t="s">
        <v>79</v>
      </c>
      <c r="B298" s="620">
        <f t="shared" ref="B298:M298" si="60">SUM(B285*100/B295)</f>
        <v>0</v>
      </c>
      <c r="C298" s="620">
        <f t="shared" si="60"/>
        <v>0</v>
      </c>
      <c r="D298" s="620">
        <f t="shared" si="60"/>
        <v>0</v>
      </c>
      <c r="E298" s="620">
        <f t="shared" si="60"/>
        <v>0</v>
      </c>
      <c r="F298" s="620">
        <f t="shared" si="60"/>
        <v>0</v>
      </c>
      <c r="G298" s="620">
        <f t="shared" si="60"/>
        <v>0</v>
      </c>
      <c r="H298" s="620">
        <f t="shared" si="60"/>
        <v>0</v>
      </c>
      <c r="I298" s="620">
        <f t="shared" si="60"/>
        <v>0</v>
      </c>
      <c r="J298" s="620">
        <f t="shared" si="60"/>
        <v>0</v>
      </c>
      <c r="K298" s="620">
        <f t="shared" si="60"/>
        <v>0</v>
      </c>
      <c r="L298" s="620">
        <f t="shared" si="60"/>
        <v>0</v>
      </c>
      <c r="M298" s="620">
        <f t="shared" si="60"/>
        <v>0</v>
      </c>
      <c r="N298" s="630">
        <f>SUM(B298:M298)/12</f>
        <v>0</v>
      </c>
    </row>
    <row r="299" spans="1:14">
      <c r="A299" s="243"/>
      <c r="B299" s="261"/>
      <c r="C299" s="261"/>
      <c r="D299" s="261"/>
      <c r="E299" s="261"/>
      <c r="F299" s="261"/>
      <c r="G299" s="261"/>
      <c r="H299" s="261"/>
      <c r="I299" s="261"/>
      <c r="J299" s="261"/>
      <c r="K299" s="261"/>
      <c r="L299" s="261"/>
      <c r="M299" s="261"/>
      <c r="N299" s="261"/>
    </row>
    <row r="300" spans="1:14">
      <c r="A300" s="231" t="s">
        <v>80</v>
      </c>
      <c r="B300" s="620">
        <f t="shared" ref="B300:M300" si="61">SUM(B289*100/B295)</f>
        <v>0</v>
      </c>
      <c r="C300" s="620">
        <f t="shared" si="61"/>
        <v>0</v>
      </c>
      <c r="D300" s="620">
        <f t="shared" si="61"/>
        <v>0</v>
      </c>
      <c r="E300" s="620">
        <f t="shared" si="61"/>
        <v>0</v>
      </c>
      <c r="F300" s="620">
        <f t="shared" si="61"/>
        <v>0</v>
      </c>
      <c r="G300" s="620">
        <f t="shared" si="61"/>
        <v>0</v>
      </c>
      <c r="H300" s="620">
        <f t="shared" si="61"/>
        <v>0</v>
      </c>
      <c r="I300" s="620">
        <f t="shared" si="61"/>
        <v>0</v>
      </c>
      <c r="J300" s="620">
        <f t="shared" si="61"/>
        <v>0</v>
      </c>
      <c r="K300" s="620">
        <f t="shared" si="61"/>
        <v>0</v>
      </c>
      <c r="L300" s="620">
        <f t="shared" si="61"/>
        <v>0</v>
      </c>
      <c r="M300" s="620">
        <f t="shared" si="61"/>
        <v>0</v>
      </c>
      <c r="N300" s="630">
        <f>SUM(B300:M300)/12</f>
        <v>0</v>
      </c>
    </row>
    <row r="301" spans="1:14" ht="13.5" thickBot="1">
      <c r="A301" s="247" t="s">
        <v>81</v>
      </c>
      <c r="B301" s="625">
        <f t="shared" ref="B301:M301" si="62">SUM(B290*100/B295)</f>
        <v>0</v>
      </c>
      <c r="C301" s="625">
        <f t="shared" si="62"/>
        <v>0</v>
      </c>
      <c r="D301" s="625">
        <f t="shared" si="62"/>
        <v>0</v>
      </c>
      <c r="E301" s="625">
        <f t="shared" si="62"/>
        <v>0</v>
      </c>
      <c r="F301" s="625">
        <f t="shared" si="62"/>
        <v>0</v>
      </c>
      <c r="G301" s="625">
        <f t="shared" si="62"/>
        <v>0</v>
      </c>
      <c r="H301" s="625">
        <f t="shared" si="62"/>
        <v>0</v>
      </c>
      <c r="I301" s="625">
        <f t="shared" si="62"/>
        <v>0</v>
      </c>
      <c r="J301" s="625">
        <f t="shared" si="62"/>
        <v>0</v>
      </c>
      <c r="K301" s="625">
        <f t="shared" si="62"/>
        <v>0</v>
      </c>
      <c r="L301" s="625">
        <f t="shared" si="62"/>
        <v>0</v>
      </c>
      <c r="M301" s="625">
        <f t="shared" si="62"/>
        <v>0</v>
      </c>
      <c r="N301" s="630">
        <f>SUM(B301:M301)/12</f>
        <v>0</v>
      </c>
    </row>
    <row r="302" spans="1:14" ht="13.5" thickBot="1">
      <c r="A302" s="249" t="s">
        <v>82</v>
      </c>
      <c r="B302" s="632">
        <f t="shared" ref="B302:M302" si="63">SUM(B300:B300)</f>
        <v>0</v>
      </c>
      <c r="C302" s="632">
        <f t="shared" si="63"/>
        <v>0</v>
      </c>
      <c r="D302" s="632">
        <f t="shared" si="63"/>
        <v>0</v>
      </c>
      <c r="E302" s="632">
        <f t="shared" si="63"/>
        <v>0</v>
      </c>
      <c r="F302" s="632">
        <f t="shared" si="63"/>
        <v>0</v>
      </c>
      <c r="G302" s="632">
        <f t="shared" si="63"/>
        <v>0</v>
      </c>
      <c r="H302" s="632">
        <f t="shared" si="63"/>
        <v>0</v>
      </c>
      <c r="I302" s="632">
        <f t="shared" si="63"/>
        <v>0</v>
      </c>
      <c r="J302" s="632">
        <f t="shared" si="63"/>
        <v>0</v>
      </c>
      <c r="K302" s="632">
        <f t="shared" si="63"/>
        <v>0</v>
      </c>
      <c r="L302" s="632">
        <f t="shared" si="63"/>
        <v>0</v>
      </c>
      <c r="M302" s="632">
        <f t="shared" si="63"/>
        <v>0</v>
      </c>
      <c r="N302" s="633">
        <f>SUM(N300:N301)</f>
        <v>0</v>
      </c>
    </row>
    <row r="303" spans="1:14">
      <c r="A303" s="243" t="s">
        <v>83</v>
      </c>
      <c r="B303" s="261"/>
      <c r="C303" s="261"/>
      <c r="D303" s="634">
        <f>SUM(B302:D302)/3</f>
        <v>0</v>
      </c>
      <c r="E303" s="261"/>
      <c r="F303" s="261"/>
      <c r="G303" s="634">
        <f>SUM(E302,F302,G302)/3</f>
        <v>0</v>
      </c>
      <c r="H303" s="261"/>
      <c r="I303" s="261"/>
      <c r="J303" s="634">
        <f>SUM(H302,I302,J302)/3</f>
        <v>0</v>
      </c>
      <c r="K303" s="261"/>
      <c r="L303" s="261"/>
      <c r="M303" s="634">
        <f>SUM(K302,L302,M302)/3</f>
        <v>0</v>
      </c>
      <c r="N303" s="635">
        <f>SUM(D303:M303)/4</f>
        <v>0</v>
      </c>
    </row>
    <row r="304" spans="1:14">
      <c r="A304" s="243" t="s">
        <v>84</v>
      </c>
      <c r="B304" s="261"/>
      <c r="C304" s="261"/>
      <c r="D304" s="262"/>
      <c r="E304" s="261"/>
      <c r="F304" s="261"/>
      <c r="G304" s="262"/>
      <c r="H304" s="261"/>
      <c r="I304" s="261"/>
      <c r="J304" s="262"/>
      <c r="K304" s="261"/>
      <c r="L304" s="261"/>
      <c r="M304" s="262"/>
      <c r="N304" s="630">
        <f>SUM(D304:G304,J304,M304)/4</f>
        <v>0</v>
      </c>
    </row>
    <row r="305" spans="1:14">
      <c r="A305" s="243"/>
      <c r="B305" s="261"/>
      <c r="C305" s="261"/>
      <c r="D305" s="261"/>
      <c r="E305" s="261"/>
      <c r="F305" s="261"/>
      <c r="G305" s="261"/>
      <c r="H305" s="261"/>
      <c r="I305" s="261"/>
      <c r="J305" s="261"/>
      <c r="K305" s="261"/>
      <c r="L305" s="261"/>
      <c r="M305" s="261"/>
      <c r="N305" s="261"/>
    </row>
    <row r="306" spans="1:14">
      <c r="A306" s="231" t="s">
        <v>85</v>
      </c>
      <c r="B306" s="620">
        <f t="shared" ref="B306:M306" si="64">B293*100/B295</f>
        <v>0</v>
      </c>
      <c r="C306" s="620">
        <f t="shared" si="64"/>
        <v>0</v>
      </c>
      <c r="D306" s="620">
        <f t="shared" si="64"/>
        <v>0</v>
      </c>
      <c r="E306" s="620">
        <f t="shared" si="64"/>
        <v>0</v>
      </c>
      <c r="F306" s="620">
        <f t="shared" si="64"/>
        <v>0</v>
      </c>
      <c r="G306" s="620">
        <f t="shared" si="64"/>
        <v>0</v>
      </c>
      <c r="H306" s="620">
        <f t="shared" si="64"/>
        <v>0</v>
      </c>
      <c r="I306" s="620">
        <f t="shared" si="64"/>
        <v>0</v>
      </c>
      <c r="J306" s="620">
        <f t="shared" si="64"/>
        <v>0</v>
      </c>
      <c r="K306" s="620">
        <f t="shared" si="64"/>
        <v>0</v>
      </c>
      <c r="L306" s="620">
        <f t="shared" si="64"/>
        <v>0</v>
      </c>
      <c r="M306" s="620">
        <f t="shared" si="64"/>
        <v>0</v>
      </c>
      <c r="N306" s="630">
        <f>SUM(B306:M306)/12</f>
        <v>0</v>
      </c>
    </row>
    <row r="307" spans="1:14">
      <c r="A307" s="231" t="s">
        <v>86</v>
      </c>
      <c r="B307" s="620">
        <f t="shared" ref="B307:M307" si="65">B291*100/B295</f>
        <v>0</v>
      </c>
      <c r="C307" s="620">
        <f t="shared" si="65"/>
        <v>0</v>
      </c>
      <c r="D307" s="620">
        <f t="shared" si="65"/>
        <v>0</v>
      </c>
      <c r="E307" s="620">
        <f t="shared" si="65"/>
        <v>0</v>
      </c>
      <c r="F307" s="620">
        <f t="shared" si="65"/>
        <v>0</v>
      </c>
      <c r="G307" s="620">
        <f t="shared" si="65"/>
        <v>0</v>
      </c>
      <c r="H307" s="620">
        <f t="shared" si="65"/>
        <v>0</v>
      </c>
      <c r="I307" s="620">
        <f t="shared" si="65"/>
        <v>0</v>
      </c>
      <c r="J307" s="620">
        <f t="shared" si="65"/>
        <v>0</v>
      </c>
      <c r="K307" s="620">
        <f t="shared" si="65"/>
        <v>0</v>
      </c>
      <c r="L307" s="620">
        <f t="shared" si="65"/>
        <v>0</v>
      </c>
      <c r="M307" s="620">
        <f t="shared" si="65"/>
        <v>0</v>
      </c>
      <c r="N307" s="630">
        <f>SUM(B307:M307)/12</f>
        <v>0</v>
      </c>
    </row>
    <row r="308" spans="1:14" ht="13.5" thickBot="1">
      <c r="A308" s="231" t="s">
        <v>87</v>
      </c>
      <c r="B308" s="620">
        <f t="shared" ref="B308:M308" si="66">B287*100/B295</f>
        <v>0</v>
      </c>
      <c r="C308" s="620">
        <f t="shared" si="66"/>
        <v>0</v>
      </c>
      <c r="D308" s="620">
        <f t="shared" si="66"/>
        <v>0</v>
      </c>
      <c r="E308" s="620">
        <f t="shared" si="66"/>
        <v>0</v>
      </c>
      <c r="F308" s="620">
        <f t="shared" si="66"/>
        <v>0</v>
      </c>
      <c r="G308" s="620">
        <f t="shared" si="66"/>
        <v>0</v>
      </c>
      <c r="H308" s="620">
        <f t="shared" si="66"/>
        <v>0</v>
      </c>
      <c r="I308" s="620">
        <f t="shared" si="66"/>
        <v>0</v>
      </c>
      <c r="J308" s="620">
        <f t="shared" si="66"/>
        <v>0</v>
      </c>
      <c r="K308" s="620">
        <f t="shared" si="66"/>
        <v>0</v>
      </c>
      <c r="L308" s="620">
        <f t="shared" si="66"/>
        <v>0</v>
      </c>
      <c r="M308" s="620">
        <f t="shared" si="66"/>
        <v>0</v>
      </c>
      <c r="N308" s="631">
        <f>SUM(B308:M308)/12</f>
        <v>0</v>
      </c>
    </row>
    <row r="309" spans="1:14" ht="13.5" thickBot="1">
      <c r="A309" s="255" t="s">
        <v>88</v>
      </c>
      <c r="B309" s="636">
        <f t="shared" ref="B309:M309" si="67">SUM(B284-B295)*100/B295</f>
        <v>0</v>
      </c>
      <c r="C309" s="636">
        <f t="shared" si="67"/>
        <v>0</v>
      </c>
      <c r="D309" s="636">
        <f t="shared" si="67"/>
        <v>0</v>
      </c>
      <c r="E309" s="636">
        <f t="shared" si="67"/>
        <v>0</v>
      </c>
      <c r="F309" s="636">
        <f t="shared" si="67"/>
        <v>0</v>
      </c>
      <c r="G309" s="636">
        <f t="shared" si="67"/>
        <v>0</v>
      </c>
      <c r="H309" s="636">
        <f t="shared" si="67"/>
        <v>0</v>
      </c>
      <c r="I309" s="636">
        <f t="shared" si="67"/>
        <v>0</v>
      </c>
      <c r="J309" s="636">
        <f t="shared" si="67"/>
        <v>0</v>
      </c>
      <c r="K309" s="636">
        <f t="shared" si="67"/>
        <v>0</v>
      </c>
      <c r="L309" s="636">
        <f t="shared" si="67"/>
        <v>0</v>
      </c>
      <c r="M309" s="638">
        <f t="shared" si="67"/>
        <v>0</v>
      </c>
      <c r="N309" s="639">
        <f>SUM(B309:M309)/12</f>
        <v>0</v>
      </c>
    </row>
    <row r="310" spans="1:14">
      <c r="A310" s="243"/>
      <c r="B310" s="244"/>
      <c r="C310" s="244"/>
      <c r="D310" s="244"/>
      <c r="E310" s="244"/>
      <c r="F310" s="244"/>
      <c r="G310" s="244"/>
      <c r="H310" s="244"/>
      <c r="I310" s="244"/>
      <c r="J310" s="244"/>
      <c r="K310" s="244"/>
      <c r="L310" s="244"/>
      <c r="M310" s="244"/>
      <c r="N310" s="227"/>
    </row>
    <row r="311" spans="1:14">
      <c r="A311" s="258" t="s">
        <v>89</v>
      </c>
      <c r="B311" s="244"/>
      <c r="C311" s="244"/>
      <c r="D311" s="244"/>
      <c r="E311" s="244"/>
      <c r="F311" s="244"/>
      <c r="G311" s="244"/>
      <c r="H311" s="244"/>
      <c r="I311" s="244"/>
      <c r="J311" s="244"/>
      <c r="K311" s="244"/>
      <c r="L311" s="244"/>
      <c r="M311" s="244"/>
      <c r="N311" s="227"/>
    </row>
    <row r="312" spans="1:14">
      <c r="A312" s="231" t="s">
        <v>90</v>
      </c>
      <c r="B312" s="259">
        <v>12</v>
      </c>
      <c r="C312" s="259">
        <v>12</v>
      </c>
      <c r="D312" s="259">
        <v>12</v>
      </c>
      <c r="E312" s="259">
        <v>12</v>
      </c>
      <c r="F312" s="259">
        <f t="shared" ref="F312:N312" si="68">E315</f>
        <v>12</v>
      </c>
      <c r="G312" s="259">
        <f t="shared" si="68"/>
        <v>12</v>
      </c>
      <c r="H312" s="259">
        <f t="shared" si="68"/>
        <v>12</v>
      </c>
      <c r="I312" s="259">
        <f t="shared" si="68"/>
        <v>12</v>
      </c>
      <c r="J312" s="259">
        <f t="shared" si="68"/>
        <v>12</v>
      </c>
      <c r="K312" s="259">
        <f t="shared" si="68"/>
        <v>12</v>
      </c>
      <c r="L312" s="259">
        <f t="shared" si="68"/>
        <v>12</v>
      </c>
      <c r="M312" s="259">
        <f t="shared" si="68"/>
        <v>12</v>
      </c>
      <c r="N312" s="259">
        <f t="shared" si="68"/>
        <v>12</v>
      </c>
    </row>
    <row r="313" spans="1:14">
      <c r="A313" s="231" t="s">
        <v>91</v>
      </c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59"/>
      <c r="N313" s="259">
        <f>SUM(B313:M313)/12</f>
        <v>0</v>
      </c>
    </row>
    <row r="314" spans="1:14">
      <c r="A314" s="231" t="s">
        <v>92</v>
      </c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59"/>
      <c r="N314" s="259">
        <f>SUM(B313:M313)/12</f>
        <v>0</v>
      </c>
    </row>
    <row r="315" spans="1:14">
      <c r="A315" s="231" t="s">
        <v>89</v>
      </c>
      <c r="B315" s="259">
        <f t="shared" ref="B315:M315" si="69">SUM(B312+B313-B314)</f>
        <v>12</v>
      </c>
      <c r="C315" s="259">
        <f t="shared" si="69"/>
        <v>12</v>
      </c>
      <c r="D315" s="259">
        <f t="shared" si="69"/>
        <v>12</v>
      </c>
      <c r="E315" s="259">
        <f t="shared" si="69"/>
        <v>12</v>
      </c>
      <c r="F315" s="259">
        <f t="shared" si="69"/>
        <v>12</v>
      </c>
      <c r="G315" s="259">
        <f t="shared" si="69"/>
        <v>12</v>
      </c>
      <c r="H315" s="259">
        <f t="shared" si="69"/>
        <v>12</v>
      </c>
      <c r="I315" s="259">
        <f t="shared" si="69"/>
        <v>12</v>
      </c>
      <c r="J315" s="259">
        <f t="shared" si="69"/>
        <v>12</v>
      </c>
      <c r="K315" s="259">
        <f t="shared" si="69"/>
        <v>12</v>
      </c>
      <c r="L315" s="259">
        <f t="shared" si="69"/>
        <v>12</v>
      </c>
      <c r="M315" s="259">
        <f t="shared" si="69"/>
        <v>12</v>
      </c>
      <c r="N315" s="259">
        <f>SUM(B314:M314)/12</f>
        <v>0</v>
      </c>
    </row>
    <row r="316" spans="1:14">
      <c r="A316" s="231" t="s">
        <v>93</v>
      </c>
      <c r="B316" s="260">
        <f t="shared" ref="B316:M316" si="70">SUM(B315*100)/B312-100</f>
        <v>0</v>
      </c>
      <c r="C316" s="260">
        <f t="shared" si="70"/>
        <v>0</v>
      </c>
      <c r="D316" s="260">
        <f t="shared" si="70"/>
        <v>0</v>
      </c>
      <c r="E316" s="260">
        <f t="shared" si="70"/>
        <v>0</v>
      </c>
      <c r="F316" s="260">
        <f t="shared" si="70"/>
        <v>0</v>
      </c>
      <c r="G316" s="260">
        <f t="shared" si="70"/>
        <v>0</v>
      </c>
      <c r="H316" s="260">
        <f t="shared" si="70"/>
        <v>0</v>
      </c>
      <c r="I316" s="260">
        <f t="shared" si="70"/>
        <v>0</v>
      </c>
      <c r="J316" s="260">
        <f t="shared" si="70"/>
        <v>0</v>
      </c>
      <c r="K316" s="260">
        <f t="shared" si="70"/>
        <v>0</v>
      </c>
      <c r="L316" s="260">
        <f t="shared" si="70"/>
        <v>0</v>
      </c>
      <c r="M316" s="260">
        <f t="shared" si="70"/>
        <v>0</v>
      </c>
      <c r="N316" s="259"/>
    </row>
    <row r="317" spans="1:14">
      <c r="A317" s="243" t="s">
        <v>94</v>
      </c>
      <c r="B317" s="261"/>
      <c r="C317" s="261"/>
      <c r="D317" s="262">
        <f>SUM(B316:D316/3)</f>
        <v>0</v>
      </c>
      <c r="E317" s="261"/>
      <c r="F317" s="261"/>
      <c r="G317" s="262">
        <f>SUM(E316:G316)/3</f>
        <v>0</v>
      </c>
      <c r="H317" s="261"/>
      <c r="I317" s="261"/>
      <c r="J317" s="262">
        <f>SUM(H316:J316)/3</f>
        <v>0</v>
      </c>
      <c r="K317" s="261"/>
      <c r="L317" s="261"/>
      <c r="M317" s="262">
        <f>SUM(K316:M316)/3</f>
        <v>0</v>
      </c>
      <c r="N317" s="261"/>
    </row>
    <row r="318" spans="1:14">
      <c r="A318" s="243"/>
      <c r="B318" s="244"/>
      <c r="C318" s="244"/>
      <c r="D318" s="244"/>
      <c r="E318" s="244"/>
      <c r="F318" s="244"/>
      <c r="G318" s="244"/>
      <c r="H318" s="244"/>
      <c r="I318" s="244"/>
      <c r="J318" s="244"/>
      <c r="K318" s="244"/>
      <c r="L318" s="244"/>
      <c r="M318" s="244"/>
      <c r="N318" s="227"/>
    </row>
    <row r="319" spans="1:14" ht="15" customHeight="1">
      <c r="A319" s="406"/>
      <c r="B319" s="517"/>
      <c r="C319" s="517"/>
      <c r="D319" s="517"/>
      <c r="E319" s="517"/>
      <c r="F319" s="517"/>
      <c r="G319" s="517"/>
      <c r="H319" s="517"/>
      <c r="I319" s="517"/>
      <c r="J319" s="517"/>
      <c r="K319" s="517"/>
      <c r="L319" s="517"/>
      <c r="M319" s="517"/>
      <c r="N319" s="517"/>
    </row>
    <row r="320" spans="1:14">
      <c r="A320" s="376" t="s">
        <v>185</v>
      </c>
      <c r="B320" s="377"/>
      <c r="C320" s="378"/>
      <c r="D320" s="292" t="s">
        <v>186</v>
      </c>
      <c r="F320" s="291"/>
      <c r="I320" s="299"/>
      <c r="M320" s="299"/>
      <c r="N320" s="227"/>
    </row>
    <row r="321" spans="1:16">
      <c r="A321" s="379" t="s">
        <v>187</v>
      </c>
      <c r="B321" s="380"/>
      <c r="C321" s="381"/>
      <c r="D321" s="290">
        <v>291144</v>
      </c>
      <c r="E321" s="291"/>
      <c r="I321" s="494"/>
      <c r="J321" s="494"/>
      <c r="K321" s="494"/>
      <c r="L321" s="494"/>
      <c r="M321" s="494"/>
    </row>
    <row r="322" spans="1:16">
      <c r="A322" s="379" t="s">
        <v>188</v>
      </c>
      <c r="B322" s="380"/>
      <c r="C322" s="289"/>
      <c r="D322" s="290">
        <v>370486</v>
      </c>
      <c r="E322" s="291"/>
      <c r="F322" s="291"/>
      <c r="J322" s="404"/>
      <c r="M322" s="291"/>
      <c r="N322" s="227"/>
    </row>
    <row r="323" spans="1:16">
      <c r="A323" s="379" t="s">
        <v>189</v>
      </c>
      <c r="B323" s="380"/>
      <c r="C323" s="289"/>
      <c r="D323" s="290">
        <v>346872</v>
      </c>
      <c r="E323" s="291"/>
      <c r="J323" s="404"/>
      <c r="M323" s="291"/>
      <c r="N323" s="227"/>
    </row>
    <row r="324" spans="1:16">
      <c r="A324" s="379" t="s">
        <v>190</v>
      </c>
      <c r="B324" s="380"/>
      <c r="C324" s="289"/>
      <c r="D324" s="290">
        <v>175000</v>
      </c>
      <c r="E324" s="291"/>
      <c r="J324" s="404"/>
      <c r="M324" s="291"/>
      <c r="N324" s="227"/>
    </row>
    <row r="325" spans="1:16">
      <c r="A325" s="379" t="s">
        <v>191</v>
      </c>
      <c r="B325" s="284"/>
      <c r="C325" s="289"/>
      <c r="D325" s="290">
        <v>432476</v>
      </c>
      <c r="E325" s="291"/>
      <c r="J325" s="688"/>
      <c r="L325" s="291"/>
      <c r="M325" s="300"/>
      <c r="N325" s="300"/>
    </row>
    <row r="326" spans="1:16">
      <c r="A326" s="379" t="s">
        <v>192</v>
      </c>
      <c r="B326" s="284"/>
      <c r="C326" s="289"/>
      <c r="D326" s="290">
        <v>433593</v>
      </c>
      <c r="E326" s="291"/>
      <c r="F326" s="291"/>
      <c r="M326" s="300"/>
      <c r="N326" s="227"/>
    </row>
    <row r="327" spans="1:16">
      <c r="A327" s="379" t="s">
        <v>193</v>
      </c>
      <c r="B327" s="284"/>
      <c r="C327" s="289"/>
      <c r="D327" s="290">
        <v>386336</v>
      </c>
      <c r="E327" s="291"/>
      <c r="F327" s="291"/>
      <c r="L327" s="394"/>
      <c r="M327" s="291"/>
      <c r="N327" s="227"/>
    </row>
    <row r="328" spans="1:16">
      <c r="A328" s="283" t="s">
        <v>194</v>
      </c>
      <c r="B328" s="284"/>
      <c r="C328" s="289"/>
      <c r="D328" s="290">
        <v>263550</v>
      </c>
      <c r="E328" s="291"/>
      <c r="G328" s="244"/>
      <c r="H328" s="244"/>
      <c r="I328" s="244"/>
      <c r="J328" s="244"/>
      <c r="K328" s="244"/>
      <c r="L328" s="320"/>
      <c r="M328" s="244"/>
      <c r="N328" s="227"/>
    </row>
    <row r="329" spans="1:16">
      <c r="A329" s="527" t="s">
        <v>195</v>
      </c>
      <c r="B329" s="286"/>
      <c r="C329" s="289"/>
      <c r="D329" s="290">
        <v>55220</v>
      </c>
      <c r="E329" s="291"/>
      <c r="G329" s="244"/>
      <c r="H329" s="244"/>
      <c r="I329" s="244"/>
      <c r="J329" s="244"/>
      <c r="K329" s="244"/>
      <c r="L329" s="320"/>
      <c r="M329" s="244"/>
      <c r="N329" s="227"/>
    </row>
    <row r="330" spans="1:16">
      <c r="A330" s="526" t="s">
        <v>196</v>
      </c>
      <c r="C330" s="388"/>
      <c r="D330" s="290">
        <v>26500</v>
      </c>
      <c r="E330" s="291"/>
      <c r="G330" s="244"/>
      <c r="H330" s="244"/>
      <c r="I330" s="244"/>
      <c r="J330" s="244"/>
      <c r="K330" s="244"/>
      <c r="L330" s="320"/>
      <c r="M330" s="244"/>
      <c r="N330" s="227"/>
    </row>
    <row r="331" spans="1:16" ht="13.5" thickBot="1">
      <c r="A331" s="299" t="s">
        <v>197</v>
      </c>
      <c r="D331" s="815">
        <v>644838</v>
      </c>
      <c r="E331" s="291"/>
      <c r="G331" s="244"/>
      <c r="H331" s="244"/>
      <c r="I331" s="244"/>
      <c r="J331" s="244"/>
      <c r="K331" s="244"/>
      <c r="L331" s="320"/>
      <c r="M331" s="244"/>
      <c r="N331" s="227"/>
    </row>
    <row r="332" spans="1:16" ht="13.5" thickBot="1">
      <c r="A332" s="294" t="s">
        <v>167</v>
      </c>
      <c r="B332" s="296"/>
      <c r="C332" s="389"/>
      <c r="D332" s="488">
        <f>SUM(D321:D331)</f>
        <v>3426015</v>
      </c>
      <c r="E332" s="291"/>
      <c r="G332" s="244"/>
      <c r="H332" s="244"/>
      <c r="I332" s="244"/>
      <c r="J332" s="244"/>
      <c r="K332" s="244"/>
      <c r="L332" s="517"/>
      <c r="M332" s="244"/>
      <c r="N332" s="227"/>
    </row>
    <row r="333" spans="1:16">
      <c r="A333" s="390" t="s">
        <v>168</v>
      </c>
      <c r="B333" s="391"/>
      <c r="C333" s="392"/>
      <c r="D333" s="393">
        <f>D332/12</f>
        <v>285501.25</v>
      </c>
      <c r="E333" s="291"/>
      <c r="G333" s="244"/>
      <c r="H333" s="244"/>
      <c r="I333" s="244"/>
      <c r="J333" s="244"/>
      <c r="K333" s="244"/>
      <c r="L333" s="517"/>
      <c r="M333" s="244"/>
      <c r="N333" s="227"/>
    </row>
    <row r="334" spans="1:16">
      <c r="C334" s="394"/>
      <c r="E334" s="291"/>
      <c r="G334" s="244"/>
      <c r="H334" s="244"/>
      <c r="I334" s="244"/>
      <c r="J334" s="244"/>
      <c r="K334" s="244"/>
      <c r="L334" s="517"/>
      <c r="M334" s="244"/>
      <c r="N334" s="227"/>
    </row>
    <row r="335" spans="1:16">
      <c r="B335" s="258" t="s">
        <v>113</v>
      </c>
      <c r="C335" s="244"/>
      <c r="D335" s="244"/>
      <c r="E335" s="244"/>
      <c r="F335" s="244"/>
      <c r="G335" s="244"/>
      <c r="H335" s="244"/>
      <c r="I335" s="244"/>
      <c r="J335" s="244"/>
      <c r="K335" s="244"/>
      <c r="L335" s="244"/>
      <c r="M335" s="244"/>
      <c r="N335" s="244"/>
      <c r="O335" s="227"/>
    </row>
    <row r="336" spans="1:16">
      <c r="A336" s="525" t="s">
        <v>112</v>
      </c>
      <c r="B336" s="328"/>
      <c r="C336" s="232" t="s">
        <v>44</v>
      </c>
      <c r="D336" s="232" t="s">
        <v>45</v>
      </c>
      <c r="E336" s="232" t="s">
        <v>46</v>
      </c>
      <c r="F336" s="232" t="s">
        <v>47</v>
      </c>
      <c r="G336" s="232" t="s">
        <v>48</v>
      </c>
      <c r="H336" s="232" t="s">
        <v>49</v>
      </c>
      <c r="I336" s="232" t="s">
        <v>38</v>
      </c>
      <c r="J336" s="232" t="s">
        <v>39</v>
      </c>
      <c r="K336" s="232" t="s">
        <v>40</v>
      </c>
      <c r="L336" s="232" t="s">
        <v>41</v>
      </c>
      <c r="M336" s="232" t="s">
        <v>42</v>
      </c>
      <c r="N336" s="232" t="s">
        <v>43</v>
      </c>
      <c r="O336" s="228"/>
      <c r="P336" s="708"/>
    </row>
    <row r="337" spans="1:17" ht="13.5" thickBot="1">
      <c r="B337" s="231" t="s">
        <v>115</v>
      </c>
      <c r="C337" s="329">
        <f t="shared" ref="C337:N337" si="71">$D$333</f>
        <v>285501.25</v>
      </c>
      <c r="D337" s="329">
        <f t="shared" si="71"/>
        <v>285501.25</v>
      </c>
      <c r="E337" s="329">
        <f t="shared" si="71"/>
        <v>285501.25</v>
      </c>
      <c r="F337" s="329">
        <f t="shared" si="71"/>
        <v>285501.25</v>
      </c>
      <c r="G337" s="329">
        <f t="shared" si="71"/>
        <v>285501.25</v>
      </c>
      <c r="H337" s="329">
        <f t="shared" si="71"/>
        <v>285501.25</v>
      </c>
      <c r="I337" s="329">
        <f t="shared" si="71"/>
        <v>285501.25</v>
      </c>
      <c r="J337" s="329">
        <f t="shared" si="71"/>
        <v>285501.25</v>
      </c>
      <c r="K337" s="329">
        <f t="shared" si="71"/>
        <v>285501.25</v>
      </c>
      <c r="L337" s="329">
        <f t="shared" si="71"/>
        <v>285501.25</v>
      </c>
      <c r="M337" s="329">
        <f t="shared" si="71"/>
        <v>285501.25</v>
      </c>
      <c r="N337" s="329">
        <f t="shared" si="71"/>
        <v>285501.25</v>
      </c>
      <c r="O337" s="329">
        <f t="shared" ref="O337:O345" si="72">SUM(C337:N337)</f>
        <v>3426015</v>
      </c>
      <c r="P337" s="708"/>
    </row>
    <row r="338" spans="1:17" ht="13.5" thickBot="1">
      <c r="B338" s="333" t="s">
        <v>169</v>
      </c>
      <c r="C338" s="395">
        <f>C337</f>
        <v>285501.25</v>
      </c>
      <c r="D338" s="395">
        <f t="shared" ref="D338:N338" si="73">D337</f>
        <v>285501.25</v>
      </c>
      <c r="E338" s="395">
        <f t="shared" si="73"/>
        <v>285501.25</v>
      </c>
      <c r="F338" s="395">
        <f t="shared" si="73"/>
        <v>285501.25</v>
      </c>
      <c r="G338" s="395">
        <f t="shared" si="73"/>
        <v>285501.25</v>
      </c>
      <c r="H338" s="395">
        <f t="shared" si="73"/>
        <v>285501.25</v>
      </c>
      <c r="I338" s="395">
        <f t="shared" si="73"/>
        <v>285501.25</v>
      </c>
      <c r="J338" s="395">
        <f t="shared" si="73"/>
        <v>285501.25</v>
      </c>
      <c r="K338" s="395">
        <f t="shared" si="73"/>
        <v>285501.25</v>
      </c>
      <c r="L338" s="395">
        <f t="shared" si="73"/>
        <v>285501.25</v>
      </c>
      <c r="M338" s="395">
        <f t="shared" si="73"/>
        <v>285501.25</v>
      </c>
      <c r="N338" s="395">
        <f t="shared" si="73"/>
        <v>285501.25</v>
      </c>
      <c r="O338" s="395">
        <f t="shared" si="72"/>
        <v>3426015</v>
      </c>
      <c r="P338" s="708"/>
    </row>
    <row r="339" spans="1:17">
      <c r="A339" s="226">
        <v>9840000000</v>
      </c>
      <c r="B339" s="336" t="s">
        <v>198</v>
      </c>
      <c r="C339" s="337"/>
      <c r="D339" s="337"/>
      <c r="E339" s="337"/>
      <c r="F339" s="337"/>
      <c r="G339" s="337"/>
      <c r="H339" s="338"/>
      <c r="I339" s="337"/>
      <c r="J339" s="337"/>
      <c r="K339" s="337"/>
      <c r="L339" s="337"/>
      <c r="M339" s="337"/>
      <c r="N339" s="337"/>
      <c r="O339" s="337">
        <f t="shared" si="72"/>
        <v>0</v>
      </c>
      <c r="P339" s="708"/>
    </row>
    <row r="340" spans="1:17">
      <c r="A340" s="226">
        <v>9840000000</v>
      </c>
      <c r="B340" s="336" t="s">
        <v>199</v>
      </c>
      <c r="C340" s="337"/>
      <c r="D340" s="337"/>
      <c r="E340" s="337"/>
      <c r="F340" s="337"/>
      <c r="G340" s="337"/>
      <c r="H340" s="338"/>
      <c r="I340" s="337"/>
      <c r="J340" s="337"/>
      <c r="K340" s="337"/>
      <c r="L340" s="337"/>
      <c r="M340" s="337"/>
      <c r="N340" s="337"/>
      <c r="O340" s="337">
        <f t="shared" si="72"/>
        <v>0</v>
      </c>
      <c r="P340" s="708"/>
    </row>
    <row r="341" spans="1:17" ht="13.5" thickBot="1">
      <c r="B341" s="349"/>
      <c r="C341" s="344"/>
      <c r="D341" s="344"/>
      <c r="E341" s="344"/>
      <c r="F341" s="344"/>
      <c r="G341" s="344"/>
      <c r="H341" s="518"/>
      <c r="I341" s="344"/>
      <c r="J341" s="344"/>
      <c r="K341" s="330"/>
      <c r="L341" s="344"/>
      <c r="M341" s="344"/>
      <c r="N341" s="344"/>
      <c r="O341" s="344">
        <f t="shared" si="72"/>
        <v>0</v>
      </c>
      <c r="P341" s="708"/>
    </row>
    <row r="342" spans="1:17" ht="13.5" thickBot="1">
      <c r="B342" s="360" t="s">
        <v>129</v>
      </c>
      <c r="C342" s="361">
        <f t="shared" ref="C342:N342" si="74">SUM(C339:C341)</f>
        <v>0</v>
      </c>
      <c r="D342" s="361">
        <f t="shared" si="74"/>
        <v>0</v>
      </c>
      <c r="E342" s="361">
        <f t="shared" si="74"/>
        <v>0</v>
      </c>
      <c r="F342" s="361">
        <f t="shared" si="74"/>
        <v>0</v>
      </c>
      <c r="G342" s="361">
        <f t="shared" si="74"/>
        <v>0</v>
      </c>
      <c r="H342" s="361">
        <f t="shared" si="74"/>
        <v>0</v>
      </c>
      <c r="I342" s="361">
        <f t="shared" si="74"/>
        <v>0</v>
      </c>
      <c r="J342" s="361">
        <f t="shared" si="74"/>
        <v>0</v>
      </c>
      <c r="K342" s="361">
        <f t="shared" si="74"/>
        <v>0</v>
      </c>
      <c r="L342" s="361">
        <f t="shared" si="74"/>
        <v>0</v>
      </c>
      <c r="M342" s="361">
        <f t="shared" si="74"/>
        <v>0</v>
      </c>
      <c r="N342" s="361">
        <f t="shared" si="74"/>
        <v>0</v>
      </c>
      <c r="O342" s="397">
        <f t="shared" si="72"/>
        <v>0</v>
      </c>
      <c r="P342" s="708"/>
    </row>
    <row r="343" spans="1:17">
      <c r="B343" s="228" t="s">
        <v>127</v>
      </c>
      <c r="C343" s="332"/>
      <c r="D343" s="332"/>
      <c r="E343" s="332"/>
      <c r="F343" s="332"/>
      <c r="G343" s="332"/>
      <c r="H343" s="398"/>
      <c r="I343" s="332"/>
      <c r="J343" s="332"/>
      <c r="K343" s="332"/>
      <c r="L343" s="332"/>
      <c r="M343" s="332"/>
      <c r="N343" s="332"/>
      <c r="O343" s="332">
        <f t="shared" si="72"/>
        <v>0</v>
      </c>
      <c r="P343" s="708"/>
    </row>
    <row r="344" spans="1:17">
      <c r="B344" s="363" t="s">
        <v>129</v>
      </c>
      <c r="C344" s="399">
        <f t="shared" ref="C344:N344" si="75">SUM(C338,C342,C343)</f>
        <v>285501.25</v>
      </c>
      <c r="D344" s="399">
        <f t="shared" si="75"/>
        <v>285501.25</v>
      </c>
      <c r="E344" s="399">
        <f t="shared" si="75"/>
        <v>285501.25</v>
      </c>
      <c r="F344" s="399">
        <f t="shared" si="75"/>
        <v>285501.25</v>
      </c>
      <c r="G344" s="399">
        <f t="shared" si="75"/>
        <v>285501.25</v>
      </c>
      <c r="H344" s="399">
        <f t="shared" si="75"/>
        <v>285501.25</v>
      </c>
      <c r="I344" s="399">
        <f t="shared" si="75"/>
        <v>285501.25</v>
      </c>
      <c r="J344" s="399">
        <f t="shared" si="75"/>
        <v>285501.25</v>
      </c>
      <c r="K344" s="399">
        <f t="shared" si="75"/>
        <v>285501.25</v>
      </c>
      <c r="L344" s="399">
        <f t="shared" si="75"/>
        <v>285501.25</v>
      </c>
      <c r="M344" s="399">
        <f t="shared" si="75"/>
        <v>285501.25</v>
      </c>
      <c r="N344" s="399">
        <f t="shared" si="75"/>
        <v>285501.25</v>
      </c>
      <c r="O344" s="399">
        <f t="shared" si="72"/>
        <v>3426015</v>
      </c>
      <c r="P344" s="708"/>
    </row>
    <row r="345" spans="1:17">
      <c r="A345" s="525" t="s">
        <v>130</v>
      </c>
      <c r="B345" s="400" t="s">
        <v>172</v>
      </c>
      <c r="C345" s="331">
        <v>196227</v>
      </c>
      <c r="D345" s="331">
        <v>178991</v>
      </c>
      <c r="E345" s="331">
        <v>117042</v>
      </c>
      <c r="F345" s="331">
        <v>260688</v>
      </c>
      <c r="G345" s="331">
        <v>192201</v>
      </c>
      <c r="H345" s="331">
        <v>178874</v>
      </c>
      <c r="I345" s="331">
        <v>180892</v>
      </c>
      <c r="J345" s="331">
        <v>260688</v>
      </c>
      <c r="K345" s="331">
        <v>260688</v>
      </c>
      <c r="L345" s="331">
        <v>260688</v>
      </c>
      <c r="M345" s="331">
        <v>260688</v>
      </c>
      <c r="N345" s="331">
        <v>260688</v>
      </c>
      <c r="O345" s="331">
        <f t="shared" si="72"/>
        <v>2608355</v>
      </c>
      <c r="P345" s="817">
        <v>2211400</v>
      </c>
    </row>
    <row r="346" spans="1:17">
      <c r="A346" s="226">
        <v>2911800000</v>
      </c>
      <c r="B346" s="228" t="s">
        <v>135</v>
      </c>
      <c r="C346" s="331"/>
      <c r="D346" s="331"/>
      <c r="E346" s="331"/>
      <c r="F346" s="331">
        <v>6750</v>
      </c>
      <c r="G346" s="331"/>
      <c r="H346" s="331"/>
      <c r="I346" s="331"/>
      <c r="J346" s="331"/>
      <c r="K346" s="331"/>
      <c r="L346" s="331"/>
      <c r="M346" s="331"/>
      <c r="N346" s="331"/>
      <c r="O346" s="331">
        <f t="shared" ref="O346:O354" si="76">SUM(C346:N346)</f>
        <v>6750</v>
      </c>
      <c r="P346" s="708"/>
    </row>
    <row r="347" spans="1:17">
      <c r="A347" s="226">
        <v>4909900000</v>
      </c>
      <c r="B347" s="228" t="s">
        <v>139</v>
      </c>
      <c r="C347" s="331"/>
      <c r="D347" s="331"/>
      <c r="E347" s="331"/>
      <c r="F347" s="331"/>
      <c r="G347" s="331"/>
      <c r="H347" s="331"/>
      <c r="I347" s="331"/>
      <c r="J347" s="331"/>
      <c r="K347" s="331"/>
      <c r="L347" s="331"/>
      <c r="M347" s="331"/>
      <c r="N347" s="331"/>
      <c r="O347" s="331">
        <f t="shared" si="76"/>
        <v>0</v>
      </c>
      <c r="P347" s="708"/>
      <c r="Q347" s="525"/>
    </row>
    <row r="348" spans="1:17">
      <c r="A348" s="226">
        <v>9845500000</v>
      </c>
      <c r="B348" s="228" t="s">
        <v>178</v>
      </c>
      <c r="C348" s="331"/>
      <c r="D348" s="331"/>
      <c r="E348" s="331"/>
      <c r="F348" s="331"/>
      <c r="G348" s="331"/>
      <c r="H348" s="331"/>
      <c r="I348" s="331"/>
      <c r="J348" s="331"/>
      <c r="K348" s="331"/>
      <c r="L348" s="331"/>
      <c r="M348" s="331"/>
      <c r="N348" s="331"/>
      <c r="O348" s="331">
        <f t="shared" si="76"/>
        <v>0</v>
      </c>
      <c r="P348" s="817">
        <v>110000</v>
      </c>
    </row>
    <row r="349" spans="1:17">
      <c r="A349" s="226">
        <v>4009900000</v>
      </c>
      <c r="B349" s="228" t="s">
        <v>136</v>
      </c>
      <c r="C349" s="331"/>
      <c r="D349" s="331"/>
      <c r="E349" s="331"/>
      <c r="F349" s="331"/>
      <c r="G349" s="331"/>
      <c r="H349" s="331"/>
      <c r="I349" s="331"/>
      <c r="J349" s="331"/>
      <c r="K349" s="331"/>
      <c r="L349" s="331"/>
      <c r="M349" s="331"/>
      <c r="N349" s="331"/>
      <c r="O349" s="331">
        <f t="shared" si="76"/>
        <v>0</v>
      </c>
      <c r="P349" s="708"/>
      <c r="Q349" s="525"/>
    </row>
    <row r="350" spans="1:17">
      <c r="A350" s="226">
        <v>4516500000</v>
      </c>
      <c r="B350" s="228" t="s">
        <v>180</v>
      </c>
      <c r="C350" s="331"/>
      <c r="D350" s="331"/>
      <c r="E350" s="331"/>
      <c r="F350" s="331"/>
      <c r="G350" s="331"/>
      <c r="H350" s="331"/>
      <c r="I350" s="331"/>
      <c r="J350" s="331"/>
      <c r="K350" s="331"/>
      <c r="L350" s="331"/>
      <c r="M350" s="331"/>
      <c r="N350" s="331"/>
      <c r="O350" s="331">
        <f t="shared" si="76"/>
        <v>0</v>
      </c>
      <c r="P350" s="817">
        <v>25000</v>
      </c>
    </row>
    <row r="351" spans="1:17">
      <c r="A351" s="226">
        <v>2909900000</v>
      </c>
      <c r="B351" s="228" t="s">
        <v>181</v>
      </c>
      <c r="C351" s="331"/>
      <c r="D351" s="331"/>
      <c r="E351" s="331"/>
      <c r="F351" s="331"/>
      <c r="G351" s="331"/>
      <c r="H351" s="331"/>
      <c r="I351" s="331"/>
      <c r="J351" s="331"/>
      <c r="K351" s="331"/>
      <c r="L351" s="331"/>
      <c r="M351" s="331"/>
      <c r="N351" s="331"/>
      <c r="O351" s="331">
        <f t="shared" si="76"/>
        <v>0</v>
      </c>
      <c r="P351" s="708"/>
    </row>
    <row r="352" spans="1:17">
      <c r="B352" s="228"/>
      <c r="C352" s="331"/>
      <c r="D352" s="331"/>
      <c r="E352" s="331"/>
      <c r="F352" s="331"/>
      <c r="G352" s="331"/>
      <c r="H352" s="331"/>
      <c r="I352" s="331"/>
      <c r="J352" s="331"/>
      <c r="K352" s="331"/>
      <c r="L352" s="331"/>
      <c r="M352" s="331"/>
      <c r="N352" s="331"/>
      <c r="O352" s="331">
        <f t="shared" si="76"/>
        <v>0</v>
      </c>
      <c r="P352" s="708"/>
    </row>
    <row r="353" spans="1:16">
      <c r="B353" s="228"/>
      <c r="C353" s="329"/>
      <c r="D353" s="329"/>
      <c r="E353" s="329"/>
      <c r="F353" s="329"/>
      <c r="G353" s="329"/>
      <c r="H353" s="329"/>
      <c r="I353" s="329"/>
      <c r="J353" s="329"/>
      <c r="K353" s="329"/>
      <c r="L353" s="329"/>
      <c r="M353" s="329"/>
      <c r="N353" s="329"/>
      <c r="O353" s="331">
        <f t="shared" si="76"/>
        <v>0</v>
      </c>
      <c r="P353" s="708"/>
    </row>
    <row r="354" spans="1:16" ht="13.5" thickBot="1">
      <c r="B354" s="349"/>
      <c r="C354" s="331"/>
      <c r="D354" s="331"/>
      <c r="E354" s="331"/>
      <c r="F354" s="331"/>
      <c r="G354" s="331"/>
      <c r="H354" s="331"/>
      <c r="I354" s="331"/>
      <c r="J354" s="331"/>
      <c r="K354" s="331"/>
      <c r="L354" s="331"/>
      <c r="M354" s="331"/>
      <c r="N354" s="331"/>
      <c r="O354" s="331">
        <f t="shared" si="76"/>
        <v>0</v>
      </c>
      <c r="P354" s="708"/>
    </row>
    <row r="355" spans="1:16" ht="13.5" thickBot="1">
      <c r="B355" s="690" t="s">
        <v>145</v>
      </c>
      <c r="C355" s="334">
        <f>SUM(C345:C354)</f>
        <v>196227</v>
      </c>
      <c r="D355" s="334">
        <f t="shared" ref="D355:O355" si="77">SUM(D345:D354)</f>
        <v>178991</v>
      </c>
      <c r="E355" s="334">
        <f t="shared" si="77"/>
        <v>117042</v>
      </c>
      <c r="F355" s="334">
        <f t="shared" si="77"/>
        <v>267438</v>
      </c>
      <c r="G355" s="334">
        <f t="shared" si="77"/>
        <v>192201</v>
      </c>
      <c r="H355" s="334">
        <f t="shared" si="77"/>
        <v>178874</v>
      </c>
      <c r="I355" s="334">
        <f t="shared" si="77"/>
        <v>180892</v>
      </c>
      <c r="J355" s="334">
        <f t="shared" si="77"/>
        <v>260688</v>
      </c>
      <c r="K355" s="334">
        <f t="shared" si="77"/>
        <v>260688</v>
      </c>
      <c r="L355" s="334">
        <f t="shared" si="77"/>
        <v>260688</v>
      </c>
      <c r="M355" s="334">
        <f t="shared" si="77"/>
        <v>260688</v>
      </c>
      <c r="N355" s="334">
        <f t="shared" si="77"/>
        <v>260688</v>
      </c>
      <c r="O355" s="334">
        <f t="shared" si="77"/>
        <v>2615105</v>
      </c>
      <c r="P355" s="708"/>
    </row>
    <row r="356" spans="1:16" ht="13.5" thickBot="1">
      <c r="B356" s="695" t="s">
        <v>146</v>
      </c>
      <c r="C356" s="351">
        <f t="shared" ref="C356:O356" si="78">C344-SUM(C345:C354)</f>
        <v>89274.25</v>
      </c>
      <c r="D356" s="351">
        <f t="shared" si="78"/>
        <v>106510.25</v>
      </c>
      <c r="E356" s="351">
        <f t="shared" si="78"/>
        <v>168459.25</v>
      </c>
      <c r="F356" s="351">
        <f t="shared" si="78"/>
        <v>18063.25</v>
      </c>
      <c r="G356" s="351">
        <f t="shared" si="78"/>
        <v>93300.25</v>
      </c>
      <c r="H356" s="351">
        <f t="shared" si="78"/>
        <v>106627.25</v>
      </c>
      <c r="I356" s="351">
        <f t="shared" si="78"/>
        <v>104609.25</v>
      </c>
      <c r="J356" s="351">
        <f t="shared" si="78"/>
        <v>24813.25</v>
      </c>
      <c r="K356" s="351">
        <f t="shared" si="78"/>
        <v>24813.25</v>
      </c>
      <c r="L356" s="351">
        <f t="shared" si="78"/>
        <v>24813.25</v>
      </c>
      <c r="M356" s="351">
        <f t="shared" si="78"/>
        <v>24813.25</v>
      </c>
      <c r="N356" s="351">
        <f t="shared" si="78"/>
        <v>24813.25</v>
      </c>
      <c r="O356" s="351">
        <f t="shared" si="78"/>
        <v>810910</v>
      </c>
      <c r="P356" s="708"/>
    </row>
    <row r="357" spans="1:16">
      <c r="A357" s="645"/>
      <c r="B357" s="646"/>
      <c r="C357" s="646"/>
      <c r="D357" s="646"/>
      <c r="E357" s="646"/>
      <c r="F357" s="646"/>
      <c r="G357" s="646"/>
      <c r="H357" s="646"/>
      <c r="I357" s="646"/>
      <c r="J357" s="646"/>
      <c r="K357" s="646"/>
      <c r="L357" s="646"/>
      <c r="M357" s="646"/>
      <c r="N357" s="647"/>
    </row>
    <row r="358" spans="1:16" ht="20.25">
      <c r="A358" s="827" t="s">
        <v>200</v>
      </c>
      <c r="B358" s="827"/>
      <c r="C358" s="827"/>
      <c r="D358" s="827"/>
      <c r="E358" s="827"/>
      <c r="F358" s="827"/>
      <c r="G358" s="827"/>
      <c r="H358" s="827"/>
      <c r="I358" s="827"/>
      <c r="J358" s="827"/>
      <c r="K358" s="827"/>
      <c r="L358" s="827"/>
      <c r="M358" s="827"/>
      <c r="N358" s="827"/>
    </row>
    <row r="359" spans="1:16">
      <c r="A359" s="645"/>
      <c r="B359" s="646"/>
      <c r="C359" s="646"/>
      <c r="D359" s="646"/>
      <c r="E359" s="646"/>
      <c r="F359" s="646"/>
      <c r="G359" s="646"/>
      <c r="H359" s="646"/>
      <c r="I359" s="646"/>
      <c r="J359" s="646"/>
      <c r="K359" s="646"/>
      <c r="L359" s="646"/>
      <c r="M359" s="646"/>
      <c r="N359" s="647"/>
    </row>
    <row r="360" spans="1:16">
      <c r="A360" s="649" t="s">
        <v>201</v>
      </c>
      <c r="B360" s="650">
        <f t="shared" ref="B360:N360" si="79">C143</f>
        <v>-43685.166666666511</v>
      </c>
      <c r="C360" s="650">
        <f t="shared" si="79"/>
        <v>-699.66666666651145</v>
      </c>
      <c r="D360" s="650">
        <f t="shared" si="79"/>
        <v>107666.33333333349</v>
      </c>
      <c r="E360" s="650">
        <f t="shared" si="79"/>
        <v>-382558.16666666651</v>
      </c>
      <c r="F360" s="650">
        <f t="shared" si="79"/>
        <v>-20631.666666666511</v>
      </c>
      <c r="G360" s="650">
        <f t="shared" si="79"/>
        <v>-34143.666666666511</v>
      </c>
      <c r="H360" s="650">
        <f t="shared" si="79"/>
        <v>-76204.166666666511</v>
      </c>
      <c r="I360" s="650">
        <f t="shared" si="79"/>
        <v>-38067.666666666511</v>
      </c>
      <c r="J360" s="650">
        <f t="shared" si="79"/>
        <v>-5475.6666666665114</v>
      </c>
      <c r="K360" s="650">
        <f t="shared" si="79"/>
        <v>-15264.666666666511</v>
      </c>
      <c r="L360" s="650">
        <f t="shared" si="79"/>
        <v>4190.8333333334886</v>
      </c>
      <c r="M360" s="650">
        <f t="shared" si="79"/>
        <v>-48741.666666666511</v>
      </c>
      <c r="N360" s="650">
        <f t="shared" si="79"/>
        <v>-553614.99999999814</v>
      </c>
    </row>
    <row r="361" spans="1:16">
      <c r="A361" s="649" t="s">
        <v>202</v>
      </c>
      <c r="B361" s="650">
        <f>B201</f>
        <v>-131431.5</v>
      </c>
      <c r="C361" s="650">
        <f t="shared" ref="C361:N361" si="80">C201</f>
        <v>-511689</v>
      </c>
      <c r="D361" s="650">
        <f t="shared" si="80"/>
        <v>-511689</v>
      </c>
      <c r="E361" s="650">
        <f t="shared" si="80"/>
        <v>-511689</v>
      </c>
      <c r="F361" s="650">
        <f t="shared" si="80"/>
        <v>-511689</v>
      </c>
      <c r="G361" s="650">
        <f t="shared" si="80"/>
        <v>-511689</v>
      </c>
      <c r="H361" s="650">
        <f t="shared" si="80"/>
        <v>-511689</v>
      </c>
      <c r="I361" s="650">
        <f t="shared" si="80"/>
        <v>-511689</v>
      </c>
      <c r="J361" s="650">
        <f t="shared" si="80"/>
        <v>-511689</v>
      </c>
      <c r="K361" s="650">
        <f t="shared" si="80"/>
        <v>-511689</v>
      </c>
      <c r="L361" s="650">
        <f t="shared" si="80"/>
        <v>-511689</v>
      </c>
      <c r="M361" s="650">
        <f t="shared" si="80"/>
        <v>-511689</v>
      </c>
      <c r="N361" s="650">
        <f t="shared" si="80"/>
        <v>-5760010.5</v>
      </c>
    </row>
    <row r="362" spans="1:16">
      <c r="A362" s="686" t="s">
        <v>203</v>
      </c>
      <c r="B362" s="687">
        <f t="shared" ref="B362:N362" si="81">C278</f>
        <v>79950.700000000012</v>
      </c>
      <c r="C362" s="687">
        <f t="shared" si="81"/>
        <v>71254</v>
      </c>
      <c r="D362" s="687">
        <f t="shared" si="81"/>
        <v>-122956</v>
      </c>
      <c r="E362" s="687">
        <f t="shared" si="81"/>
        <v>92044</v>
      </c>
      <c r="F362" s="687">
        <f t="shared" si="81"/>
        <v>117044</v>
      </c>
      <c r="G362" s="687">
        <f t="shared" si="81"/>
        <v>117044</v>
      </c>
      <c r="H362" s="687">
        <f t="shared" si="81"/>
        <v>117044</v>
      </c>
      <c r="I362" s="687">
        <f t="shared" si="81"/>
        <v>117044</v>
      </c>
      <c r="J362" s="687">
        <f t="shared" si="81"/>
        <v>117044</v>
      </c>
      <c r="K362" s="687">
        <f t="shared" si="81"/>
        <v>117044</v>
      </c>
      <c r="L362" s="687">
        <f t="shared" si="81"/>
        <v>117044</v>
      </c>
      <c r="M362" s="687">
        <f t="shared" si="81"/>
        <v>117044</v>
      </c>
      <c r="N362" s="687">
        <f t="shared" si="81"/>
        <v>1056644.7</v>
      </c>
    </row>
    <row r="363" spans="1:16" ht="13.5" thickBot="1">
      <c r="A363" s="653" t="s">
        <v>204</v>
      </c>
      <c r="B363" s="654">
        <f t="shared" ref="B363:N363" si="82">C356</f>
        <v>89274.25</v>
      </c>
      <c r="C363" s="654">
        <f t="shared" si="82"/>
        <v>106510.25</v>
      </c>
      <c r="D363" s="654">
        <f t="shared" si="82"/>
        <v>168459.25</v>
      </c>
      <c r="E363" s="654">
        <f t="shared" si="82"/>
        <v>18063.25</v>
      </c>
      <c r="F363" s="654">
        <f t="shared" si="82"/>
        <v>93300.25</v>
      </c>
      <c r="G363" s="654">
        <f t="shared" si="82"/>
        <v>106627.25</v>
      </c>
      <c r="H363" s="654">
        <f t="shared" si="82"/>
        <v>104609.25</v>
      </c>
      <c r="I363" s="654">
        <f t="shared" si="82"/>
        <v>24813.25</v>
      </c>
      <c r="J363" s="654">
        <f t="shared" si="82"/>
        <v>24813.25</v>
      </c>
      <c r="K363" s="654">
        <f t="shared" si="82"/>
        <v>24813.25</v>
      </c>
      <c r="L363" s="654">
        <f t="shared" si="82"/>
        <v>24813.25</v>
      </c>
      <c r="M363" s="654">
        <f t="shared" si="82"/>
        <v>24813.25</v>
      </c>
      <c r="N363" s="654">
        <f t="shared" si="82"/>
        <v>810910</v>
      </c>
    </row>
    <row r="364" spans="1:16" ht="13.5" thickBot="1">
      <c r="A364" s="651" t="s">
        <v>205</v>
      </c>
      <c r="B364" s="652">
        <f>SUM(B360:B363)</f>
        <v>-5891.7166666664998</v>
      </c>
      <c r="C364" s="652">
        <f t="shared" ref="C364:N364" si="83">SUM(C360:C363)</f>
        <v>-334624.41666666651</v>
      </c>
      <c r="D364" s="652">
        <f t="shared" si="83"/>
        <v>-358519.41666666651</v>
      </c>
      <c r="E364" s="652">
        <f t="shared" si="83"/>
        <v>-784139.91666666651</v>
      </c>
      <c r="F364" s="652">
        <f t="shared" si="83"/>
        <v>-321976.41666666651</v>
      </c>
      <c r="G364" s="652">
        <f t="shared" si="83"/>
        <v>-322161.41666666651</v>
      </c>
      <c r="H364" s="652">
        <f t="shared" si="83"/>
        <v>-366239.91666666651</v>
      </c>
      <c r="I364" s="652">
        <f t="shared" si="83"/>
        <v>-407899.41666666651</v>
      </c>
      <c r="J364" s="652">
        <f t="shared" si="83"/>
        <v>-375307.41666666651</v>
      </c>
      <c r="K364" s="652">
        <f t="shared" si="83"/>
        <v>-385096.41666666651</v>
      </c>
      <c r="L364" s="652">
        <f t="shared" si="83"/>
        <v>-365640.91666666651</v>
      </c>
      <c r="M364" s="652">
        <f t="shared" si="83"/>
        <v>-418573.41666666651</v>
      </c>
      <c r="N364" s="652">
        <f t="shared" si="83"/>
        <v>-4446070.799999998</v>
      </c>
    </row>
    <row r="365" spans="1:16">
      <c r="A365" s="645"/>
      <c r="B365" s="646"/>
      <c r="C365" s="646"/>
      <c r="D365" s="646"/>
      <c r="E365" s="646"/>
      <c r="F365" s="646"/>
      <c r="G365" s="646"/>
      <c r="H365" s="646"/>
      <c r="I365" s="646"/>
      <c r="J365" s="646"/>
      <c r="K365" s="646"/>
      <c r="L365" s="646"/>
      <c r="M365" s="646"/>
      <c r="N365" s="647"/>
    </row>
    <row r="366" spans="1:16">
      <c r="A366" s="645"/>
      <c r="B366" s="646"/>
      <c r="C366" s="646"/>
      <c r="D366" s="646"/>
      <c r="E366" s="646"/>
      <c r="F366" s="646"/>
      <c r="G366" s="646"/>
      <c r="H366" s="646"/>
      <c r="I366" s="646"/>
      <c r="J366" s="646"/>
      <c r="K366" s="646"/>
      <c r="L366" s="646"/>
      <c r="M366" s="646"/>
      <c r="N366" s="647"/>
    </row>
    <row r="367" spans="1:16">
      <c r="A367" s="645"/>
      <c r="B367" s="646"/>
      <c r="C367" s="646"/>
      <c r="D367" s="646"/>
      <c r="E367" s="646"/>
      <c r="F367" s="646"/>
      <c r="G367" s="646"/>
      <c r="H367" s="646"/>
      <c r="I367" s="646"/>
      <c r="J367" s="646"/>
      <c r="K367" s="646"/>
      <c r="L367" s="646"/>
      <c r="M367" s="646"/>
      <c r="N367" s="647"/>
    </row>
    <row r="368" spans="1:16">
      <c r="A368" s="645"/>
      <c r="B368" s="646"/>
      <c r="C368" s="646"/>
      <c r="D368" s="646"/>
      <c r="E368" s="646"/>
      <c r="F368" s="646"/>
      <c r="G368" s="646"/>
      <c r="H368" s="646"/>
      <c r="I368" s="646"/>
      <c r="J368" s="646"/>
      <c r="K368" s="646"/>
      <c r="L368" s="646"/>
      <c r="M368" s="646"/>
      <c r="N368" s="647"/>
    </row>
    <row r="369" spans="1:14">
      <c r="A369" s="645"/>
      <c r="B369" s="646"/>
      <c r="C369" s="646"/>
      <c r="D369" s="646"/>
      <c r="E369" s="646"/>
      <c r="F369" s="646"/>
      <c r="G369" s="646"/>
      <c r="H369" s="646"/>
      <c r="I369" s="646"/>
      <c r="J369" s="646"/>
      <c r="K369" s="646"/>
      <c r="L369" s="646"/>
      <c r="M369" s="646"/>
      <c r="N369" s="647"/>
    </row>
    <row r="370" spans="1:14">
      <c r="A370" s="645"/>
      <c r="B370" s="646"/>
      <c r="C370" s="646"/>
      <c r="D370" s="646"/>
      <c r="E370" s="646"/>
      <c r="F370" s="646"/>
      <c r="G370" s="646"/>
      <c r="H370" s="646"/>
      <c r="I370" s="646"/>
      <c r="J370" s="646"/>
      <c r="K370" s="646"/>
      <c r="L370" s="646"/>
      <c r="M370" s="646"/>
      <c r="N370" s="647"/>
    </row>
    <row r="371" spans="1:14">
      <c r="A371" s="645"/>
      <c r="B371" s="646"/>
      <c r="C371" s="646"/>
      <c r="D371" s="646"/>
      <c r="E371" s="646"/>
      <c r="F371" s="646"/>
      <c r="G371" s="646"/>
      <c r="H371" s="646"/>
      <c r="I371" s="646"/>
      <c r="J371" s="646"/>
      <c r="K371" s="646"/>
      <c r="L371" s="646"/>
      <c r="M371" s="646"/>
      <c r="N371" s="647"/>
    </row>
    <row r="372" spans="1:14">
      <c r="A372" s="645"/>
      <c r="B372" s="646"/>
      <c r="C372" s="646"/>
      <c r="D372" s="646"/>
      <c r="E372" s="646"/>
      <c r="F372" s="646"/>
      <c r="G372" s="646"/>
      <c r="H372" s="646"/>
      <c r="I372" s="646"/>
      <c r="J372" s="646"/>
      <c r="K372" s="646"/>
      <c r="L372" s="646"/>
      <c r="M372" s="646"/>
      <c r="N372" s="647"/>
    </row>
    <row r="373" spans="1:14">
      <c r="A373" s="645"/>
      <c r="B373" s="646"/>
      <c r="C373" s="646"/>
      <c r="D373" s="646"/>
      <c r="E373" s="646"/>
      <c r="F373" s="646"/>
      <c r="G373" s="646"/>
      <c r="H373" s="646"/>
      <c r="I373" s="646"/>
      <c r="J373" s="646"/>
      <c r="K373" s="646"/>
      <c r="L373" s="646"/>
      <c r="M373" s="646"/>
      <c r="N373" s="647"/>
    </row>
    <row r="374" spans="1:14" ht="14.25" customHeight="1">
      <c r="A374" s="645"/>
      <c r="B374" s="648"/>
      <c r="C374" s="648"/>
      <c r="D374" s="648"/>
      <c r="E374" s="648"/>
      <c r="F374" s="648"/>
      <c r="G374" s="648"/>
      <c r="H374" s="648"/>
      <c r="I374" s="648"/>
      <c r="J374" s="648"/>
      <c r="K374" s="648"/>
      <c r="L374" s="648"/>
      <c r="M374" s="648"/>
      <c r="N374" s="648"/>
    </row>
    <row r="375" spans="1:14">
      <c r="A375" s="645"/>
      <c r="B375" s="648"/>
      <c r="C375" s="648"/>
      <c r="D375" s="648"/>
      <c r="E375" s="648"/>
      <c r="F375" s="648"/>
      <c r="G375" s="648"/>
      <c r="H375" s="648"/>
      <c r="I375" s="648"/>
      <c r="J375" s="648"/>
      <c r="K375" s="648"/>
      <c r="L375" s="648"/>
      <c r="M375" s="648"/>
      <c r="N375" s="648"/>
    </row>
    <row r="376" spans="1:14" ht="13.5" thickBot="1">
      <c r="A376" s="281"/>
      <c r="B376" s="281"/>
      <c r="C376" s="281"/>
      <c r="D376" s="281"/>
      <c r="E376" s="281"/>
      <c r="F376" s="281"/>
      <c r="G376" s="281"/>
      <c r="H376" s="281"/>
      <c r="I376" s="281"/>
      <c r="J376" s="281"/>
      <c r="K376" s="281"/>
      <c r="L376" s="281"/>
      <c r="M376" s="281"/>
      <c r="N376" s="281"/>
    </row>
    <row r="377" spans="1:14" ht="20.25">
      <c r="A377" s="820" t="s">
        <v>227</v>
      </c>
      <c r="B377" s="820"/>
      <c r="C377" s="820"/>
      <c r="D377" s="820"/>
      <c r="E377" s="820"/>
      <c r="F377" s="820"/>
      <c r="G377" s="820"/>
      <c r="H377" s="820"/>
      <c r="I377" s="820"/>
      <c r="J377" s="820"/>
      <c r="K377" s="820"/>
      <c r="L377" s="820"/>
      <c r="M377" s="820"/>
      <c r="N377" s="820"/>
    </row>
    <row r="378" spans="1:14">
      <c r="A378" s="227"/>
      <c r="B378" s="227"/>
      <c r="C378" s="227"/>
      <c r="D378" s="227"/>
      <c r="E378" s="227"/>
      <c r="F378" s="227"/>
      <c r="G378" s="227"/>
      <c r="H378" s="227"/>
      <c r="I378" s="227"/>
      <c r="J378" s="227"/>
      <c r="K378" s="227"/>
      <c r="L378" s="227"/>
      <c r="M378" s="227"/>
    </row>
    <row r="379" spans="1:14">
      <c r="A379" s="228"/>
      <c r="B379" s="229" t="s">
        <v>44</v>
      </c>
      <c r="C379" s="229" t="s">
        <v>45</v>
      </c>
      <c r="D379" s="230" t="s">
        <v>46</v>
      </c>
      <c r="E379" s="229" t="s">
        <v>47</v>
      </c>
      <c r="F379" s="229" t="s">
        <v>48</v>
      </c>
      <c r="G379" s="230" t="s">
        <v>49</v>
      </c>
      <c r="H379" s="229" t="s">
        <v>38</v>
      </c>
      <c r="I379" s="229" t="s">
        <v>39</v>
      </c>
      <c r="J379" s="229" t="s">
        <v>40</v>
      </c>
      <c r="K379" s="229" t="s">
        <v>41</v>
      </c>
      <c r="L379" s="229" t="s">
        <v>42</v>
      </c>
      <c r="M379" s="229" t="s">
        <v>43</v>
      </c>
      <c r="N379" s="228" t="s">
        <v>64</v>
      </c>
    </row>
    <row r="380" spans="1:14">
      <c r="A380" s="231" t="s">
        <v>65</v>
      </c>
      <c r="B380" s="620">
        <v>2083</v>
      </c>
      <c r="C380" s="620">
        <v>2083</v>
      </c>
      <c r="D380" s="620">
        <v>2083</v>
      </c>
      <c r="E380" s="620">
        <v>2083</v>
      </c>
      <c r="F380" s="620">
        <v>2083</v>
      </c>
      <c r="G380" s="620">
        <v>2083</v>
      </c>
      <c r="H380" s="620">
        <v>2083</v>
      </c>
      <c r="I380" s="620">
        <v>2083</v>
      </c>
      <c r="J380" s="620">
        <v>2083</v>
      </c>
      <c r="K380" s="620">
        <v>2083</v>
      </c>
      <c r="L380" s="620">
        <v>2083</v>
      </c>
      <c r="M380" s="620">
        <v>2083</v>
      </c>
      <c r="N380" s="620">
        <f t="shared" ref="N380:N390" si="84">SUM(B380:M380)</f>
        <v>24996</v>
      </c>
    </row>
    <row r="381" spans="1:14">
      <c r="A381" s="231" t="s">
        <v>66</v>
      </c>
      <c r="B381" s="620"/>
      <c r="C381" s="620"/>
      <c r="D381" s="620"/>
      <c r="E381" s="620"/>
      <c r="F381" s="620"/>
      <c r="G381" s="621"/>
      <c r="H381" s="620"/>
      <c r="I381" s="620"/>
      <c r="J381" s="622"/>
      <c r="K381" s="620"/>
      <c r="L381" s="620"/>
      <c r="M381" s="620"/>
      <c r="N381" s="620">
        <f t="shared" si="84"/>
        <v>0</v>
      </c>
    </row>
    <row r="382" spans="1:14">
      <c r="A382" s="231" t="s">
        <v>67</v>
      </c>
      <c r="B382" s="620"/>
      <c r="C382" s="620"/>
      <c r="D382" s="620"/>
      <c r="E382" s="620"/>
      <c r="F382" s="620"/>
      <c r="G382" s="621"/>
      <c r="H382" s="620"/>
      <c r="I382" s="620"/>
      <c r="J382" s="620"/>
      <c r="K382" s="620"/>
      <c r="L382" s="620"/>
      <c r="M382" s="620"/>
      <c r="N382" s="620">
        <f t="shared" si="84"/>
        <v>0</v>
      </c>
    </row>
    <row r="383" spans="1:14">
      <c r="A383" s="231" t="s">
        <v>69</v>
      </c>
      <c r="B383" s="620">
        <v>19.75</v>
      </c>
      <c r="C383" s="620">
        <v>59.25</v>
      </c>
      <c r="D383" s="620"/>
      <c r="E383" s="620"/>
      <c r="F383" s="620"/>
      <c r="G383" s="621"/>
      <c r="H383" s="620"/>
      <c r="I383" s="620"/>
      <c r="J383" s="620"/>
      <c r="K383" s="620"/>
      <c r="L383" s="620"/>
      <c r="M383" s="620"/>
      <c r="N383" s="620">
        <f t="shared" si="84"/>
        <v>79</v>
      </c>
    </row>
    <row r="384" spans="1:14">
      <c r="A384" s="231" t="s">
        <v>70</v>
      </c>
      <c r="B384" s="620"/>
      <c r="C384" s="620">
        <v>37</v>
      </c>
      <c r="D384" s="620"/>
      <c r="E384" s="620"/>
      <c r="F384" s="620"/>
      <c r="G384" s="621"/>
      <c r="H384" s="620"/>
      <c r="I384" s="620"/>
      <c r="J384" s="620"/>
      <c r="K384" s="620"/>
      <c r="L384" s="620"/>
      <c r="M384" s="620"/>
      <c r="N384" s="620">
        <f t="shared" si="84"/>
        <v>37</v>
      </c>
    </row>
    <row r="385" spans="1:14">
      <c r="A385" s="231" t="s">
        <v>71</v>
      </c>
      <c r="B385" s="620">
        <v>216</v>
      </c>
      <c r="C385" s="620">
        <v>15.5</v>
      </c>
      <c r="D385" s="620"/>
      <c r="E385" s="620"/>
      <c r="F385" s="620"/>
      <c r="G385" s="621"/>
      <c r="H385" s="620"/>
      <c r="I385" s="620"/>
      <c r="J385" s="620"/>
      <c r="K385" s="620"/>
      <c r="L385" s="620"/>
      <c r="M385" s="620"/>
      <c r="N385" s="620">
        <f t="shared" si="84"/>
        <v>231.5</v>
      </c>
    </row>
    <row r="386" spans="1:14">
      <c r="A386" s="231" t="s">
        <v>72</v>
      </c>
      <c r="B386" s="620"/>
      <c r="C386" s="620"/>
      <c r="D386" s="620"/>
      <c r="E386" s="620"/>
      <c r="F386" s="620"/>
      <c r="G386" s="621"/>
      <c r="H386" s="620"/>
      <c r="I386" s="620"/>
      <c r="J386" s="620"/>
      <c r="K386" s="620"/>
      <c r="L386" s="620"/>
      <c r="M386" s="620"/>
      <c r="N386" s="620">
        <f t="shared" si="84"/>
        <v>0</v>
      </c>
    </row>
    <row r="387" spans="1:14">
      <c r="A387" s="231" t="s">
        <v>73</v>
      </c>
      <c r="B387" s="620"/>
      <c r="C387" s="620"/>
      <c r="D387" s="620"/>
      <c r="E387" s="620"/>
      <c r="F387" s="620"/>
      <c r="G387" s="621"/>
      <c r="H387" s="620"/>
      <c r="I387" s="620"/>
      <c r="J387" s="620"/>
      <c r="K387" s="620"/>
      <c r="L387" s="620"/>
      <c r="M387" s="620"/>
      <c r="N387" s="620">
        <f t="shared" si="84"/>
        <v>0</v>
      </c>
    </row>
    <row r="388" spans="1:14">
      <c r="A388" s="231" t="s">
        <v>74</v>
      </c>
      <c r="B388" s="620"/>
      <c r="C388" s="620"/>
      <c r="D388" s="620"/>
      <c r="E388" s="620"/>
      <c r="F388" s="620"/>
      <c r="G388" s="621"/>
      <c r="H388" s="620"/>
      <c r="I388" s="620"/>
      <c r="J388" s="620"/>
      <c r="K388" s="620"/>
      <c r="L388" s="620"/>
      <c r="M388" s="620"/>
      <c r="N388" s="620">
        <f t="shared" si="84"/>
        <v>0</v>
      </c>
    </row>
    <row r="389" spans="1:14">
      <c r="A389" s="231" t="s">
        <v>75</v>
      </c>
      <c r="B389" s="620"/>
      <c r="C389" s="620"/>
      <c r="D389" s="620"/>
      <c r="E389" s="620"/>
      <c r="F389" s="620"/>
      <c r="G389" s="621"/>
      <c r="H389" s="620"/>
      <c r="I389" s="620"/>
      <c r="J389" s="620"/>
      <c r="K389" s="620"/>
      <c r="L389" s="620"/>
      <c r="M389" s="620"/>
      <c r="N389" s="620">
        <f t="shared" si="84"/>
        <v>0</v>
      </c>
    </row>
    <row r="390" spans="1:14" ht="13.5" thickBot="1">
      <c r="A390" s="235" t="s">
        <v>76</v>
      </c>
      <c r="B390" s="623">
        <v>19.75</v>
      </c>
      <c r="C390" s="623">
        <v>15.5</v>
      </c>
      <c r="D390" s="623"/>
      <c r="E390" s="623"/>
      <c r="F390" s="623"/>
      <c r="G390" s="624"/>
      <c r="H390" s="623"/>
      <c r="I390" s="623"/>
      <c r="J390" s="623"/>
      <c r="K390" s="623"/>
      <c r="L390" s="623"/>
      <c r="M390" s="623"/>
      <c r="N390" s="625">
        <f t="shared" si="84"/>
        <v>35.25</v>
      </c>
    </row>
    <row r="391" spans="1:14" ht="13.5" thickBot="1">
      <c r="A391" s="239" t="s">
        <v>77</v>
      </c>
      <c r="B391" s="626">
        <f>SUM(B380:B382)-SUM(B383:B390)</f>
        <v>1827.5</v>
      </c>
      <c r="C391" s="626">
        <f t="shared" ref="C391:N391" si="85">SUM(C380:C382)-SUM(C383:C390)</f>
        <v>1955.75</v>
      </c>
      <c r="D391" s="626">
        <f t="shared" si="85"/>
        <v>2083</v>
      </c>
      <c r="E391" s="626">
        <f t="shared" si="85"/>
        <v>2083</v>
      </c>
      <c r="F391" s="626">
        <f t="shared" si="85"/>
        <v>2083</v>
      </c>
      <c r="G391" s="626">
        <f t="shared" si="85"/>
        <v>2083</v>
      </c>
      <c r="H391" s="626">
        <f t="shared" si="85"/>
        <v>2083</v>
      </c>
      <c r="I391" s="626">
        <f t="shared" si="85"/>
        <v>2083</v>
      </c>
      <c r="J391" s="626">
        <f t="shared" si="85"/>
        <v>2083</v>
      </c>
      <c r="K391" s="626">
        <f t="shared" si="85"/>
        <v>2083</v>
      </c>
      <c r="L391" s="626">
        <f t="shared" si="85"/>
        <v>2083</v>
      </c>
      <c r="M391" s="626">
        <f t="shared" si="85"/>
        <v>2083</v>
      </c>
      <c r="N391" s="626">
        <f t="shared" si="85"/>
        <v>24613.25</v>
      </c>
    </row>
    <row r="392" spans="1:14">
      <c r="A392" s="243"/>
      <c r="B392" s="261"/>
      <c r="C392" s="261"/>
      <c r="D392" s="261"/>
      <c r="E392" s="261"/>
      <c r="F392" s="261"/>
      <c r="G392" s="261"/>
      <c r="H392" s="261"/>
      <c r="I392" s="261"/>
      <c r="J392" s="261"/>
      <c r="K392" s="261"/>
      <c r="L392" s="261"/>
      <c r="M392" s="261"/>
      <c r="N392" s="261"/>
    </row>
    <row r="393" spans="1:14">
      <c r="A393" s="243"/>
      <c r="B393" s="261"/>
      <c r="C393" s="261"/>
      <c r="D393" s="261"/>
      <c r="E393" s="261"/>
      <c r="F393" s="261"/>
      <c r="G393" s="261"/>
      <c r="H393" s="261"/>
      <c r="I393" s="261"/>
      <c r="J393" s="261"/>
      <c r="K393" s="261"/>
      <c r="L393" s="261"/>
      <c r="M393" s="261"/>
      <c r="N393" s="629" t="s">
        <v>78</v>
      </c>
    </row>
    <row r="394" spans="1:14">
      <c r="A394" s="231" t="s">
        <v>79</v>
      </c>
      <c r="B394" s="620">
        <f t="shared" ref="B394:M394" si="86">SUM(B381*100/B391)</f>
        <v>0</v>
      </c>
      <c r="C394" s="620">
        <f t="shared" si="86"/>
        <v>0</v>
      </c>
      <c r="D394" s="620">
        <f t="shared" si="86"/>
        <v>0</v>
      </c>
      <c r="E394" s="620">
        <f t="shared" si="86"/>
        <v>0</v>
      </c>
      <c r="F394" s="620">
        <f t="shared" si="86"/>
        <v>0</v>
      </c>
      <c r="G394" s="620">
        <f t="shared" si="86"/>
        <v>0</v>
      </c>
      <c r="H394" s="620">
        <f t="shared" si="86"/>
        <v>0</v>
      </c>
      <c r="I394" s="620">
        <f t="shared" si="86"/>
        <v>0</v>
      </c>
      <c r="J394" s="620">
        <f t="shared" si="86"/>
        <v>0</v>
      </c>
      <c r="K394" s="620">
        <f t="shared" si="86"/>
        <v>0</v>
      </c>
      <c r="L394" s="620">
        <f t="shared" si="86"/>
        <v>0</v>
      </c>
      <c r="M394" s="620">
        <f t="shared" si="86"/>
        <v>0</v>
      </c>
      <c r="N394" s="630">
        <f>SUM(B394:M394)/12</f>
        <v>0</v>
      </c>
    </row>
    <row r="395" spans="1:14">
      <c r="A395" s="243"/>
      <c r="B395" s="261"/>
      <c r="C395" s="261"/>
      <c r="D395" s="261"/>
      <c r="E395" s="261"/>
      <c r="F395" s="261"/>
      <c r="G395" s="261"/>
      <c r="H395" s="261"/>
      <c r="I395" s="261"/>
      <c r="J395" s="261"/>
      <c r="K395" s="261"/>
      <c r="L395" s="261"/>
      <c r="M395" s="261"/>
      <c r="N395" s="261"/>
    </row>
    <row r="396" spans="1:14">
      <c r="A396" s="231" t="s">
        <v>80</v>
      </c>
      <c r="B396" s="620">
        <f t="shared" ref="B396:M396" si="87">SUM(B385*100/B391)</f>
        <v>11.819425444596444</v>
      </c>
      <c r="C396" s="620">
        <f t="shared" si="87"/>
        <v>0.79253483318420048</v>
      </c>
      <c r="D396" s="620">
        <f t="shared" si="87"/>
        <v>0</v>
      </c>
      <c r="E396" s="620">
        <f t="shared" si="87"/>
        <v>0</v>
      </c>
      <c r="F396" s="620">
        <f t="shared" si="87"/>
        <v>0</v>
      </c>
      <c r="G396" s="620">
        <f t="shared" si="87"/>
        <v>0</v>
      </c>
      <c r="H396" s="620">
        <f t="shared" si="87"/>
        <v>0</v>
      </c>
      <c r="I396" s="620">
        <f t="shared" si="87"/>
        <v>0</v>
      </c>
      <c r="J396" s="620">
        <f t="shared" si="87"/>
        <v>0</v>
      </c>
      <c r="K396" s="620">
        <f t="shared" si="87"/>
        <v>0</v>
      </c>
      <c r="L396" s="620">
        <f t="shared" si="87"/>
        <v>0</v>
      </c>
      <c r="M396" s="620">
        <f t="shared" si="87"/>
        <v>0</v>
      </c>
      <c r="N396" s="630">
        <f>SUM(B396:M396)/12</f>
        <v>1.0509966898150538</v>
      </c>
    </row>
    <row r="397" spans="1:14" ht="13.5" thickBot="1">
      <c r="A397" s="247" t="s">
        <v>81</v>
      </c>
      <c r="B397" s="625">
        <f t="shared" ref="B397:M397" si="88">SUM(B386*100/B391)</f>
        <v>0</v>
      </c>
      <c r="C397" s="625">
        <f t="shared" si="88"/>
        <v>0</v>
      </c>
      <c r="D397" s="625">
        <f t="shared" si="88"/>
        <v>0</v>
      </c>
      <c r="E397" s="625">
        <f t="shared" si="88"/>
        <v>0</v>
      </c>
      <c r="F397" s="625">
        <f t="shared" si="88"/>
        <v>0</v>
      </c>
      <c r="G397" s="625">
        <f t="shared" si="88"/>
        <v>0</v>
      </c>
      <c r="H397" s="625">
        <f t="shared" si="88"/>
        <v>0</v>
      </c>
      <c r="I397" s="625">
        <f t="shared" si="88"/>
        <v>0</v>
      </c>
      <c r="J397" s="625">
        <f t="shared" si="88"/>
        <v>0</v>
      </c>
      <c r="K397" s="625">
        <f t="shared" si="88"/>
        <v>0</v>
      </c>
      <c r="L397" s="625">
        <f t="shared" si="88"/>
        <v>0</v>
      </c>
      <c r="M397" s="625">
        <f t="shared" si="88"/>
        <v>0</v>
      </c>
      <c r="N397" s="631">
        <f>SUM(B397:M397)/12</f>
        <v>0</v>
      </c>
    </row>
    <row r="398" spans="1:14" ht="13.5" thickBot="1">
      <c r="A398" s="249" t="s">
        <v>82</v>
      </c>
      <c r="B398" s="632">
        <f t="shared" ref="B398:M398" si="89">SUM(B396:B396)</f>
        <v>11.819425444596444</v>
      </c>
      <c r="C398" s="632">
        <f t="shared" si="89"/>
        <v>0.79253483318420048</v>
      </c>
      <c r="D398" s="632">
        <f t="shared" si="89"/>
        <v>0</v>
      </c>
      <c r="E398" s="632">
        <f t="shared" si="89"/>
        <v>0</v>
      </c>
      <c r="F398" s="632">
        <f t="shared" si="89"/>
        <v>0</v>
      </c>
      <c r="G398" s="632">
        <f t="shared" si="89"/>
        <v>0</v>
      </c>
      <c r="H398" s="632">
        <f t="shared" si="89"/>
        <v>0</v>
      </c>
      <c r="I398" s="632">
        <f t="shared" si="89"/>
        <v>0</v>
      </c>
      <c r="J398" s="632">
        <f t="shared" si="89"/>
        <v>0</v>
      </c>
      <c r="K398" s="632">
        <f t="shared" si="89"/>
        <v>0</v>
      </c>
      <c r="L398" s="632">
        <f t="shared" si="89"/>
        <v>0</v>
      </c>
      <c r="M398" s="632">
        <f t="shared" si="89"/>
        <v>0</v>
      </c>
      <c r="N398" s="633">
        <f>SUM(N396:N397)</f>
        <v>1.0509966898150538</v>
      </c>
    </row>
    <row r="399" spans="1:14">
      <c r="A399" s="243" t="s">
        <v>83</v>
      </c>
      <c r="B399" s="261"/>
      <c r="C399" s="261"/>
      <c r="D399" s="634">
        <f>SUM(B398:D398)/4</f>
        <v>3.1529900694451611</v>
      </c>
      <c r="E399" s="261"/>
      <c r="F399" s="261"/>
      <c r="G399" s="634">
        <f>SUM(E398,F398,G398)/4</f>
        <v>0</v>
      </c>
      <c r="H399" s="261"/>
      <c r="I399" s="261"/>
      <c r="J399" s="634">
        <f>SUM(H398,I398,J398)/3</f>
        <v>0</v>
      </c>
      <c r="K399" s="261"/>
      <c r="L399" s="261"/>
      <c r="M399" s="634">
        <f>SUM(K398,L398,M398)/3</f>
        <v>0</v>
      </c>
      <c r="N399" s="635">
        <f>SUM(D399:M399)/4</f>
        <v>0.78824751736129028</v>
      </c>
    </row>
    <row r="400" spans="1:14">
      <c r="A400" s="243" t="s">
        <v>84</v>
      </c>
      <c r="B400" s="261"/>
      <c r="C400" s="261"/>
      <c r="D400" s="262"/>
      <c r="E400" s="261"/>
      <c r="F400" s="261"/>
      <c r="G400" s="262"/>
      <c r="H400" s="261"/>
      <c r="I400" s="261"/>
      <c r="J400" s="262"/>
      <c r="K400" s="261"/>
      <c r="L400" s="261"/>
      <c r="M400" s="262"/>
      <c r="N400" s="630">
        <f>SUM(D400:G400,J400,M400)/4</f>
        <v>0</v>
      </c>
    </row>
    <row r="401" spans="1:14">
      <c r="A401" s="243"/>
      <c r="B401" s="261"/>
      <c r="C401" s="261"/>
      <c r="D401" s="261"/>
      <c r="E401" s="261"/>
      <c r="F401" s="261"/>
      <c r="G401" s="261"/>
      <c r="H401" s="261"/>
      <c r="I401" s="261"/>
      <c r="J401" s="261"/>
      <c r="K401" s="261"/>
      <c r="L401" s="261"/>
      <c r="M401" s="261"/>
      <c r="N401" s="261"/>
    </row>
    <row r="402" spans="1:14">
      <c r="A402" s="231" t="s">
        <v>85</v>
      </c>
      <c r="B402" s="620">
        <f t="shared" ref="B402:M402" si="90">B389*100/B391</f>
        <v>0</v>
      </c>
      <c r="C402" s="620">
        <f t="shared" si="90"/>
        <v>0</v>
      </c>
      <c r="D402" s="620">
        <f t="shared" si="90"/>
        <v>0</v>
      </c>
      <c r="E402" s="620">
        <f t="shared" si="90"/>
        <v>0</v>
      </c>
      <c r="F402" s="620">
        <f t="shared" si="90"/>
        <v>0</v>
      </c>
      <c r="G402" s="620">
        <f t="shared" si="90"/>
        <v>0</v>
      </c>
      <c r="H402" s="620">
        <f t="shared" si="90"/>
        <v>0</v>
      </c>
      <c r="I402" s="620">
        <f t="shared" si="90"/>
        <v>0</v>
      </c>
      <c r="J402" s="620">
        <f t="shared" si="90"/>
        <v>0</v>
      </c>
      <c r="K402" s="620">
        <f t="shared" si="90"/>
        <v>0</v>
      </c>
      <c r="L402" s="620">
        <f t="shared" si="90"/>
        <v>0</v>
      </c>
      <c r="M402" s="620">
        <f t="shared" si="90"/>
        <v>0</v>
      </c>
      <c r="N402" s="630">
        <f>SUM(B402:M402)/12</f>
        <v>0</v>
      </c>
    </row>
    <row r="403" spans="1:14">
      <c r="A403" s="231" t="s">
        <v>86</v>
      </c>
      <c r="B403" s="620">
        <f t="shared" ref="B403:M403" si="91">B387*100/B391</f>
        <v>0</v>
      </c>
      <c r="C403" s="620">
        <f t="shared" si="91"/>
        <v>0</v>
      </c>
      <c r="D403" s="620">
        <f t="shared" si="91"/>
        <v>0</v>
      </c>
      <c r="E403" s="620">
        <f t="shared" si="91"/>
        <v>0</v>
      </c>
      <c r="F403" s="620">
        <f t="shared" si="91"/>
        <v>0</v>
      </c>
      <c r="G403" s="620">
        <f t="shared" si="91"/>
        <v>0</v>
      </c>
      <c r="H403" s="620">
        <f t="shared" si="91"/>
        <v>0</v>
      </c>
      <c r="I403" s="620">
        <f t="shared" si="91"/>
        <v>0</v>
      </c>
      <c r="J403" s="620">
        <f t="shared" si="91"/>
        <v>0</v>
      </c>
      <c r="K403" s="620">
        <f t="shared" si="91"/>
        <v>0</v>
      </c>
      <c r="L403" s="620">
        <f t="shared" si="91"/>
        <v>0</v>
      </c>
      <c r="M403" s="620">
        <f t="shared" si="91"/>
        <v>0</v>
      </c>
      <c r="N403" s="630">
        <f>SUM(B403:M403)/12</f>
        <v>0</v>
      </c>
    </row>
    <row r="404" spans="1:14" ht="13.5" thickBot="1">
      <c r="A404" s="231" t="s">
        <v>87</v>
      </c>
      <c r="B404" s="620">
        <f t="shared" ref="B404:M404" si="92">B383*100/B391</f>
        <v>1.0807113543091655</v>
      </c>
      <c r="C404" s="620">
        <f t="shared" si="92"/>
        <v>3.0295283139460567</v>
      </c>
      <c r="D404" s="620">
        <f t="shared" si="92"/>
        <v>0</v>
      </c>
      <c r="E404" s="620">
        <f t="shared" si="92"/>
        <v>0</v>
      </c>
      <c r="F404" s="620">
        <f t="shared" si="92"/>
        <v>0</v>
      </c>
      <c r="G404" s="620">
        <f t="shared" si="92"/>
        <v>0</v>
      </c>
      <c r="H404" s="620">
        <f t="shared" si="92"/>
        <v>0</v>
      </c>
      <c r="I404" s="620">
        <f t="shared" si="92"/>
        <v>0</v>
      </c>
      <c r="J404" s="620">
        <f t="shared" si="92"/>
        <v>0</v>
      </c>
      <c r="K404" s="620">
        <f t="shared" si="92"/>
        <v>0</v>
      </c>
      <c r="L404" s="620">
        <f t="shared" si="92"/>
        <v>0</v>
      </c>
      <c r="M404" s="620">
        <f t="shared" si="92"/>
        <v>0</v>
      </c>
      <c r="N404" s="630">
        <f>SUM(B404:M404)/12</f>
        <v>0.3425199723546018</v>
      </c>
    </row>
    <row r="405" spans="1:14" ht="13.5" thickBot="1">
      <c r="A405" s="255" t="s">
        <v>88</v>
      </c>
      <c r="B405" s="636">
        <f t="shared" ref="B405:M405" si="93">SUM(B380-B391)*100/B391</f>
        <v>13.980848153214774</v>
      </c>
      <c r="C405" s="636">
        <f t="shared" si="93"/>
        <v>6.5064553240444845</v>
      </c>
      <c r="D405" s="636">
        <f t="shared" si="93"/>
        <v>0</v>
      </c>
      <c r="E405" s="636">
        <f t="shared" si="93"/>
        <v>0</v>
      </c>
      <c r="F405" s="636">
        <f t="shared" si="93"/>
        <v>0</v>
      </c>
      <c r="G405" s="636">
        <f t="shared" si="93"/>
        <v>0</v>
      </c>
      <c r="H405" s="636">
        <f t="shared" si="93"/>
        <v>0</v>
      </c>
      <c r="I405" s="636">
        <f t="shared" si="93"/>
        <v>0</v>
      </c>
      <c r="J405" s="636">
        <f t="shared" si="93"/>
        <v>0</v>
      </c>
      <c r="K405" s="636">
        <f t="shared" si="93"/>
        <v>0</v>
      </c>
      <c r="L405" s="636">
        <f t="shared" si="93"/>
        <v>0</v>
      </c>
      <c r="M405" s="636">
        <f t="shared" si="93"/>
        <v>0</v>
      </c>
      <c r="N405" s="637">
        <f>SUM(B405:M405)/12</f>
        <v>1.707275289771605</v>
      </c>
    </row>
    <row r="406" spans="1:14">
      <c r="A406" s="243"/>
      <c r="B406" s="244"/>
      <c r="C406" s="244"/>
      <c r="D406" s="244"/>
      <c r="E406" s="244"/>
      <c r="F406" s="244"/>
      <c r="G406" s="244"/>
      <c r="H406" s="244"/>
      <c r="I406" s="244"/>
      <c r="J406" s="244"/>
      <c r="K406" s="244"/>
      <c r="L406" s="244"/>
      <c r="M406" s="244"/>
      <c r="N406" s="227"/>
    </row>
    <row r="407" spans="1:14">
      <c r="A407" s="258" t="s">
        <v>89</v>
      </c>
      <c r="B407" s="244"/>
      <c r="C407" s="244"/>
      <c r="D407" s="244"/>
      <c r="E407" s="244"/>
      <c r="F407" s="244"/>
      <c r="G407" s="244"/>
      <c r="H407" s="244"/>
      <c r="I407" s="244"/>
      <c r="J407" s="244"/>
      <c r="K407" s="244"/>
      <c r="L407" s="244"/>
      <c r="M407" s="244"/>
      <c r="N407" s="227"/>
    </row>
    <row r="408" spans="1:14">
      <c r="A408" s="231" t="s">
        <v>90</v>
      </c>
      <c r="B408" s="259">
        <v>13</v>
      </c>
      <c r="C408" s="259">
        <v>13</v>
      </c>
      <c r="D408" s="259">
        <v>13</v>
      </c>
      <c r="E408" s="259">
        <v>13</v>
      </c>
      <c r="F408" s="259">
        <v>13</v>
      </c>
      <c r="G408" s="259">
        <v>13</v>
      </c>
      <c r="H408" s="259">
        <v>13</v>
      </c>
      <c r="I408" s="259">
        <v>13</v>
      </c>
      <c r="J408" s="259">
        <f>I411</f>
        <v>13</v>
      </c>
      <c r="K408" s="259">
        <f>J411</f>
        <v>13</v>
      </c>
      <c r="L408" s="259">
        <f>K411</f>
        <v>13</v>
      </c>
      <c r="M408" s="259">
        <f>L411</f>
        <v>13</v>
      </c>
      <c r="N408" s="259">
        <f>M411</f>
        <v>13</v>
      </c>
    </row>
    <row r="409" spans="1:14">
      <c r="A409" s="231" t="s">
        <v>91</v>
      </c>
      <c r="B409" s="259"/>
      <c r="C409" s="259"/>
      <c r="D409" s="259"/>
      <c r="E409" s="259"/>
      <c r="F409" s="259"/>
      <c r="G409" s="259"/>
      <c r="H409" s="259"/>
      <c r="I409" s="259"/>
      <c r="J409" s="259"/>
      <c r="K409" s="259"/>
      <c r="L409" s="259"/>
      <c r="M409" s="259"/>
      <c r="N409" s="259">
        <f>SUM(B409:M409)/12</f>
        <v>0</v>
      </c>
    </row>
    <row r="410" spans="1:14">
      <c r="A410" s="231" t="s">
        <v>92</v>
      </c>
      <c r="B410" s="259"/>
      <c r="C410" s="259"/>
      <c r="D410" s="259"/>
      <c r="E410" s="259"/>
      <c r="F410" s="259"/>
      <c r="G410" s="259"/>
      <c r="H410" s="259"/>
      <c r="I410" s="259"/>
      <c r="J410" s="259"/>
      <c r="K410" s="259"/>
      <c r="L410" s="259"/>
      <c r="M410" s="259"/>
      <c r="N410" s="259">
        <f>SUM(B409:M409)/12</f>
        <v>0</v>
      </c>
    </row>
    <row r="411" spans="1:14">
      <c r="A411" s="231" t="s">
        <v>89</v>
      </c>
      <c r="B411" s="259">
        <f t="shared" ref="B411:M411" si="94">SUM(B408+B409-B410)</f>
        <v>13</v>
      </c>
      <c r="C411" s="259">
        <f t="shared" si="94"/>
        <v>13</v>
      </c>
      <c r="D411" s="259">
        <f t="shared" si="94"/>
        <v>13</v>
      </c>
      <c r="E411" s="259">
        <f t="shared" si="94"/>
        <v>13</v>
      </c>
      <c r="F411" s="259">
        <f t="shared" si="94"/>
        <v>13</v>
      </c>
      <c r="G411" s="259">
        <f t="shared" si="94"/>
        <v>13</v>
      </c>
      <c r="H411" s="259">
        <f t="shared" si="94"/>
        <v>13</v>
      </c>
      <c r="I411" s="259">
        <f t="shared" si="94"/>
        <v>13</v>
      </c>
      <c r="J411" s="259">
        <f t="shared" si="94"/>
        <v>13</v>
      </c>
      <c r="K411" s="259">
        <f t="shared" si="94"/>
        <v>13</v>
      </c>
      <c r="L411" s="259">
        <f t="shared" si="94"/>
        <v>13</v>
      </c>
      <c r="M411" s="259">
        <f t="shared" si="94"/>
        <v>13</v>
      </c>
      <c r="N411" s="259">
        <f>SUM(B410:M410)/12</f>
        <v>0</v>
      </c>
    </row>
    <row r="412" spans="1:14">
      <c r="A412" s="231" t="s">
        <v>93</v>
      </c>
      <c r="B412" s="260">
        <f t="shared" ref="B412:M412" si="95">SUM(B411*100)/B408-100</f>
        <v>0</v>
      </c>
      <c r="C412" s="260">
        <f t="shared" si="95"/>
        <v>0</v>
      </c>
      <c r="D412" s="260">
        <f t="shared" si="95"/>
        <v>0</v>
      </c>
      <c r="E412" s="260">
        <f t="shared" si="95"/>
        <v>0</v>
      </c>
      <c r="F412" s="260">
        <f t="shared" si="95"/>
        <v>0</v>
      </c>
      <c r="G412" s="260">
        <f t="shared" si="95"/>
        <v>0</v>
      </c>
      <c r="H412" s="260">
        <f t="shared" si="95"/>
        <v>0</v>
      </c>
      <c r="I412" s="260">
        <f t="shared" si="95"/>
        <v>0</v>
      </c>
      <c r="J412" s="260">
        <f t="shared" si="95"/>
        <v>0</v>
      </c>
      <c r="K412" s="260">
        <f t="shared" si="95"/>
        <v>0</v>
      </c>
      <c r="L412" s="260">
        <f t="shared" si="95"/>
        <v>0</v>
      </c>
      <c r="M412" s="260">
        <f t="shared" si="95"/>
        <v>0</v>
      </c>
      <c r="N412" s="259"/>
    </row>
    <row r="413" spans="1:14">
      <c r="A413" s="243" t="s">
        <v>94</v>
      </c>
      <c r="B413" s="261"/>
      <c r="C413" s="261"/>
      <c r="D413" s="262">
        <f>SUM(B412:D412/3)</f>
        <v>0</v>
      </c>
      <c r="E413" s="261"/>
      <c r="F413" s="261"/>
      <c r="G413" s="262">
        <f>SUM(E412:G412)/3</f>
        <v>0</v>
      </c>
      <c r="H413" s="261"/>
      <c r="I413" s="261"/>
      <c r="J413" s="262">
        <f>SUM(H412:J412)/3</f>
        <v>0</v>
      </c>
      <c r="K413" s="261"/>
      <c r="L413" s="261"/>
      <c r="M413" s="262">
        <f>SUM(K412:M412)/3</f>
        <v>0</v>
      </c>
      <c r="N413" s="261"/>
    </row>
    <row r="414" spans="1:14" ht="13.5" thickBot="1">
      <c r="A414" s="372"/>
      <c r="B414" s="373"/>
      <c r="C414" s="373"/>
      <c r="D414" s="373"/>
      <c r="E414" s="373"/>
      <c r="F414" s="373"/>
      <c r="G414" s="373"/>
      <c r="H414" s="373"/>
      <c r="I414" s="373"/>
      <c r="J414" s="373"/>
      <c r="K414" s="373"/>
      <c r="L414" s="373"/>
      <c r="M414" s="373"/>
      <c r="N414" s="374"/>
    </row>
    <row r="415" spans="1:14">
      <c r="A415" s="243"/>
      <c r="B415" s="244"/>
      <c r="C415" s="244"/>
      <c r="D415" s="244"/>
      <c r="E415" s="244"/>
      <c r="F415" s="244"/>
      <c r="G415" s="244"/>
      <c r="H415" s="244"/>
      <c r="I415" s="244"/>
      <c r="J415" s="244"/>
      <c r="K415" s="244"/>
      <c r="L415" s="244"/>
      <c r="M415" s="244"/>
      <c r="N415" s="227"/>
    </row>
    <row r="416" spans="1:14" ht="15.75">
      <c r="A416" s="403" t="s">
        <v>228</v>
      </c>
      <c r="B416" s="403"/>
      <c r="C416" s="403"/>
      <c r="D416" s="403"/>
      <c r="E416" s="403"/>
      <c r="F416" s="403"/>
      <c r="G416" s="403"/>
      <c r="H416" s="403"/>
      <c r="I416" s="403"/>
      <c r="J416" s="403"/>
      <c r="K416" s="403"/>
      <c r="L416" s="403"/>
      <c r="M416" s="403"/>
      <c r="N416" s="403"/>
    </row>
    <row r="417" spans="1:14" ht="15.75">
      <c r="E417" s="282"/>
      <c r="M417" s="244"/>
      <c r="N417" s="227"/>
    </row>
    <row r="418" spans="1:14">
      <c r="A418" s="376" t="s">
        <v>185</v>
      </c>
      <c r="B418" s="377"/>
      <c r="C418" s="378"/>
      <c r="D418" s="292" t="s">
        <v>186</v>
      </c>
      <c r="G418" s="299"/>
      <c r="K418" s="299"/>
      <c r="M418" s="244"/>
      <c r="N418" s="227"/>
    </row>
    <row r="419" spans="1:14">
      <c r="A419" s="379"/>
      <c r="B419" s="380"/>
      <c r="C419" s="381"/>
      <c r="D419" s="290"/>
      <c r="E419" s="291"/>
      <c r="G419" s="494"/>
      <c r="H419" s="494"/>
      <c r="I419" s="494"/>
      <c r="J419" s="494"/>
      <c r="K419" s="494"/>
      <c r="M419" s="244"/>
      <c r="N419" s="227"/>
    </row>
    <row r="420" spans="1:14" ht="13.5" thickBot="1">
      <c r="A420" s="387"/>
      <c r="C420" s="388"/>
      <c r="D420" s="290"/>
      <c r="E420" s="291"/>
      <c r="H420" s="404"/>
      <c r="K420" s="291"/>
      <c r="L420" s="320"/>
      <c r="M420" s="244"/>
      <c r="N420" s="227"/>
    </row>
    <row r="421" spans="1:14" ht="13.5" thickBot="1">
      <c r="A421" s="294" t="s">
        <v>167</v>
      </c>
      <c r="B421" s="296"/>
      <c r="C421" s="389"/>
      <c r="D421" s="488">
        <v>5649000</v>
      </c>
      <c r="E421" s="291"/>
      <c r="H421" s="404"/>
      <c r="K421" s="291"/>
      <c r="L421" s="320"/>
      <c r="M421" s="244"/>
      <c r="N421" s="227"/>
    </row>
    <row r="422" spans="1:14">
      <c r="A422" s="390" t="s">
        <v>168</v>
      </c>
      <c r="B422" s="391"/>
      <c r="C422" s="392"/>
      <c r="D422" s="393">
        <f>D421/12</f>
        <v>470750</v>
      </c>
      <c r="E422" s="291"/>
      <c r="K422" s="300"/>
      <c r="L422" s="320"/>
      <c r="M422" s="244"/>
      <c r="N422" s="227"/>
    </row>
    <row r="423" spans="1:14">
      <c r="C423" s="394"/>
      <c r="E423" s="291"/>
      <c r="J423" s="394"/>
      <c r="K423" s="300"/>
      <c r="L423" s="517"/>
      <c r="M423" s="244"/>
      <c r="N423" s="227"/>
    </row>
    <row r="424" spans="1:14">
      <c r="A424" s="258" t="s">
        <v>113</v>
      </c>
      <c r="B424" s="244"/>
      <c r="C424" s="244"/>
      <c r="D424" s="244"/>
      <c r="E424" s="244"/>
      <c r="F424" s="244"/>
      <c r="G424" s="244"/>
      <c r="H424" s="244"/>
      <c r="I424" s="244"/>
      <c r="J424" s="244"/>
      <c r="K424" s="244"/>
      <c r="L424" s="244"/>
      <c r="M424" s="244"/>
      <c r="N424" s="227"/>
    </row>
    <row r="425" spans="1:14">
      <c r="A425" s="328"/>
      <c r="B425" s="232" t="s">
        <v>44</v>
      </c>
      <c r="C425" s="232" t="s">
        <v>45</v>
      </c>
      <c r="D425" s="232" t="s">
        <v>46</v>
      </c>
      <c r="E425" s="232" t="s">
        <v>47</v>
      </c>
      <c r="F425" s="232" t="s">
        <v>48</v>
      </c>
      <c r="G425" s="232" t="s">
        <v>49</v>
      </c>
      <c r="H425" s="232" t="s">
        <v>38</v>
      </c>
      <c r="I425" s="232" t="s">
        <v>39</v>
      </c>
      <c r="J425" s="232" t="s">
        <v>40</v>
      </c>
      <c r="K425" s="232" t="s">
        <v>41</v>
      </c>
      <c r="L425" s="232" t="s">
        <v>42</v>
      </c>
      <c r="M425" s="232" t="s">
        <v>43</v>
      </c>
      <c r="N425" s="228"/>
    </row>
    <row r="426" spans="1:14">
      <c r="A426" s="231" t="s">
        <v>208</v>
      </c>
      <c r="B426" s="329">
        <f t="shared" ref="B426:M426" si="96">$D$422</f>
        <v>470750</v>
      </c>
      <c r="C426" s="329">
        <f t="shared" si="96"/>
        <v>470750</v>
      </c>
      <c r="D426" s="329">
        <f t="shared" si="96"/>
        <v>470750</v>
      </c>
      <c r="E426" s="329">
        <f t="shared" si="96"/>
        <v>470750</v>
      </c>
      <c r="F426" s="329">
        <f t="shared" si="96"/>
        <v>470750</v>
      </c>
      <c r="G426" s="329">
        <f t="shared" si="96"/>
        <v>470750</v>
      </c>
      <c r="H426" s="329">
        <f t="shared" si="96"/>
        <v>470750</v>
      </c>
      <c r="I426" s="329">
        <f t="shared" si="96"/>
        <v>470750</v>
      </c>
      <c r="J426" s="329">
        <f t="shared" si="96"/>
        <v>470750</v>
      </c>
      <c r="K426" s="329">
        <f t="shared" si="96"/>
        <v>470750</v>
      </c>
      <c r="L426" s="329">
        <f t="shared" si="96"/>
        <v>470750</v>
      </c>
      <c r="M426" s="329">
        <f t="shared" si="96"/>
        <v>470750</v>
      </c>
      <c r="N426" s="329">
        <f t="shared" ref="N426:N438" si="97">SUM(B426:M426)</f>
        <v>5649000</v>
      </c>
    </row>
    <row r="427" spans="1:14" ht="13.5" thickBot="1">
      <c r="A427" s="231"/>
      <c r="B427" s="329">
        <v>0</v>
      </c>
      <c r="C427" s="329">
        <v>0</v>
      </c>
      <c r="D427" s="329"/>
      <c r="E427" s="329"/>
      <c r="F427" s="329"/>
      <c r="G427" s="358"/>
      <c r="H427" s="329"/>
      <c r="I427" s="329"/>
      <c r="J427" s="329"/>
      <c r="K427" s="329"/>
      <c r="L427" s="329"/>
      <c r="M427" s="329"/>
      <c r="N427" s="329">
        <f t="shared" si="97"/>
        <v>0</v>
      </c>
    </row>
    <row r="428" spans="1:14" ht="13.5" thickBot="1">
      <c r="A428" s="333" t="s">
        <v>208</v>
      </c>
      <c r="B428" s="395">
        <f t="shared" ref="B428:M428" si="98">SUM(B426,B427)</f>
        <v>470750</v>
      </c>
      <c r="C428" s="395">
        <f t="shared" si="98"/>
        <v>470750</v>
      </c>
      <c r="D428" s="395">
        <f t="shared" si="98"/>
        <v>470750</v>
      </c>
      <c r="E428" s="395">
        <f t="shared" si="98"/>
        <v>470750</v>
      </c>
      <c r="F428" s="395">
        <f t="shared" si="98"/>
        <v>470750</v>
      </c>
      <c r="G428" s="395">
        <f t="shared" si="98"/>
        <v>470750</v>
      </c>
      <c r="H428" s="395">
        <f t="shared" si="98"/>
        <v>470750</v>
      </c>
      <c r="I428" s="395">
        <f t="shared" si="98"/>
        <v>470750</v>
      </c>
      <c r="J428" s="395">
        <f t="shared" si="98"/>
        <v>470750</v>
      </c>
      <c r="K428" s="395">
        <f t="shared" si="98"/>
        <v>470750</v>
      </c>
      <c r="L428" s="395">
        <f t="shared" si="98"/>
        <v>470750</v>
      </c>
      <c r="M428" s="395">
        <f t="shared" si="98"/>
        <v>470750</v>
      </c>
      <c r="N428" s="706">
        <f t="shared" si="97"/>
        <v>5649000</v>
      </c>
    </row>
    <row r="429" spans="1:14">
      <c r="A429" s="228" t="s">
        <v>209</v>
      </c>
      <c r="B429" s="329"/>
      <c r="C429" s="329"/>
      <c r="D429" s="329"/>
      <c r="E429" s="329"/>
      <c r="F429" s="329"/>
      <c r="G429" s="329"/>
      <c r="H429" s="329"/>
      <c r="I429" s="329"/>
      <c r="J429" s="329"/>
      <c r="K429" s="329"/>
      <c r="L429" s="329"/>
      <c r="M429" s="329"/>
      <c r="N429" s="329">
        <f t="shared" si="97"/>
        <v>0</v>
      </c>
    </row>
    <row r="430" spans="1:14">
      <c r="A430" s="349" t="s">
        <v>210</v>
      </c>
      <c r="B430" s="329"/>
      <c r="C430" s="329"/>
      <c r="D430" s="329"/>
      <c r="E430" s="329"/>
      <c r="F430" s="329"/>
      <c r="G430" s="329"/>
      <c r="H430" s="329"/>
      <c r="I430" s="329"/>
      <c r="J430" s="329"/>
      <c r="K430" s="329"/>
      <c r="L430" s="329"/>
      <c r="M430" s="329"/>
      <c r="N430" s="329">
        <f t="shared" si="97"/>
        <v>0</v>
      </c>
    </row>
    <row r="431" spans="1:14">
      <c r="A431" s="349" t="s">
        <v>211</v>
      </c>
      <c r="B431" s="329">
        <v>66300</v>
      </c>
      <c r="C431" s="329"/>
      <c r="D431" s="329"/>
      <c r="E431" s="329"/>
      <c r="F431" s="329"/>
      <c r="G431" s="329"/>
      <c r="H431" s="329"/>
      <c r="I431" s="329"/>
      <c r="J431" s="329"/>
      <c r="K431" s="329"/>
      <c r="L431" s="329"/>
      <c r="M431" s="329"/>
      <c r="N431" s="329">
        <f t="shared" si="97"/>
        <v>66300</v>
      </c>
    </row>
    <row r="432" spans="1:14" ht="13.5" thickBot="1">
      <c r="A432" s="359" t="s">
        <v>208</v>
      </c>
      <c r="B432" s="357"/>
      <c r="C432" s="357"/>
      <c r="D432" s="357">
        <v>10000</v>
      </c>
      <c r="E432" s="357"/>
      <c r="F432" s="357"/>
      <c r="G432" s="357"/>
      <c r="H432" s="357"/>
      <c r="I432" s="357"/>
      <c r="J432" s="357"/>
      <c r="K432" s="357"/>
      <c r="L432" s="357"/>
      <c r="M432" s="357"/>
      <c r="N432" s="329">
        <f t="shared" si="97"/>
        <v>10000</v>
      </c>
    </row>
    <row r="433" spans="1:14" ht="13.5" thickBot="1">
      <c r="A433" s="360" t="s">
        <v>126</v>
      </c>
      <c r="B433" s="334">
        <f t="shared" ref="B433:M433" si="99">SUM(B429:B432)</f>
        <v>66300</v>
      </c>
      <c r="C433" s="334">
        <f t="shared" si="99"/>
        <v>0</v>
      </c>
      <c r="D433" s="334">
        <f t="shared" si="99"/>
        <v>10000</v>
      </c>
      <c r="E433" s="334">
        <f t="shared" si="99"/>
        <v>0</v>
      </c>
      <c r="F433" s="334">
        <f t="shared" si="99"/>
        <v>0</v>
      </c>
      <c r="G433" s="334">
        <f t="shared" si="99"/>
        <v>0</v>
      </c>
      <c r="H433" s="334">
        <f t="shared" si="99"/>
        <v>0</v>
      </c>
      <c r="I433" s="334">
        <f t="shared" si="99"/>
        <v>0</v>
      </c>
      <c r="J433" s="334">
        <f t="shared" si="99"/>
        <v>0</v>
      </c>
      <c r="K433" s="334">
        <f t="shared" si="99"/>
        <v>0</v>
      </c>
      <c r="L433" s="334">
        <f t="shared" si="99"/>
        <v>0</v>
      </c>
      <c r="M433" s="334">
        <f t="shared" si="99"/>
        <v>0</v>
      </c>
      <c r="N433" s="334">
        <f t="shared" si="97"/>
        <v>76300</v>
      </c>
    </row>
    <row r="434" spans="1:14">
      <c r="A434" s="228" t="s">
        <v>127</v>
      </c>
      <c r="B434" s="331"/>
      <c r="C434" s="331"/>
      <c r="D434" s="331"/>
      <c r="E434" s="331"/>
      <c r="F434" s="331"/>
      <c r="G434" s="707"/>
      <c r="H434" s="331"/>
      <c r="I434" s="331"/>
      <c r="J434" s="331"/>
      <c r="K434" s="331"/>
      <c r="L434" s="331"/>
      <c r="M434" s="331"/>
      <c r="N434" s="329">
        <f t="shared" si="97"/>
        <v>0</v>
      </c>
    </row>
    <row r="435" spans="1:14">
      <c r="A435" s="363" t="s">
        <v>129</v>
      </c>
      <c r="B435" s="399">
        <f t="shared" ref="B435:M435" si="100">SUM(B428+B433)</f>
        <v>537050</v>
      </c>
      <c r="C435" s="399">
        <f t="shared" si="100"/>
        <v>470750</v>
      </c>
      <c r="D435" s="399">
        <f t="shared" si="100"/>
        <v>480750</v>
      </c>
      <c r="E435" s="399">
        <f t="shared" si="100"/>
        <v>470750</v>
      </c>
      <c r="F435" s="399">
        <f t="shared" si="100"/>
        <v>470750</v>
      </c>
      <c r="G435" s="399">
        <f t="shared" si="100"/>
        <v>470750</v>
      </c>
      <c r="H435" s="399">
        <f t="shared" si="100"/>
        <v>470750</v>
      </c>
      <c r="I435" s="399">
        <f t="shared" si="100"/>
        <v>470750</v>
      </c>
      <c r="J435" s="399">
        <f t="shared" si="100"/>
        <v>470750</v>
      </c>
      <c r="K435" s="399">
        <f t="shared" si="100"/>
        <v>470750</v>
      </c>
      <c r="L435" s="399">
        <f t="shared" si="100"/>
        <v>470750</v>
      </c>
      <c r="M435" s="399">
        <f t="shared" si="100"/>
        <v>470750</v>
      </c>
      <c r="N435" s="399">
        <f t="shared" si="97"/>
        <v>5725300</v>
      </c>
    </row>
    <row r="436" spans="1:14">
      <c r="A436" s="400" t="s">
        <v>131</v>
      </c>
      <c r="B436" s="331">
        <v>471518</v>
      </c>
      <c r="C436" s="331">
        <v>495676</v>
      </c>
      <c r="D436" s="331">
        <v>480123</v>
      </c>
      <c r="E436" s="331">
        <v>563595</v>
      </c>
      <c r="F436" s="331">
        <v>493160</v>
      </c>
      <c r="G436" s="331">
        <v>250000</v>
      </c>
      <c r="H436" s="331">
        <v>776280</v>
      </c>
      <c r="I436" s="331">
        <v>475479</v>
      </c>
      <c r="J436" s="331">
        <v>500000</v>
      </c>
      <c r="K436" s="331">
        <v>500000</v>
      </c>
      <c r="L436" s="331">
        <v>500000</v>
      </c>
      <c r="M436" s="331">
        <v>500000</v>
      </c>
      <c r="N436" s="331">
        <f t="shared" si="97"/>
        <v>6005831</v>
      </c>
    </row>
    <row r="437" spans="1:14">
      <c r="A437" s="228" t="s">
        <v>130</v>
      </c>
      <c r="B437" s="329">
        <v>75000</v>
      </c>
      <c r="C437" s="329">
        <v>75000</v>
      </c>
      <c r="D437" s="329">
        <v>75000</v>
      </c>
      <c r="E437" s="329">
        <v>75000</v>
      </c>
      <c r="F437" s="329">
        <v>75000</v>
      </c>
      <c r="G437" s="329">
        <v>75000</v>
      </c>
      <c r="H437" s="329">
        <v>75000</v>
      </c>
      <c r="I437" s="329">
        <v>75000</v>
      </c>
      <c r="J437" s="329">
        <v>75000</v>
      </c>
      <c r="K437" s="329">
        <v>75000</v>
      </c>
      <c r="L437" s="329">
        <v>75000</v>
      </c>
      <c r="M437" s="329">
        <v>75000</v>
      </c>
      <c r="N437" s="331">
        <f t="shared" si="97"/>
        <v>900000</v>
      </c>
    </row>
    <row r="438" spans="1:14">
      <c r="A438" s="228" t="s">
        <v>212</v>
      </c>
      <c r="B438" s="329"/>
      <c r="C438" s="329"/>
      <c r="D438" s="329"/>
      <c r="E438" s="329"/>
      <c r="F438" s="329"/>
      <c r="G438" s="329"/>
      <c r="H438" s="329"/>
      <c r="I438" s="329"/>
      <c r="J438" s="329"/>
      <c r="K438" s="329"/>
      <c r="L438" s="329"/>
      <c r="M438" s="329"/>
      <c r="N438" s="331">
        <f t="shared" si="97"/>
        <v>0</v>
      </c>
    </row>
    <row r="439" spans="1:14">
      <c r="A439" s="367" t="s">
        <v>146</v>
      </c>
      <c r="B439" s="368">
        <f>B435-SUM(B436:B438)</f>
        <v>-9468</v>
      </c>
      <c r="C439" s="368">
        <f t="shared" ref="C439:N439" si="101">C435-SUM(C436:C438)</f>
        <v>-99926</v>
      </c>
      <c r="D439" s="368">
        <f t="shared" si="101"/>
        <v>-74373</v>
      </c>
      <c r="E439" s="368">
        <f t="shared" si="101"/>
        <v>-167845</v>
      </c>
      <c r="F439" s="368">
        <f t="shared" si="101"/>
        <v>-97410</v>
      </c>
      <c r="G439" s="368">
        <f t="shared" si="101"/>
        <v>145750</v>
      </c>
      <c r="H439" s="368">
        <f t="shared" si="101"/>
        <v>-380530</v>
      </c>
      <c r="I439" s="368">
        <f t="shared" si="101"/>
        <v>-79729</v>
      </c>
      <c r="J439" s="368">
        <f t="shared" si="101"/>
        <v>-104250</v>
      </c>
      <c r="K439" s="368">
        <f t="shared" si="101"/>
        <v>-104250</v>
      </c>
      <c r="L439" s="368">
        <f t="shared" si="101"/>
        <v>-104250</v>
      </c>
      <c r="M439" s="368">
        <f t="shared" si="101"/>
        <v>-104250</v>
      </c>
      <c r="N439" s="368">
        <f t="shared" si="101"/>
        <v>-1180531</v>
      </c>
    </row>
    <row r="440" spans="1:14">
      <c r="A440" s="406"/>
      <c r="B440" s="407"/>
      <c r="C440" s="407"/>
      <c r="D440" s="407"/>
      <c r="E440" s="407"/>
      <c r="F440" s="407"/>
      <c r="G440" s="407"/>
      <c r="H440" s="407"/>
      <c r="I440" s="407"/>
      <c r="J440" s="407"/>
      <c r="K440" s="407"/>
      <c r="L440" s="407"/>
      <c r="M440" s="407"/>
      <c r="N440" s="407"/>
    </row>
    <row r="442" spans="1:14">
      <c r="A442" s="525" t="s">
        <v>213</v>
      </c>
      <c r="B442" s="226">
        <v>2405</v>
      </c>
    </row>
  </sheetData>
  <mergeCells count="7">
    <mergeCell ref="A377:N377"/>
    <mergeCell ref="A1:N1"/>
    <mergeCell ref="A58:N58"/>
    <mergeCell ref="A145:N145"/>
    <mergeCell ref="A204:N204"/>
    <mergeCell ref="A281:N281"/>
    <mergeCell ref="A358:N358"/>
  </mergeCells>
  <pageMargins left="0.19685039370078741" right="0" top="0.19685039370078741" bottom="0.19685039370078741" header="0.51181102362204722" footer="0.51181102362204722"/>
  <pageSetup paperSize="9" scale="10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48">
    <tabColor indexed="39"/>
    <pageSetUpPr fitToPage="1"/>
  </sheetPr>
  <dimension ref="A1:T442"/>
  <sheetViews>
    <sheetView topLeftCell="A85" zoomScale="77" zoomScaleNormal="77" workbookViewId="0" xr3:uid="{44B22561-5205-5C8A-B808-2C70100D228F}">
      <selection activeCell="N107" sqref="N107"/>
    </sheetView>
  </sheetViews>
  <sheetFormatPr defaultColWidth="9.140625" defaultRowHeight="12.75"/>
  <cols>
    <col min="1" max="1" width="18.7109375" style="226" customWidth="1"/>
    <col min="2" max="2" width="14.28515625" style="226" customWidth="1"/>
    <col min="3" max="3" width="11.7109375" style="226" customWidth="1"/>
    <col min="4" max="4" width="14.140625" style="226" customWidth="1"/>
    <col min="5" max="5" width="11.7109375" style="226" customWidth="1"/>
    <col min="6" max="6" width="14" style="226" customWidth="1"/>
    <col min="7" max="7" width="11.140625" style="226" customWidth="1"/>
    <col min="8" max="8" width="12.28515625" style="226" customWidth="1"/>
    <col min="9" max="9" width="13" style="226" customWidth="1"/>
    <col min="10" max="10" width="12.5703125" style="226" customWidth="1"/>
    <col min="11" max="11" width="12.140625" style="226" customWidth="1"/>
    <col min="12" max="12" width="13" style="226" customWidth="1"/>
    <col min="13" max="13" width="15.42578125" style="226" customWidth="1"/>
    <col min="14" max="14" width="15.5703125" style="226" customWidth="1"/>
    <col min="15" max="15" width="15.28515625" style="226" customWidth="1"/>
    <col min="16" max="16" width="14.140625" style="226" customWidth="1"/>
    <col min="17" max="17" width="9.85546875" style="226" bestFit="1" customWidth="1"/>
    <col min="18" max="18" width="10.85546875" style="226" bestFit="1" customWidth="1"/>
    <col min="19" max="19" width="11.140625" style="226" bestFit="1" customWidth="1"/>
    <col min="20" max="20" width="10.7109375" style="226" bestFit="1" customWidth="1"/>
    <col min="21" max="16384" width="9.140625" style="226"/>
  </cols>
  <sheetData>
    <row r="1" spans="1:14" ht="20.25">
      <c r="A1" s="822" t="s">
        <v>214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</row>
    <row r="2" spans="1:14">
      <c r="A2" s="227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</row>
    <row r="3" spans="1:14">
      <c r="A3" s="228"/>
      <c r="B3" s="229" t="s">
        <v>44</v>
      </c>
      <c r="C3" s="229" t="s">
        <v>45</v>
      </c>
      <c r="D3" s="230" t="s">
        <v>46</v>
      </c>
      <c r="E3" s="229" t="s">
        <v>47</v>
      </c>
      <c r="F3" s="229" t="s">
        <v>48</v>
      </c>
      <c r="G3" s="230" t="s">
        <v>49</v>
      </c>
      <c r="H3" s="229" t="s">
        <v>38</v>
      </c>
      <c r="I3" s="229" t="s">
        <v>39</v>
      </c>
      <c r="J3" s="229" t="s">
        <v>40</v>
      </c>
      <c r="K3" s="229" t="s">
        <v>41</v>
      </c>
      <c r="L3" s="229" t="s">
        <v>42</v>
      </c>
      <c r="M3" s="229" t="s">
        <v>43</v>
      </c>
      <c r="N3" s="228" t="s">
        <v>64</v>
      </c>
    </row>
    <row r="4" spans="1:14">
      <c r="A4" s="231" t="s">
        <v>65</v>
      </c>
      <c r="B4" s="620">
        <v>8818.15</v>
      </c>
      <c r="C4" s="620">
        <v>8497.49</v>
      </c>
      <c r="D4" s="620">
        <v>8818.15</v>
      </c>
      <c r="E4" s="620">
        <v>8818.15</v>
      </c>
      <c r="F4" s="620">
        <v>8978.48</v>
      </c>
      <c r="G4" s="620">
        <v>9138.81</v>
      </c>
      <c r="H4" s="620">
        <v>8978.48</v>
      </c>
      <c r="I4" s="620">
        <v>8978.48</v>
      </c>
      <c r="J4" s="620">
        <v>8657.82</v>
      </c>
      <c r="K4" s="620">
        <v>8818.15</v>
      </c>
      <c r="L4" s="620">
        <v>6894</v>
      </c>
      <c r="M4" s="620">
        <v>6894</v>
      </c>
      <c r="N4" s="620">
        <f t="shared" ref="N4:N16" si="0">SUM(B4:M4)</f>
        <v>102290.15999999997</v>
      </c>
    </row>
    <row r="5" spans="1:14">
      <c r="A5" s="231" t="s">
        <v>66</v>
      </c>
      <c r="B5" s="620">
        <v>79</v>
      </c>
      <c r="C5" s="620"/>
      <c r="D5" s="620"/>
      <c r="E5" s="620"/>
      <c r="F5" s="620"/>
      <c r="G5" s="621"/>
      <c r="H5" s="620"/>
      <c r="I5" s="620"/>
      <c r="J5" s="622"/>
      <c r="K5" s="620"/>
      <c r="L5" s="620"/>
      <c r="M5" s="620"/>
      <c r="N5" s="620">
        <f t="shared" si="0"/>
        <v>79</v>
      </c>
    </row>
    <row r="6" spans="1:14">
      <c r="A6" s="231" t="s">
        <v>67</v>
      </c>
      <c r="B6" s="620"/>
      <c r="C6" s="620"/>
      <c r="D6" s="620"/>
      <c r="E6" s="620"/>
      <c r="F6" s="620"/>
      <c r="G6" s="621"/>
      <c r="H6" s="620"/>
      <c r="I6" s="620"/>
      <c r="J6" s="620"/>
      <c r="K6" s="620"/>
      <c r="L6" s="620"/>
      <c r="M6" s="620"/>
      <c r="N6" s="620">
        <f t="shared" si="0"/>
        <v>0</v>
      </c>
    </row>
    <row r="7" spans="1:14">
      <c r="A7" s="231" t="s">
        <v>68</v>
      </c>
      <c r="B7" s="620"/>
      <c r="C7" s="620"/>
      <c r="D7" s="620"/>
      <c r="E7" s="620"/>
      <c r="F7" s="620"/>
      <c r="G7" s="621"/>
      <c r="H7" s="620"/>
      <c r="I7" s="620"/>
      <c r="J7" s="620"/>
      <c r="K7" s="620"/>
      <c r="L7" s="620"/>
      <c r="M7" s="620"/>
      <c r="N7" s="620">
        <f t="shared" si="0"/>
        <v>0</v>
      </c>
    </row>
    <row r="8" spans="1:14">
      <c r="A8" s="231" t="s">
        <v>69</v>
      </c>
      <c r="B8" s="620">
        <v>554.75</v>
      </c>
      <c r="C8" s="620"/>
      <c r="D8" s="620"/>
      <c r="E8" s="620"/>
      <c r="F8" s="620"/>
      <c r="G8" s="621"/>
      <c r="H8" s="620"/>
      <c r="I8" s="620"/>
      <c r="J8" s="620"/>
      <c r="K8" s="620"/>
      <c r="L8" s="620"/>
      <c r="M8" s="620"/>
      <c r="N8" s="620">
        <f t="shared" si="0"/>
        <v>554.75</v>
      </c>
    </row>
    <row r="9" spans="1:14">
      <c r="A9" s="231" t="s">
        <v>70</v>
      </c>
      <c r="B9" s="620"/>
      <c r="C9" s="620"/>
      <c r="D9" s="620"/>
      <c r="E9" s="620"/>
      <c r="F9" s="620"/>
      <c r="G9" s="621"/>
      <c r="H9" s="620"/>
      <c r="I9" s="620"/>
      <c r="J9" s="620"/>
      <c r="K9" s="620"/>
      <c r="L9" s="620"/>
      <c r="M9" s="620"/>
      <c r="N9" s="620">
        <f t="shared" si="0"/>
        <v>0</v>
      </c>
    </row>
    <row r="10" spans="1:14">
      <c r="A10" s="231" t="s">
        <v>71</v>
      </c>
      <c r="B10" s="620">
        <v>709</v>
      </c>
      <c r="C10" s="620"/>
      <c r="D10" s="620"/>
      <c r="E10" s="620"/>
      <c r="F10" s="620"/>
      <c r="G10" s="621"/>
      <c r="H10" s="620"/>
      <c r="I10" s="620"/>
      <c r="J10" s="620"/>
      <c r="K10" s="620"/>
      <c r="L10" s="620"/>
      <c r="M10" s="620"/>
      <c r="N10" s="620">
        <f t="shared" si="0"/>
        <v>709</v>
      </c>
    </row>
    <row r="11" spans="1:14">
      <c r="A11" s="231" t="s">
        <v>72</v>
      </c>
      <c r="B11" s="620"/>
      <c r="C11" s="620"/>
      <c r="D11" s="620"/>
      <c r="E11" s="620"/>
      <c r="F11" s="620"/>
      <c r="G11" s="621"/>
      <c r="H11" s="620"/>
      <c r="I11" s="620"/>
      <c r="J11" s="620"/>
      <c r="K11" s="620"/>
      <c r="L11" s="620"/>
      <c r="M11" s="620"/>
      <c r="N11" s="620">
        <f t="shared" si="0"/>
        <v>0</v>
      </c>
    </row>
    <row r="12" spans="1:14">
      <c r="A12" s="231" t="s">
        <v>73</v>
      </c>
      <c r="B12" s="620">
        <v>266.75</v>
      </c>
      <c r="C12" s="620"/>
      <c r="D12" s="620"/>
      <c r="E12" s="620"/>
      <c r="F12" s="620"/>
      <c r="G12" s="621"/>
      <c r="H12" s="620"/>
      <c r="I12" s="620"/>
      <c r="J12" s="620"/>
      <c r="K12" s="620"/>
      <c r="L12" s="620"/>
      <c r="M12" s="620"/>
      <c r="N12" s="620">
        <f t="shared" si="0"/>
        <v>266.75</v>
      </c>
    </row>
    <row r="13" spans="1:14">
      <c r="A13" s="231" t="s">
        <v>74</v>
      </c>
      <c r="B13" s="620">
        <v>156.5</v>
      </c>
      <c r="C13" s="620"/>
      <c r="D13" s="620"/>
      <c r="E13" s="620"/>
      <c r="F13" s="620"/>
      <c r="G13" s="621"/>
      <c r="H13" s="620"/>
      <c r="I13" s="620"/>
      <c r="J13" s="620"/>
      <c r="K13" s="620"/>
      <c r="L13" s="620"/>
      <c r="M13" s="620"/>
      <c r="N13" s="620">
        <f t="shared" si="0"/>
        <v>156.5</v>
      </c>
    </row>
    <row r="14" spans="1:14">
      <c r="A14" s="231" t="s">
        <v>75</v>
      </c>
      <c r="B14" s="620"/>
      <c r="C14" s="620"/>
      <c r="D14" s="620"/>
      <c r="E14" s="620"/>
      <c r="F14" s="620"/>
      <c r="G14" s="621"/>
      <c r="H14" s="620"/>
      <c r="I14" s="620"/>
      <c r="J14" s="620"/>
      <c r="K14" s="620"/>
      <c r="L14" s="620"/>
      <c r="M14" s="620"/>
      <c r="N14" s="620">
        <f t="shared" si="0"/>
        <v>0</v>
      </c>
    </row>
    <row r="15" spans="1:14" ht="13.5" thickBot="1">
      <c r="A15" s="235" t="s">
        <v>76</v>
      </c>
      <c r="B15" s="623">
        <v>6</v>
      </c>
      <c r="C15" s="623"/>
      <c r="D15" s="623"/>
      <c r="E15" s="623"/>
      <c r="F15" s="623"/>
      <c r="G15" s="624"/>
      <c r="H15" s="623"/>
      <c r="I15" s="623"/>
      <c r="J15" s="623"/>
      <c r="K15" s="623"/>
      <c r="L15" s="623"/>
      <c r="M15" s="623"/>
      <c r="N15" s="625">
        <f t="shared" si="0"/>
        <v>6</v>
      </c>
    </row>
    <row r="16" spans="1:14" ht="13.5" thickBot="1">
      <c r="A16" s="239" t="s">
        <v>77</v>
      </c>
      <c r="B16" s="626">
        <f>SUM(B4+B5+B6-B7-B8-B9-B10-B12-B13-B14-B15)</f>
        <v>7204.15</v>
      </c>
      <c r="C16" s="626">
        <f t="shared" ref="C16:M16" si="1">SUM(C4+C5+C6+C7-C8-C9-C10-C12-C13-C14-C15)</f>
        <v>8497.49</v>
      </c>
      <c r="D16" s="626">
        <f t="shared" si="1"/>
        <v>8818.15</v>
      </c>
      <c r="E16" s="626">
        <f t="shared" si="1"/>
        <v>8818.15</v>
      </c>
      <c r="F16" s="626">
        <f t="shared" si="1"/>
        <v>8978.48</v>
      </c>
      <c r="G16" s="626">
        <f t="shared" si="1"/>
        <v>9138.81</v>
      </c>
      <c r="H16" s="626">
        <f t="shared" si="1"/>
        <v>8978.48</v>
      </c>
      <c r="I16" s="626">
        <f t="shared" si="1"/>
        <v>8978.48</v>
      </c>
      <c r="J16" s="626">
        <f t="shared" si="1"/>
        <v>8657.82</v>
      </c>
      <c r="K16" s="626">
        <f t="shared" si="1"/>
        <v>8818.15</v>
      </c>
      <c r="L16" s="626">
        <f t="shared" si="1"/>
        <v>6894</v>
      </c>
      <c r="M16" s="627">
        <f t="shared" si="1"/>
        <v>6894</v>
      </c>
      <c r="N16" s="628">
        <f t="shared" si="0"/>
        <v>100676.15999999997</v>
      </c>
    </row>
    <row r="17" spans="1:14">
      <c r="A17" s="243"/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</row>
    <row r="18" spans="1:14">
      <c r="A18" s="243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629" t="s">
        <v>78</v>
      </c>
    </row>
    <row r="19" spans="1:14">
      <c r="A19" s="231" t="s">
        <v>79</v>
      </c>
      <c r="B19" s="620">
        <f t="shared" ref="B19:M19" si="2">SUM(B5*100/B16)</f>
        <v>1.0965901598384264</v>
      </c>
      <c r="C19" s="620">
        <f t="shared" si="2"/>
        <v>0</v>
      </c>
      <c r="D19" s="620">
        <f t="shared" si="2"/>
        <v>0</v>
      </c>
      <c r="E19" s="620">
        <f t="shared" si="2"/>
        <v>0</v>
      </c>
      <c r="F19" s="620">
        <f t="shared" si="2"/>
        <v>0</v>
      </c>
      <c r="G19" s="620">
        <f t="shared" si="2"/>
        <v>0</v>
      </c>
      <c r="H19" s="620">
        <f t="shared" si="2"/>
        <v>0</v>
      </c>
      <c r="I19" s="620">
        <f t="shared" si="2"/>
        <v>0</v>
      </c>
      <c r="J19" s="620">
        <f t="shared" si="2"/>
        <v>0</v>
      </c>
      <c r="K19" s="620">
        <f t="shared" si="2"/>
        <v>0</v>
      </c>
      <c r="L19" s="620">
        <f t="shared" si="2"/>
        <v>0</v>
      </c>
      <c r="M19" s="620">
        <f t="shared" si="2"/>
        <v>0</v>
      </c>
      <c r="N19" s="630">
        <f>SUM(B19:M19)/12</f>
        <v>9.1382513319868866E-2</v>
      </c>
    </row>
    <row r="20" spans="1:14">
      <c r="A20" s="243"/>
      <c r="B20" s="261"/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261"/>
      <c r="N20" s="261"/>
    </row>
    <row r="21" spans="1:14">
      <c r="A21" s="231" t="s">
        <v>80</v>
      </c>
      <c r="B21" s="620">
        <f t="shared" ref="B21:M21" si="3">SUM(B10*100/B16)</f>
        <v>9.841549662347397</v>
      </c>
      <c r="C21" s="620">
        <f t="shared" si="3"/>
        <v>0</v>
      </c>
      <c r="D21" s="620">
        <f t="shared" si="3"/>
        <v>0</v>
      </c>
      <c r="E21" s="620">
        <f t="shared" si="3"/>
        <v>0</v>
      </c>
      <c r="F21" s="620">
        <f t="shared" si="3"/>
        <v>0</v>
      </c>
      <c r="G21" s="620">
        <f t="shared" si="3"/>
        <v>0</v>
      </c>
      <c r="H21" s="620">
        <f t="shared" si="3"/>
        <v>0</v>
      </c>
      <c r="I21" s="620">
        <f t="shared" si="3"/>
        <v>0</v>
      </c>
      <c r="J21" s="620">
        <f t="shared" si="3"/>
        <v>0</v>
      </c>
      <c r="K21" s="620">
        <f t="shared" si="3"/>
        <v>0</v>
      </c>
      <c r="L21" s="620">
        <f t="shared" si="3"/>
        <v>0</v>
      </c>
      <c r="M21" s="620">
        <f t="shared" si="3"/>
        <v>0</v>
      </c>
      <c r="N21" s="630">
        <f>SUM(B21:M21)/12</f>
        <v>0.82012913852894975</v>
      </c>
    </row>
    <row r="22" spans="1:14" ht="13.5" thickBot="1">
      <c r="A22" s="247" t="s">
        <v>81</v>
      </c>
      <c r="B22" s="625">
        <f t="shared" ref="B22:M22" si="4">SUM(B11*100/B16)</f>
        <v>0</v>
      </c>
      <c r="C22" s="625">
        <f t="shared" si="4"/>
        <v>0</v>
      </c>
      <c r="D22" s="625">
        <f t="shared" si="4"/>
        <v>0</v>
      </c>
      <c r="E22" s="625">
        <f t="shared" si="4"/>
        <v>0</v>
      </c>
      <c r="F22" s="625">
        <f t="shared" si="4"/>
        <v>0</v>
      </c>
      <c r="G22" s="625">
        <f t="shared" si="4"/>
        <v>0</v>
      </c>
      <c r="H22" s="625">
        <f t="shared" si="4"/>
        <v>0</v>
      </c>
      <c r="I22" s="625">
        <f t="shared" si="4"/>
        <v>0</v>
      </c>
      <c r="J22" s="625">
        <f t="shared" si="4"/>
        <v>0</v>
      </c>
      <c r="K22" s="625">
        <f t="shared" si="4"/>
        <v>0</v>
      </c>
      <c r="L22" s="625">
        <f t="shared" si="4"/>
        <v>0</v>
      </c>
      <c r="M22" s="625">
        <f t="shared" si="4"/>
        <v>0</v>
      </c>
      <c r="N22" s="631">
        <f>SUM(B22:M22)/12</f>
        <v>0</v>
      </c>
    </row>
    <row r="23" spans="1:14" ht="13.5" thickBot="1">
      <c r="A23" s="249" t="s">
        <v>82</v>
      </c>
      <c r="B23" s="632">
        <f t="shared" ref="B23:M23" si="5">SUM(B21:B21)</f>
        <v>9.841549662347397</v>
      </c>
      <c r="C23" s="632">
        <f t="shared" si="5"/>
        <v>0</v>
      </c>
      <c r="D23" s="632">
        <f t="shared" si="5"/>
        <v>0</v>
      </c>
      <c r="E23" s="632">
        <f t="shared" si="5"/>
        <v>0</v>
      </c>
      <c r="F23" s="632">
        <f t="shared" si="5"/>
        <v>0</v>
      </c>
      <c r="G23" s="632">
        <f t="shared" si="5"/>
        <v>0</v>
      </c>
      <c r="H23" s="632">
        <f t="shared" si="5"/>
        <v>0</v>
      </c>
      <c r="I23" s="632">
        <f t="shared" si="5"/>
        <v>0</v>
      </c>
      <c r="J23" s="632">
        <f t="shared" si="5"/>
        <v>0</v>
      </c>
      <c r="K23" s="632">
        <f t="shared" si="5"/>
        <v>0</v>
      </c>
      <c r="L23" s="632">
        <f t="shared" si="5"/>
        <v>0</v>
      </c>
      <c r="M23" s="632">
        <f t="shared" si="5"/>
        <v>0</v>
      </c>
      <c r="N23" s="633">
        <f>SUM(N21:N22)</f>
        <v>0.82012913852894975</v>
      </c>
    </row>
    <row r="24" spans="1:14">
      <c r="A24" s="243" t="s">
        <v>83</v>
      </c>
      <c r="B24" s="261"/>
      <c r="C24" s="261"/>
      <c r="D24" s="634">
        <f>SUM(B23:D23)/3</f>
        <v>3.280516554115799</v>
      </c>
      <c r="E24" s="261"/>
      <c r="F24" s="261"/>
      <c r="G24" s="634">
        <f>SUM(E23,F23,G23)/3</f>
        <v>0</v>
      </c>
      <c r="H24" s="261"/>
      <c r="I24" s="261"/>
      <c r="J24" s="634">
        <f>SUM(H23,I23,J23)/3</f>
        <v>0</v>
      </c>
      <c r="K24" s="261"/>
      <c r="L24" s="261"/>
      <c r="M24" s="634">
        <f>SUM(K23,L23,M23)/3</f>
        <v>0</v>
      </c>
      <c r="N24" s="635">
        <f>SUM(D24:M24)/4</f>
        <v>0.82012913852894975</v>
      </c>
    </row>
    <row r="25" spans="1:14">
      <c r="A25" s="243" t="s">
        <v>84</v>
      </c>
      <c r="B25" s="261"/>
      <c r="C25" s="261"/>
      <c r="D25" s="262"/>
      <c r="E25" s="261"/>
      <c r="F25" s="261"/>
      <c r="G25" s="262"/>
      <c r="H25" s="261"/>
      <c r="I25" s="261"/>
      <c r="J25" s="262"/>
      <c r="K25" s="261"/>
      <c r="L25" s="261"/>
      <c r="M25" s="262"/>
      <c r="N25" s="630">
        <f>SUM(D25:G25,J25,M25)/4</f>
        <v>0</v>
      </c>
    </row>
    <row r="26" spans="1:14">
      <c r="A26" s="243"/>
      <c r="B26" s="261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</row>
    <row r="27" spans="1:14">
      <c r="A27" s="231" t="s">
        <v>85</v>
      </c>
      <c r="B27" s="620">
        <f t="shared" ref="B27:M27" si="6">B14*100/B16</f>
        <v>0</v>
      </c>
      <c r="C27" s="620">
        <f t="shared" si="6"/>
        <v>0</v>
      </c>
      <c r="D27" s="620">
        <f t="shared" si="6"/>
        <v>0</v>
      </c>
      <c r="E27" s="620">
        <f t="shared" si="6"/>
        <v>0</v>
      </c>
      <c r="F27" s="620">
        <f t="shared" si="6"/>
        <v>0</v>
      </c>
      <c r="G27" s="620">
        <f t="shared" si="6"/>
        <v>0</v>
      </c>
      <c r="H27" s="620">
        <f t="shared" si="6"/>
        <v>0</v>
      </c>
      <c r="I27" s="620">
        <f t="shared" si="6"/>
        <v>0</v>
      </c>
      <c r="J27" s="620">
        <f t="shared" si="6"/>
        <v>0</v>
      </c>
      <c r="K27" s="620">
        <f t="shared" si="6"/>
        <v>0</v>
      </c>
      <c r="L27" s="620">
        <f t="shared" si="6"/>
        <v>0</v>
      </c>
      <c r="M27" s="620">
        <f t="shared" si="6"/>
        <v>0</v>
      </c>
      <c r="N27" s="630">
        <f>SUM(B27:M27)/12</f>
        <v>0</v>
      </c>
    </row>
    <row r="28" spans="1:14">
      <c r="A28" s="231" t="s">
        <v>86</v>
      </c>
      <c r="B28" s="620">
        <f t="shared" ref="B28:M28" si="7">B12*100/B16</f>
        <v>3.7027269004670922</v>
      </c>
      <c r="C28" s="620">
        <f t="shared" si="7"/>
        <v>0</v>
      </c>
      <c r="D28" s="620">
        <f t="shared" si="7"/>
        <v>0</v>
      </c>
      <c r="E28" s="620">
        <f t="shared" si="7"/>
        <v>0</v>
      </c>
      <c r="F28" s="620">
        <f t="shared" si="7"/>
        <v>0</v>
      </c>
      <c r="G28" s="620">
        <f t="shared" si="7"/>
        <v>0</v>
      </c>
      <c r="H28" s="620">
        <f t="shared" si="7"/>
        <v>0</v>
      </c>
      <c r="I28" s="620">
        <f t="shared" si="7"/>
        <v>0</v>
      </c>
      <c r="J28" s="620">
        <f t="shared" si="7"/>
        <v>0</v>
      </c>
      <c r="K28" s="620">
        <f t="shared" si="7"/>
        <v>0</v>
      </c>
      <c r="L28" s="620">
        <f t="shared" si="7"/>
        <v>0</v>
      </c>
      <c r="M28" s="620">
        <f t="shared" si="7"/>
        <v>0</v>
      </c>
      <c r="N28" s="630">
        <f>SUM(B28:M28)/12</f>
        <v>0.30856057503892437</v>
      </c>
    </row>
    <row r="29" spans="1:14" ht="13.5" thickBot="1">
      <c r="A29" s="231" t="s">
        <v>87</v>
      </c>
      <c r="B29" s="620">
        <f t="shared" ref="B29:M29" si="8">B8*100/B16</f>
        <v>7.7004226730426213</v>
      </c>
      <c r="C29" s="620">
        <f t="shared" si="8"/>
        <v>0</v>
      </c>
      <c r="D29" s="620">
        <f t="shared" si="8"/>
        <v>0</v>
      </c>
      <c r="E29" s="620">
        <f t="shared" si="8"/>
        <v>0</v>
      </c>
      <c r="F29" s="620">
        <f t="shared" si="8"/>
        <v>0</v>
      </c>
      <c r="G29" s="620">
        <f t="shared" si="8"/>
        <v>0</v>
      </c>
      <c r="H29" s="620">
        <f t="shared" si="8"/>
        <v>0</v>
      </c>
      <c r="I29" s="620">
        <f t="shared" si="8"/>
        <v>0</v>
      </c>
      <c r="J29" s="620">
        <f t="shared" si="8"/>
        <v>0</v>
      </c>
      <c r="K29" s="620">
        <f t="shared" si="8"/>
        <v>0</v>
      </c>
      <c r="L29" s="620">
        <f t="shared" si="8"/>
        <v>0</v>
      </c>
      <c r="M29" s="620">
        <f t="shared" si="8"/>
        <v>0</v>
      </c>
      <c r="N29" s="630">
        <f>SUM(B29:M29)/12</f>
        <v>0.64170188942021844</v>
      </c>
    </row>
    <row r="30" spans="1:14" ht="13.5" thickBot="1">
      <c r="A30" s="255" t="s">
        <v>88</v>
      </c>
      <c r="B30" s="636">
        <f t="shared" ref="B30:M30" si="9">SUM(B4-B16)*100/B16</f>
        <v>22.403753392142029</v>
      </c>
      <c r="C30" s="636">
        <f t="shared" si="9"/>
        <v>0</v>
      </c>
      <c r="D30" s="636">
        <f t="shared" si="9"/>
        <v>0</v>
      </c>
      <c r="E30" s="636">
        <f t="shared" si="9"/>
        <v>0</v>
      </c>
      <c r="F30" s="636">
        <f t="shared" si="9"/>
        <v>0</v>
      </c>
      <c r="G30" s="636">
        <f t="shared" si="9"/>
        <v>0</v>
      </c>
      <c r="H30" s="636">
        <f t="shared" si="9"/>
        <v>0</v>
      </c>
      <c r="I30" s="636">
        <f t="shared" si="9"/>
        <v>0</v>
      </c>
      <c r="J30" s="636">
        <f t="shared" si="9"/>
        <v>0</v>
      </c>
      <c r="K30" s="636">
        <f t="shared" si="9"/>
        <v>0</v>
      </c>
      <c r="L30" s="636">
        <f t="shared" si="9"/>
        <v>0</v>
      </c>
      <c r="M30" s="636">
        <f t="shared" si="9"/>
        <v>0</v>
      </c>
      <c r="N30" s="637">
        <f>SUM(B30:M30)/12</f>
        <v>1.866979449345169</v>
      </c>
    </row>
    <row r="31" spans="1:14">
      <c r="A31" s="243"/>
      <c r="B31" s="244"/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27"/>
    </row>
    <row r="32" spans="1:14">
      <c r="A32" s="258" t="s">
        <v>89</v>
      </c>
      <c r="B32" s="244"/>
      <c r="C32" s="244"/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27"/>
    </row>
    <row r="33" spans="1:14">
      <c r="A33" s="231" t="s">
        <v>90</v>
      </c>
      <c r="B33" s="259">
        <v>55</v>
      </c>
      <c r="C33" s="259">
        <v>53</v>
      </c>
      <c r="D33" s="259">
        <v>55</v>
      </c>
      <c r="E33" s="259">
        <v>55</v>
      </c>
      <c r="F33" s="259">
        <v>56</v>
      </c>
      <c r="G33" s="259">
        <v>57</v>
      </c>
      <c r="H33" s="259">
        <v>56</v>
      </c>
      <c r="I33" s="259">
        <v>56</v>
      </c>
      <c r="J33" s="259">
        <v>54</v>
      </c>
      <c r="K33" s="259">
        <v>55</v>
      </c>
      <c r="L33" s="259">
        <v>43</v>
      </c>
      <c r="M33" s="259">
        <v>43</v>
      </c>
      <c r="N33" s="259">
        <v>43</v>
      </c>
    </row>
    <row r="34" spans="1:14">
      <c r="A34" s="231" t="s">
        <v>91</v>
      </c>
      <c r="B34" s="259"/>
      <c r="C34" s="259"/>
      <c r="D34" s="259"/>
      <c r="E34" s="259"/>
      <c r="F34" s="259"/>
      <c r="G34" s="259"/>
      <c r="H34" s="259"/>
      <c r="I34" s="259"/>
      <c r="J34" s="259"/>
      <c r="K34" s="259"/>
      <c r="L34" s="259"/>
      <c r="M34" s="259"/>
      <c r="N34" s="259"/>
    </row>
    <row r="35" spans="1:14">
      <c r="A35" s="231" t="s">
        <v>92</v>
      </c>
      <c r="B35" s="259"/>
      <c r="C35" s="259"/>
      <c r="D35" s="259"/>
      <c r="E35" s="259"/>
      <c r="F35" s="259"/>
      <c r="G35" s="259"/>
      <c r="H35" s="259"/>
      <c r="I35" s="259"/>
      <c r="J35" s="259"/>
      <c r="K35" s="259"/>
      <c r="L35" s="259"/>
      <c r="M35" s="259"/>
      <c r="N35" s="259"/>
    </row>
    <row r="36" spans="1:14">
      <c r="A36" s="231" t="s">
        <v>89</v>
      </c>
      <c r="B36" s="259"/>
      <c r="C36" s="259"/>
      <c r="D36" s="259"/>
      <c r="E36" s="259"/>
      <c r="F36" s="259"/>
      <c r="G36" s="259"/>
      <c r="H36" s="259"/>
      <c r="I36" s="259"/>
      <c r="J36" s="259"/>
      <c r="K36" s="259"/>
      <c r="L36" s="259"/>
      <c r="M36" s="259"/>
      <c r="N36" s="259"/>
    </row>
    <row r="37" spans="1:14">
      <c r="A37" s="231" t="s">
        <v>93</v>
      </c>
      <c r="B37" s="260">
        <f t="shared" ref="B37:M37" si="10">SUM(B36*100)/B33-100</f>
        <v>-100</v>
      </c>
      <c r="C37" s="260">
        <f t="shared" si="10"/>
        <v>-100</v>
      </c>
      <c r="D37" s="260">
        <f t="shared" si="10"/>
        <v>-100</v>
      </c>
      <c r="E37" s="260">
        <f t="shared" si="10"/>
        <v>-100</v>
      </c>
      <c r="F37" s="260">
        <f t="shared" si="10"/>
        <v>-100</v>
      </c>
      <c r="G37" s="260">
        <f t="shared" si="10"/>
        <v>-100</v>
      </c>
      <c r="H37" s="260">
        <f t="shared" si="10"/>
        <v>-100</v>
      </c>
      <c r="I37" s="260">
        <f t="shared" si="10"/>
        <v>-100</v>
      </c>
      <c r="J37" s="260">
        <f t="shared" si="10"/>
        <v>-100</v>
      </c>
      <c r="K37" s="260">
        <f t="shared" si="10"/>
        <v>-100</v>
      </c>
      <c r="L37" s="260">
        <f t="shared" si="10"/>
        <v>-100</v>
      </c>
      <c r="M37" s="260">
        <f t="shared" si="10"/>
        <v>-100</v>
      </c>
      <c r="N37" s="259"/>
    </row>
    <row r="38" spans="1:14">
      <c r="A38" s="243" t="s">
        <v>94</v>
      </c>
      <c r="B38" s="261"/>
      <c r="C38" s="261"/>
      <c r="D38" s="262">
        <f>SUM(B37:D37/3)</f>
        <v>-33.333333333333336</v>
      </c>
      <c r="E38" s="261"/>
      <c r="F38" s="261"/>
      <c r="G38" s="262">
        <f>SUM(E37:G37)/3</f>
        <v>-100</v>
      </c>
      <c r="H38" s="261"/>
      <c r="I38" s="261"/>
      <c r="J38" s="262">
        <f>SUM(H37:J37)/3</f>
        <v>-100</v>
      </c>
      <c r="K38" s="261"/>
      <c r="L38" s="261"/>
      <c r="M38" s="262">
        <f>SUM(K37:M37)/3</f>
        <v>-100</v>
      </c>
      <c r="N38" s="261"/>
    </row>
    <row r="39" spans="1:14">
      <c r="A39" s="243"/>
      <c r="B39" s="244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27"/>
    </row>
    <row r="40" spans="1:14" ht="16.5" thickBot="1">
      <c r="E40" s="263" t="s">
        <v>95</v>
      </c>
      <c r="F40" s="264"/>
      <c r="G40" s="265">
        <v>2016</v>
      </c>
    </row>
    <row r="41" spans="1:14">
      <c r="A41" s="266" t="s">
        <v>96</v>
      </c>
      <c r="B41" s="267" t="s">
        <v>44</v>
      </c>
      <c r="C41" s="267" t="s">
        <v>45</v>
      </c>
      <c r="D41" s="267" t="s">
        <v>46</v>
      </c>
      <c r="E41" s="267" t="s">
        <v>47</v>
      </c>
      <c r="F41" s="267" t="s">
        <v>48</v>
      </c>
      <c r="G41" s="267" t="s">
        <v>49</v>
      </c>
      <c r="H41" s="267" t="s">
        <v>38</v>
      </c>
      <c r="I41" s="267" t="s">
        <v>39</v>
      </c>
      <c r="J41" s="267" t="s">
        <v>40</v>
      </c>
      <c r="K41" s="267" t="s">
        <v>41</v>
      </c>
      <c r="L41" s="267" t="s">
        <v>42</v>
      </c>
      <c r="M41" s="267" t="s">
        <v>43</v>
      </c>
      <c r="N41" s="268" t="s">
        <v>64</v>
      </c>
    </row>
    <row r="42" spans="1:14">
      <c r="A42" s="269" t="s">
        <v>97</v>
      </c>
      <c r="B42" s="270">
        <v>61</v>
      </c>
      <c r="C42" s="270">
        <v>85</v>
      </c>
      <c r="D42" s="270">
        <v>119</v>
      </c>
      <c r="E42" s="270">
        <v>100</v>
      </c>
      <c r="F42" s="270">
        <v>102</v>
      </c>
      <c r="G42" s="270">
        <v>82</v>
      </c>
      <c r="H42" s="270">
        <v>70</v>
      </c>
      <c r="I42" s="270"/>
      <c r="J42" s="270"/>
      <c r="K42" s="270"/>
      <c r="L42" s="270"/>
      <c r="M42" s="270"/>
      <c r="N42" s="271">
        <f>SUM(B42:M42)</f>
        <v>619</v>
      </c>
    </row>
    <row r="43" spans="1:14">
      <c r="A43" s="269" t="s">
        <v>98</v>
      </c>
      <c r="B43" s="270">
        <v>3110</v>
      </c>
      <c r="C43" s="270">
        <v>3316</v>
      </c>
      <c r="D43" s="270">
        <v>3837</v>
      </c>
      <c r="E43" s="270">
        <v>4170</v>
      </c>
      <c r="F43" s="270">
        <v>2523</v>
      </c>
      <c r="G43" s="270">
        <v>3073</v>
      </c>
      <c r="H43" s="270">
        <v>3643</v>
      </c>
      <c r="I43" s="270"/>
      <c r="J43" s="270"/>
      <c r="K43" s="270"/>
      <c r="L43" s="270"/>
      <c r="M43" s="270"/>
      <c r="N43" s="271">
        <f>SUM(B43:M43)</f>
        <v>23672</v>
      </c>
    </row>
    <row r="44" spans="1:14">
      <c r="A44" s="269" t="s">
        <v>99</v>
      </c>
      <c r="B44" s="270">
        <v>255</v>
      </c>
      <c r="C44" s="270">
        <v>599</v>
      </c>
      <c r="D44" s="270">
        <v>816</v>
      </c>
      <c r="E44" s="270">
        <v>1324</v>
      </c>
      <c r="F44" s="270">
        <v>3440</v>
      </c>
      <c r="G44" s="270">
        <v>6260</v>
      </c>
      <c r="H44" s="270">
        <v>3643</v>
      </c>
      <c r="I44" s="270"/>
      <c r="J44" s="270"/>
      <c r="K44" s="270"/>
      <c r="L44" s="270"/>
      <c r="M44" s="270"/>
      <c r="N44" s="271">
        <f>SUM(B44:M44)</f>
        <v>16337</v>
      </c>
    </row>
    <row r="45" spans="1:14">
      <c r="A45" s="269" t="s">
        <v>100</v>
      </c>
      <c r="B45" s="270">
        <v>996</v>
      </c>
      <c r="C45" s="270">
        <v>679</v>
      </c>
      <c r="D45" s="270">
        <v>766</v>
      </c>
      <c r="E45" s="270">
        <v>795</v>
      </c>
      <c r="F45" s="270">
        <v>967</v>
      </c>
      <c r="G45" s="270">
        <v>1046</v>
      </c>
      <c r="H45" s="270">
        <v>570</v>
      </c>
      <c r="I45" s="270"/>
      <c r="J45" s="270"/>
      <c r="K45" s="270"/>
      <c r="L45" s="270"/>
      <c r="M45" s="270"/>
      <c r="N45" s="271">
        <f>SUM(B45:M45)</f>
        <v>5819</v>
      </c>
    </row>
    <row r="46" spans="1:14" ht="13.5" thickBot="1">
      <c r="A46" s="272" t="s">
        <v>101</v>
      </c>
      <c r="B46" s="273"/>
      <c r="C46" s="273">
        <v>6</v>
      </c>
      <c r="D46" s="273">
        <v>1</v>
      </c>
      <c r="E46" s="273">
        <v>3</v>
      </c>
      <c r="F46" s="273">
        <v>2</v>
      </c>
      <c r="G46" s="273">
        <v>6</v>
      </c>
      <c r="H46" s="273">
        <v>4</v>
      </c>
      <c r="I46" s="273"/>
      <c r="J46" s="273"/>
      <c r="K46" s="273"/>
      <c r="L46" s="273"/>
      <c r="M46" s="273"/>
      <c r="N46" s="483">
        <f>SUM(B46:M46)</f>
        <v>22</v>
      </c>
    </row>
    <row r="47" spans="1:14">
      <c r="N47" s="484">
        <f>SUM(N42:N46)</f>
        <v>46469</v>
      </c>
    </row>
    <row r="48" spans="1:14" ht="16.5" thickBot="1">
      <c r="E48" s="263" t="s">
        <v>102</v>
      </c>
      <c r="F48" s="264"/>
      <c r="G48" s="265">
        <v>2016</v>
      </c>
    </row>
    <row r="49" spans="1:17">
      <c r="A49" s="266" t="s">
        <v>102</v>
      </c>
      <c r="B49" s="267" t="s">
        <v>44</v>
      </c>
      <c r="C49" s="267" t="s">
        <v>45</v>
      </c>
      <c r="D49" s="267" t="s">
        <v>46</v>
      </c>
      <c r="E49" s="267" t="s">
        <v>47</v>
      </c>
      <c r="F49" s="267" t="s">
        <v>48</v>
      </c>
      <c r="G49" s="267" t="s">
        <v>49</v>
      </c>
      <c r="H49" s="267" t="s">
        <v>38</v>
      </c>
      <c r="I49" s="267" t="s">
        <v>39</v>
      </c>
      <c r="J49" s="267" t="s">
        <v>40</v>
      </c>
      <c r="K49" s="267" t="s">
        <v>41</v>
      </c>
      <c r="L49" s="267" t="s">
        <v>42</v>
      </c>
      <c r="M49" s="267" t="s">
        <v>43</v>
      </c>
      <c r="N49" s="268" t="s">
        <v>64</v>
      </c>
    </row>
    <row r="50" spans="1:17">
      <c r="A50" s="485" t="s">
        <v>103</v>
      </c>
      <c r="B50" s="275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6">
        <f t="shared" ref="N50:N55" si="11">SUM(B50:M50)</f>
        <v>0</v>
      </c>
    </row>
    <row r="51" spans="1:17">
      <c r="A51" s="269" t="s">
        <v>104</v>
      </c>
      <c r="B51" s="277">
        <v>31</v>
      </c>
      <c r="C51" s="277">
        <v>18</v>
      </c>
      <c r="D51" s="277">
        <v>25</v>
      </c>
      <c r="E51" s="277">
        <v>17</v>
      </c>
      <c r="F51" s="277">
        <v>20</v>
      </c>
      <c r="G51" s="277">
        <v>33</v>
      </c>
      <c r="H51" s="277">
        <v>19</v>
      </c>
      <c r="I51" s="277">
        <v>22</v>
      </c>
      <c r="J51" s="277">
        <v>23</v>
      </c>
      <c r="K51" s="277">
        <v>42</v>
      </c>
      <c r="L51" s="277">
        <v>22</v>
      </c>
      <c r="M51" s="277"/>
      <c r="N51" s="276">
        <f t="shared" si="11"/>
        <v>272</v>
      </c>
    </row>
    <row r="52" spans="1:17">
      <c r="A52" s="269" t="s">
        <v>105</v>
      </c>
      <c r="B52" s="277">
        <v>61</v>
      </c>
      <c r="C52" s="277">
        <v>49</v>
      </c>
      <c r="D52" s="277">
        <v>50</v>
      </c>
      <c r="E52" s="277">
        <v>59</v>
      </c>
      <c r="F52" s="277">
        <v>65</v>
      </c>
      <c r="G52" s="277">
        <v>87</v>
      </c>
      <c r="H52" s="277">
        <v>51</v>
      </c>
      <c r="I52" s="277">
        <v>98</v>
      </c>
      <c r="J52" s="277">
        <v>53</v>
      </c>
      <c r="K52" s="277">
        <v>71</v>
      </c>
      <c r="L52" s="277">
        <v>43</v>
      </c>
      <c r="M52" s="277"/>
      <c r="N52" s="276">
        <f t="shared" si="11"/>
        <v>687</v>
      </c>
    </row>
    <row r="53" spans="1:17">
      <c r="A53" s="269" t="s">
        <v>106</v>
      </c>
      <c r="B53" s="278">
        <v>1</v>
      </c>
      <c r="C53" s="278">
        <v>3</v>
      </c>
      <c r="D53" s="278">
        <v>1</v>
      </c>
      <c r="E53" s="278">
        <v>5</v>
      </c>
      <c r="F53" s="278">
        <v>7</v>
      </c>
      <c r="G53" s="278">
        <v>5</v>
      </c>
      <c r="H53" s="278">
        <v>9</v>
      </c>
      <c r="I53" s="278">
        <v>2</v>
      </c>
      <c r="J53" s="278">
        <v>5</v>
      </c>
      <c r="K53" s="278">
        <v>2</v>
      </c>
      <c r="L53" s="278">
        <v>2</v>
      </c>
      <c r="M53" s="278"/>
      <c r="N53" s="276">
        <f t="shared" si="11"/>
        <v>42</v>
      </c>
    </row>
    <row r="54" spans="1:17">
      <c r="A54" s="486" t="s">
        <v>11</v>
      </c>
      <c r="B54" s="278">
        <v>34</v>
      </c>
      <c r="C54" s="278">
        <v>46</v>
      </c>
      <c r="D54" s="278">
        <v>32</v>
      </c>
      <c r="E54" s="278">
        <v>38</v>
      </c>
      <c r="F54" s="278">
        <v>18</v>
      </c>
      <c r="G54" s="278">
        <v>15</v>
      </c>
      <c r="H54" s="278">
        <v>2</v>
      </c>
      <c r="I54" s="278">
        <v>8</v>
      </c>
      <c r="J54" s="278">
        <v>51</v>
      </c>
      <c r="K54" s="278">
        <v>50</v>
      </c>
      <c r="L54" s="278">
        <v>64</v>
      </c>
      <c r="M54" s="278"/>
      <c r="N54" s="276">
        <f t="shared" si="11"/>
        <v>358</v>
      </c>
    </row>
    <row r="55" spans="1:17">
      <c r="A55" s="705" t="s">
        <v>107</v>
      </c>
      <c r="B55" s="278">
        <v>13</v>
      </c>
      <c r="C55" s="278">
        <v>29</v>
      </c>
      <c r="D55" s="278">
        <v>43</v>
      </c>
      <c r="E55" s="278">
        <v>23</v>
      </c>
      <c r="F55" s="278">
        <v>40</v>
      </c>
      <c r="G55" s="278">
        <v>44</v>
      </c>
      <c r="H55" s="278">
        <v>26</v>
      </c>
      <c r="I55" s="278">
        <v>21</v>
      </c>
      <c r="J55" s="278">
        <v>22</v>
      </c>
      <c r="K55" s="278">
        <v>35</v>
      </c>
      <c r="L55" s="278">
        <v>25</v>
      </c>
      <c r="M55" s="278"/>
      <c r="N55" s="276">
        <f t="shared" si="11"/>
        <v>321</v>
      </c>
    </row>
    <row r="56" spans="1:17">
      <c r="A56" s="816" t="s">
        <v>108</v>
      </c>
      <c r="B56" s="278">
        <v>36</v>
      </c>
      <c r="C56" s="278">
        <v>6</v>
      </c>
      <c r="D56" s="278">
        <v>8</v>
      </c>
      <c r="E56" s="278">
        <v>6</v>
      </c>
      <c r="F56" s="278">
        <v>1</v>
      </c>
      <c r="G56" s="278">
        <v>5</v>
      </c>
      <c r="H56" s="278">
        <v>3</v>
      </c>
      <c r="I56" s="278">
        <v>3</v>
      </c>
      <c r="J56" s="278">
        <v>7</v>
      </c>
      <c r="K56" s="278">
        <v>2</v>
      </c>
      <c r="L56" s="278">
        <v>3</v>
      </c>
      <c r="M56" s="278"/>
      <c r="N56" s="276">
        <f>SUM(B56:M56)</f>
        <v>80</v>
      </c>
    </row>
    <row r="57" spans="1:17" ht="13.5" thickBot="1">
      <c r="A57" s="816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76">
        <f>SUM(N50:N56)</f>
        <v>1760</v>
      </c>
    </row>
    <row r="58" spans="1:17" ht="18">
      <c r="A58" s="823" t="s">
        <v>215</v>
      </c>
      <c r="B58" s="823"/>
      <c r="C58" s="823"/>
      <c r="D58" s="823"/>
      <c r="E58" s="823"/>
      <c r="F58" s="823"/>
      <c r="G58" s="823"/>
      <c r="H58" s="823"/>
      <c r="I58" s="823"/>
      <c r="J58" s="823"/>
      <c r="K58" s="823"/>
      <c r="L58" s="823"/>
      <c r="M58" s="823"/>
      <c r="N58" s="824"/>
    </row>
    <row r="59" spans="1:17" ht="15.75">
      <c r="E59" s="282"/>
      <c r="M59" s="244"/>
      <c r="N59" s="227"/>
    </row>
    <row r="60" spans="1:17">
      <c r="A60" s="771" t="str">
        <f>IF([7]Vagt!A4&lt;&gt;"",[7]Vagt!A4,"")</f>
        <v>Note 1: Fordeling  af intern betalingsordning på Rådhuset</v>
      </c>
      <c r="B60" s="772"/>
      <c r="C60" s="772"/>
      <c r="D60" s="772" t="str">
        <f>IF([7]Vagt!D4&lt;&gt;"",[7]Vagt!D4,"")</f>
        <v>Årlig pris</v>
      </c>
      <c r="E60" s="773">
        <f>IF([7]Vagt!E4&lt;&gt;"",[7]Vagt!E4,"")</f>
        <v>0</v>
      </c>
      <c r="F60" s="773"/>
      <c r="G60" s="773"/>
      <c r="H60" s="773"/>
      <c r="I60" s="773"/>
      <c r="J60" s="773"/>
      <c r="K60" s="773"/>
      <c r="L60" s="773"/>
      <c r="M60" s="773"/>
      <c r="N60" s="773"/>
      <c r="P60" s="244"/>
      <c r="Q60" s="227"/>
    </row>
    <row r="61" spans="1:17">
      <c r="A61" s="772">
        <f>IF([7]Vagt!A5&lt;&gt;"",[7]Vagt!A5,"")</f>
        <v>0</v>
      </c>
      <c r="B61" s="772" t="str">
        <f>IF([7]Vagt!B5&lt;&gt;"",[7]Vagt!B5,"")</f>
        <v>SOF</v>
      </c>
      <c r="C61" s="772">
        <f>IF([7]Vagt!C5&lt;&gt;"",[7]Vagt!C5,"")</f>
        <v>0</v>
      </c>
      <c r="D61" s="812">
        <v>5651778</v>
      </c>
      <c r="E61" s="773" t="str">
        <f>IF([7]Vagt!E5&lt;&gt;"",[7]Vagt!E5,"")</f>
        <v>Lisbeth Iversen 62200</v>
      </c>
      <c r="F61" s="773"/>
      <c r="G61" s="773"/>
      <c r="H61" s="773"/>
      <c r="I61" s="773"/>
      <c r="J61" s="773"/>
      <c r="K61" s="773"/>
      <c r="L61" s="773"/>
      <c r="M61" s="773"/>
      <c r="N61" s="773"/>
      <c r="P61" s="244"/>
      <c r="Q61" s="227"/>
    </row>
    <row r="62" spans="1:17">
      <c r="A62" s="772">
        <f>IF([7]Vagt!A6&lt;&gt;"",[7]Vagt!A6,"")</f>
        <v>0</v>
      </c>
      <c r="B62" s="772" t="str">
        <f>IF([7]Vagt!B6&lt;&gt;"",[7]Vagt!B6,"")</f>
        <v>Kødbyen</v>
      </c>
      <c r="C62" s="772">
        <f>IF([7]Vagt!C6&lt;&gt;"",[7]Vagt!C6,"")</f>
        <v>0</v>
      </c>
      <c r="D62" s="812">
        <f>IF([7]Vagt!D6&lt;&gt;"",[7]Vagt!D6,"")</f>
        <v>1761357</v>
      </c>
      <c r="E62" s="818">
        <f>IF([7]Vagt!E6&lt;&gt;"",[7]Vagt!E6,"")</f>
        <v>2244873</v>
      </c>
      <c r="F62" s="773"/>
      <c r="G62" s="773"/>
      <c r="H62" s="773"/>
      <c r="I62" s="773"/>
      <c r="J62" s="773"/>
      <c r="K62" s="773"/>
      <c r="L62" s="773"/>
      <c r="M62" s="773"/>
      <c r="N62" s="773"/>
      <c r="O62" s="291"/>
      <c r="P62" s="244"/>
      <c r="Q62" s="227"/>
    </row>
    <row r="63" spans="1:17">
      <c r="A63" s="772" t="e">
        <f>IF([7]Vagt!A7&lt;&gt;"",[7]Vagt!A7,"")</f>
        <v>#REF!</v>
      </c>
      <c r="B63" s="772">
        <f>IF([7]Vagt!B7&lt;&gt;"",[7]Vagt!B7,"")</f>
        <v>0</v>
      </c>
      <c r="C63" s="772">
        <f>IF([7]Vagt!C7&lt;&gt;"",[7]Vagt!C7,"")</f>
        <v>0</v>
      </c>
      <c r="D63" s="772"/>
      <c r="E63" s="773">
        <f>IF([7]Vagt!E7&lt;&gt;"",[7]Vagt!E7,"")</f>
        <v>0</v>
      </c>
      <c r="F63" s="773"/>
      <c r="G63" s="773"/>
      <c r="H63" s="773"/>
      <c r="I63" s="773"/>
      <c r="J63" s="773"/>
      <c r="K63" s="773"/>
      <c r="L63" s="773"/>
      <c r="M63" s="773"/>
      <c r="N63" s="773"/>
      <c r="O63" s="298"/>
      <c r="P63" s="244"/>
      <c r="Q63" s="227"/>
    </row>
    <row r="64" spans="1:17">
      <c r="A64" s="772">
        <f>IF([7]Vagt!A8&lt;&gt;"",[7]Vagt!A8,"")</f>
        <v>0</v>
      </c>
      <c r="B64" s="772">
        <f>IF([7]Vagt!B8&lt;&gt;"",[7]Vagt!B8,"")</f>
        <v>0</v>
      </c>
      <c r="C64" s="772">
        <f>IF([7]Vagt!C8&lt;&gt;"",[7]Vagt!C8,"")</f>
        <v>0</v>
      </c>
      <c r="D64" s="772">
        <f>IF([7]Vagt!D8&lt;&gt;"",[7]Vagt!D8,"")</f>
        <v>0</v>
      </c>
      <c r="E64" s="773" t="e">
        <f>IF([7]Vagt!E8&lt;&gt;"",[7]Vagt!E8,"")</f>
        <v>#REF!</v>
      </c>
      <c r="F64" s="773"/>
      <c r="G64" s="773"/>
      <c r="H64" s="773"/>
      <c r="I64" s="773"/>
      <c r="J64" s="773"/>
      <c r="K64" s="773"/>
      <c r="L64" s="773"/>
      <c r="M64" s="773"/>
      <c r="N64" s="773"/>
      <c r="O64" s="320"/>
      <c r="P64" s="244"/>
      <c r="Q64" s="227"/>
    </row>
    <row r="65" spans="1:17">
      <c r="A65" s="772">
        <f>IF([7]Vagt!A9&lt;&gt;"",[7]Vagt!A9,"")</f>
        <v>0</v>
      </c>
      <c r="B65" s="772">
        <f>IF([7]Vagt!B9&lt;&gt;"",[7]Vagt!B9,"")</f>
        <v>0</v>
      </c>
      <c r="C65" s="772">
        <f>IF([7]Vagt!C9&lt;&gt;"",[7]Vagt!C9,"")</f>
        <v>0</v>
      </c>
      <c r="D65" s="772">
        <f>IF([7]Vagt!D9&lt;&gt;"",[7]Vagt!D9,"")</f>
        <v>0</v>
      </c>
      <c r="E65" s="773">
        <f>IF([7]Vagt!E9&lt;&gt;"",[7]Vagt!E9,"")</f>
        <v>0</v>
      </c>
      <c r="F65" s="773"/>
      <c r="G65" s="773"/>
      <c r="H65" s="773"/>
      <c r="I65" s="773"/>
      <c r="J65" s="773"/>
      <c r="K65" s="773"/>
      <c r="L65" s="773"/>
      <c r="M65" s="773"/>
      <c r="N65" s="773"/>
      <c r="O65" s="320"/>
      <c r="P65" s="244"/>
      <c r="Q65" s="227"/>
    </row>
    <row r="66" spans="1:17">
      <c r="A66" s="772">
        <f>IF([7]Vagt!A10&lt;&gt;"",[7]Vagt!A10,"")</f>
        <v>0</v>
      </c>
      <c r="B66" s="772">
        <f>IF([7]Vagt!B10&lt;&gt;"",[7]Vagt!B10,"")</f>
        <v>0</v>
      </c>
      <c r="C66" s="772">
        <f>IF([7]Vagt!C10&lt;&gt;"",[7]Vagt!C10,"")</f>
        <v>0</v>
      </c>
      <c r="D66" s="772">
        <f>IF([7]Vagt!D10&lt;&gt;"",[7]Vagt!D10,"")</f>
        <v>0</v>
      </c>
      <c r="E66" s="773">
        <f>IF([7]Vagt!E10&lt;&gt;"",[7]Vagt!E10,"")</f>
        <v>0</v>
      </c>
      <c r="F66" s="773"/>
      <c r="G66" s="773"/>
      <c r="H66" s="773"/>
      <c r="I66" s="773"/>
      <c r="J66" s="773"/>
      <c r="K66" s="773"/>
      <c r="L66" s="773"/>
      <c r="M66" s="773"/>
      <c r="N66" s="773"/>
      <c r="O66" s="320"/>
      <c r="P66" s="244"/>
      <c r="Q66" s="227"/>
    </row>
    <row r="67" spans="1:17">
      <c r="A67" s="772">
        <f>IF([7]Vagt!A11&lt;&gt;"",[7]Vagt!A11,"")</f>
        <v>0</v>
      </c>
      <c r="B67" s="772">
        <f>IF([7]Vagt!B11&lt;&gt;"",[7]Vagt!B11,"")</f>
        <v>0</v>
      </c>
      <c r="C67" s="772">
        <f>IF([7]Vagt!C11&lt;&gt;"",[7]Vagt!C11,"")</f>
        <v>0</v>
      </c>
      <c r="D67" s="772">
        <f>IF([7]Vagt!D11&lt;&gt;"",[7]Vagt!D11,"")</f>
        <v>0</v>
      </c>
      <c r="E67" s="773">
        <f>IF([7]Vagt!E11&lt;&gt;"",[7]Vagt!E11,"")</f>
        <v>0</v>
      </c>
      <c r="F67" s="773"/>
      <c r="G67" s="773"/>
      <c r="H67" s="773"/>
      <c r="I67" s="773"/>
      <c r="J67" s="773"/>
      <c r="K67" s="773"/>
      <c r="L67" s="773"/>
      <c r="M67" s="773"/>
      <c r="N67" s="773"/>
      <c r="O67" s="291"/>
      <c r="P67" s="244"/>
      <c r="Q67" s="227"/>
    </row>
    <row r="68" spans="1:17">
      <c r="A68" s="772">
        <f>IF([7]Vagt!A12&lt;&gt;"",[7]Vagt!A12,"")</f>
        <v>0</v>
      </c>
      <c r="B68" s="772">
        <f>IF([7]Vagt!B12&lt;&gt;"",[7]Vagt!B12,"")</f>
        <v>0</v>
      </c>
      <c r="C68" s="772">
        <f>IF([7]Vagt!C12&lt;&gt;"",[7]Vagt!C12,"")</f>
        <v>0</v>
      </c>
      <c r="D68" s="772"/>
      <c r="E68" s="773" t="str">
        <f>IF([7]Vagt!E12&lt;&gt;"",[7]Vagt!E12,"")</f>
        <v>Sort = ikke betalt eller genfremsendt</v>
      </c>
      <c r="F68" s="773"/>
      <c r="G68" s="773"/>
      <c r="H68" s="773"/>
      <c r="I68" s="773"/>
      <c r="J68" s="773"/>
      <c r="K68" s="773"/>
      <c r="L68" s="773"/>
      <c r="M68" s="773"/>
      <c r="N68" s="773"/>
      <c r="O68" s="317"/>
      <c r="P68" s="244"/>
      <c r="Q68" s="227"/>
    </row>
    <row r="69" spans="1:17" ht="13.5" thickBot="1">
      <c r="A69" s="774">
        <f>IF([7]Vagt!A13&lt;&gt;"",[7]Vagt!A13,"")</f>
        <v>0</v>
      </c>
      <c r="B69" s="774">
        <f>IF([7]Vagt!B13&lt;&gt;"",[7]Vagt!B13,"")</f>
        <v>0</v>
      </c>
      <c r="C69" s="774">
        <f>IF([7]Vagt!C13&lt;&gt;"",[7]Vagt!C13,"")</f>
        <v>0</v>
      </c>
      <c r="D69" s="774">
        <f>IF([7]Vagt!D13&lt;&gt;"",[7]Vagt!D13,"")</f>
        <v>0</v>
      </c>
      <c r="E69" s="779" t="str">
        <f>IF([7]Vagt!E13&lt;&gt;"",[7]Vagt!E13,"")</f>
        <v>Grøn = Ikke betalt men genfremsendt</v>
      </c>
      <c r="F69" s="773"/>
      <c r="G69" s="773"/>
      <c r="H69" s="773"/>
      <c r="I69" s="773"/>
      <c r="J69" s="773"/>
      <c r="K69" s="773"/>
      <c r="L69" s="773"/>
      <c r="M69" s="773"/>
      <c r="N69" s="773"/>
      <c r="O69" s="320"/>
      <c r="P69" s="244"/>
      <c r="Q69" s="227"/>
    </row>
    <row r="70" spans="1:17">
      <c r="A70" s="775" t="str">
        <f>IF([7]Vagt!A14&lt;&gt;"",[7]Vagt!A14,"")</f>
        <v>Årligt</v>
      </c>
      <c r="B70" s="775">
        <f>IF([7]Vagt!B14&lt;&gt;"",[7]Vagt!B14,"")</f>
        <v>0</v>
      </c>
      <c r="C70" s="775">
        <f>IF([7]Vagt!C14&lt;&gt;"",[7]Vagt!C14,"")</f>
        <v>0</v>
      </c>
      <c r="D70" s="777">
        <f>IF([7]Vagt!D14&lt;&gt;"",[7]Vagt!D14,"")</f>
        <v>7413134</v>
      </c>
      <c r="E70" s="780" t="str">
        <f>IF([7]Vagt!E14&lt;&gt;"",[7]Vagt!E14,"")</f>
        <v>Når org. Nr. er røde, er de betalt</v>
      </c>
      <c r="F70" s="773"/>
      <c r="G70" s="773"/>
      <c r="H70" s="773"/>
      <c r="I70" s="773"/>
      <c r="J70" s="773"/>
      <c r="K70" s="773"/>
      <c r="L70" s="773"/>
      <c r="M70" s="773"/>
      <c r="N70" s="773"/>
      <c r="O70" s="320"/>
      <c r="P70" s="244"/>
      <c r="Q70" s="227"/>
    </row>
    <row r="71" spans="1:17" ht="13.5" thickBot="1">
      <c r="A71" s="776" t="str">
        <f>IF([7]Vagt!A15&lt;&gt;"",[7]Vagt!A15,"")</f>
        <v>Månedligt</v>
      </c>
      <c r="B71" s="776">
        <f>IF([7]Vagt!B15&lt;&gt;"",[7]Vagt!B15,"")</f>
        <v>0</v>
      </c>
      <c r="C71" s="776">
        <f>IF([7]Vagt!C15&lt;&gt;"",[7]Vagt!C15,"")</f>
        <v>0</v>
      </c>
      <c r="D71" s="778">
        <f>IF([7]Vagt!D15&lt;&gt;"",[7]Vagt!D15,"")</f>
        <v>617761.16666666663</v>
      </c>
      <c r="E71" s="780" t="str">
        <f>IF([7]Vagt!E15&lt;&gt;"",[7]Vagt!E15,"")</f>
        <v>Der er en pris fremskrivning/stigning på 1.67 % og ingen stigning på timepris påført 28-10-2015 gældende for 2016</v>
      </c>
      <c r="F71" s="773"/>
      <c r="G71" s="773"/>
      <c r="H71" s="773"/>
      <c r="I71" s="773"/>
      <c r="J71" s="773"/>
      <c r="K71" s="773"/>
      <c r="L71" s="773"/>
      <c r="M71" s="773"/>
      <c r="N71" s="773"/>
      <c r="O71" s="291"/>
      <c r="P71" s="244"/>
      <c r="Q71" s="227"/>
    </row>
    <row r="72" spans="1:17">
      <c r="A72" s="773">
        <f>IF([7]Vagt!A16&lt;&gt;"",[7]Vagt!A16,"")</f>
        <v>0</v>
      </c>
      <c r="B72" s="773">
        <f>IF([7]Vagt!B16&lt;&gt;"",[7]Vagt!B16,"")</f>
        <v>0</v>
      </c>
      <c r="C72" s="773">
        <f>IF([7]Vagt!C16&lt;&gt;"",[7]Vagt!C16,"")</f>
        <v>0</v>
      </c>
      <c r="D72" s="773" t="e">
        <f>IF([7]Vagt!D16&lt;&gt;"",[7]Vagt!D16,"")</f>
        <v>#REF!</v>
      </c>
      <c r="E72" s="773" t="e">
        <f>IF([7]Vagt!E16&lt;&gt;"",[7]Vagt!E16,"")</f>
        <v>#REF!</v>
      </c>
      <c r="F72" s="773"/>
      <c r="G72" s="773"/>
      <c r="H72" s="773"/>
      <c r="I72" s="773"/>
      <c r="J72" s="773"/>
      <c r="K72" s="773"/>
      <c r="L72" s="773"/>
      <c r="M72" s="773"/>
      <c r="N72" s="773"/>
      <c r="O72" s="291"/>
      <c r="P72" s="244"/>
      <c r="Q72" s="227"/>
    </row>
    <row r="73" spans="1:17">
      <c r="A73" s="772">
        <f>IF([7]Vagt!A17&lt;&gt;"",[7]Vagt!A17,"")</f>
        <v>0</v>
      </c>
      <c r="B73" s="771" t="str">
        <f>IF([7]Vagt!B17&lt;&gt;"",[7]Vagt!B17,"")</f>
        <v xml:space="preserve">Note 2  Kontrakt kunder fast rundering </v>
      </c>
      <c r="C73" s="771"/>
      <c r="D73" s="782"/>
      <c r="E73" s="784"/>
      <c r="F73" s="771"/>
      <c r="G73" s="773">
        <f>IF([7]Vagt!G17&lt;&gt;"",[7]Vagt!G17,"")</f>
        <v>0</v>
      </c>
      <c r="H73" s="773">
        <f>IF([7]Vagt!H17&lt;&gt;"",[7]Vagt!H17,"")</f>
        <v>0</v>
      </c>
      <c r="I73" s="772">
        <f>IF([7]Vagt!I17&lt;&gt;"",[7]Vagt!I17,"")</f>
        <v>0</v>
      </c>
      <c r="J73" s="782" t="str">
        <f>IF([7]Vagt!J17&lt;&gt;"",[7]Vagt!J17,"")</f>
        <v xml:space="preserve">Note 2  Kontrakt kunder fast rundering </v>
      </c>
      <c r="K73" s="800"/>
      <c r="L73" s="800"/>
      <c r="M73" s="800"/>
      <c r="N73" s="785"/>
      <c r="O73" s="297"/>
      <c r="P73" s="244"/>
      <c r="Q73" s="227"/>
    </row>
    <row r="74" spans="1:17">
      <c r="A74" s="772" t="str">
        <f>IF([7]Vagt!A18&lt;&gt;"",[7]Vagt!A18,"")</f>
        <v>Org. Nr.</v>
      </c>
      <c r="B74" s="772" t="str">
        <f>IF([7]Vagt!B18&lt;&gt;"",[7]Vagt!B18,"")</f>
        <v>Kontrakt nr.</v>
      </c>
      <c r="C74" s="772" t="str">
        <f>IF([7]Vagt!C18&lt;&gt;"",[7]Vagt!C18,"")</f>
        <v>Start dato</v>
      </c>
      <c r="D74" s="783" t="str">
        <f>IF([7]Vagt!D18&lt;&gt;"",[7]Vagt!D18,"")</f>
        <v>Adresse</v>
      </c>
      <c r="E74" s="785">
        <f>IF([7]Vagt!E18&lt;&gt;"",[7]Vagt!E18,"")</f>
        <v>0</v>
      </c>
      <c r="F74" s="772" t="str">
        <f>IF([7]Vagt!F18&lt;&gt;"",[7]Vagt!F18,"")</f>
        <v xml:space="preserve">Årlig pris  </v>
      </c>
      <c r="G74" s="773">
        <f>IF([7]Vagt!G18&lt;&gt;"",[7]Vagt!G18,"")</f>
        <v>0</v>
      </c>
      <c r="H74" s="773">
        <f>IF([7]Vagt!H18&lt;&gt;"",[7]Vagt!H18,"")</f>
        <v>0</v>
      </c>
      <c r="I74" s="772" t="str">
        <f>IF([7]Vagt!I18&lt;&gt;"",[7]Vagt!I18,"")</f>
        <v>Org. Nr.</v>
      </c>
      <c r="J74" s="772" t="str">
        <f>IF([7]Vagt!J18&lt;&gt;"",[7]Vagt!J18,"")</f>
        <v>Bygningsnr.</v>
      </c>
      <c r="K74" s="772" t="str">
        <f>IF([7]Vagt!K18&lt;&gt;"",[7]Vagt!K18,"")</f>
        <v>V og I dato</v>
      </c>
      <c r="L74" s="783" t="str">
        <f>IF([7]Vagt!L18&lt;&gt;"",[7]Vagt!L18,"")</f>
        <v>Adresse</v>
      </c>
      <c r="M74" s="785"/>
      <c r="N74" s="772" t="str">
        <f>IF([7]Vagt!N18&lt;&gt;"",[7]Vagt!N18,"")</f>
        <v xml:space="preserve">Årlig pris  </v>
      </c>
      <c r="O74" s="297"/>
      <c r="P74" s="244"/>
      <c r="Q74" s="227"/>
    </row>
    <row r="75" spans="1:17">
      <c r="A75" s="772" t="str">
        <f>IF([7]Vagt!A19&lt;&gt;"",[7]Vagt!A19,"")</f>
        <v>64715</v>
      </c>
      <c r="B75" s="772">
        <f>IF([7]Vagt!B19&lt;&gt;"",[7]Vagt!B19,"")</f>
        <v>112</v>
      </c>
      <c r="C75" s="781">
        <f>IF([7]Vagt!C19&lt;&gt;"",[7]Vagt!C19,"")</f>
        <v>37956</v>
      </c>
      <c r="D75" s="783" t="str">
        <f>IF([7]Vagt!D19&lt;&gt;"",[7]Vagt!D19,"")</f>
        <v>Røde Mellemvej 52 (Søren Rasmussen)</v>
      </c>
      <c r="E75" s="785"/>
      <c r="F75" s="795">
        <f>IF([7]Vagt!F19&lt;&gt;"",[7]Vagt!F19,"")</f>
        <v>126659</v>
      </c>
      <c r="G75" s="773">
        <f>IF([7]Vagt!G19&lt;&gt;"",[7]Vagt!G19,"")</f>
        <v>797736</v>
      </c>
      <c r="H75" s="773">
        <f>IF([7]Vagt!H19&lt;&gt;"",[7]Vagt!H19,"")</f>
        <v>0</v>
      </c>
      <c r="I75" s="772" t="str">
        <f>IF([7]Vagt!I19&lt;&gt;"",[7]Vagt!I19,"")</f>
        <v>Fortsat</v>
      </c>
      <c r="J75" s="772">
        <f>IF([7]Vagt!J19&lt;&gt;"",[7]Vagt!J19,"")</f>
        <v>0</v>
      </c>
      <c r="K75" s="772">
        <f>IF([7]Vagt!K19&lt;&gt;"",[7]Vagt!K19,"")</f>
        <v>0</v>
      </c>
      <c r="L75" s="783">
        <f>IF([7]Vagt!L19&lt;&gt;"",[7]Vagt!L19,"")</f>
        <v>0</v>
      </c>
      <c r="M75" s="785"/>
      <c r="N75" s="795">
        <f>IF([7]Vagt!N19&lt;&gt;"",[7]Vagt!N19,"")</f>
        <v>2036309</v>
      </c>
      <c r="O75" s="501"/>
      <c r="P75" s="244"/>
      <c r="Q75" s="227"/>
    </row>
    <row r="76" spans="1:17">
      <c r="A76" s="772" t="str">
        <f>IF([7]Vagt!A20&lt;&gt;"",[7]Vagt!A20,"")</f>
        <v>37567</v>
      </c>
      <c r="B76" s="772">
        <f>IF([7]Vagt!B20&lt;&gt;"",[7]Vagt!B20,"")</f>
        <v>113</v>
      </c>
      <c r="C76" s="781">
        <f>IF([7]Vagt!C20&lt;&gt;"",[7]Vagt!C20,"")</f>
        <v>38012</v>
      </c>
      <c r="D76" s="783" t="str">
        <f>IF([7]Vagt!D20&lt;&gt;"",[7]Vagt!D20,"")</f>
        <v>Studsgårdsgade 55</v>
      </c>
      <c r="E76" s="785"/>
      <c r="F76" s="795">
        <f>IF([7]Vagt!F20&lt;&gt;"",[7]Vagt!F20,"")</f>
        <v>148969</v>
      </c>
      <c r="G76" s="773">
        <f>IF([7]Vagt!G20&lt;&gt;"",[7]Vagt!G20,"")</f>
        <v>797737</v>
      </c>
      <c r="H76" s="773">
        <f>IF([7]Vagt!H20&lt;&gt;"",[7]Vagt!H20,"")</f>
        <v>0</v>
      </c>
      <c r="I76" s="772">
        <f>IF([7]Vagt!I20&lt;&gt;"",[7]Vagt!I20,"")</f>
        <v>82100</v>
      </c>
      <c r="J76" s="772">
        <f>IF([7]Vagt!J20&lt;&gt;"",[7]Vagt!J20,"")</f>
        <v>160</v>
      </c>
      <c r="K76" s="772">
        <f>IF([7]Vagt!K20&lt;&gt;"",[7]Vagt!K20,"")</f>
        <v>42461</v>
      </c>
      <c r="L76" s="783" t="str">
        <f>IF([7]Vagt!L20&lt;&gt;"",[7]Vagt!L20,"")</f>
        <v>Lærkevej 18(Ørnevej 55)                                     2017=39.690</v>
      </c>
      <c r="M76" s="785"/>
      <c r="N76" s="795">
        <f>IF([7]Vagt!N20&lt;&gt;"",[7]Vagt!N20,"")</f>
        <v>29767</v>
      </c>
      <c r="O76" s="297"/>
      <c r="P76" s="244"/>
      <c r="Q76" s="227"/>
    </row>
    <row r="77" spans="1:17">
      <c r="A77" s="772">
        <f>IF([7]Vagt!A21&lt;&gt;"",[7]Vagt!A21,"")</f>
        <v>23140</v>
      </c>
      <c r="B77" s="772">
        <f>IF([7]Vagt!B21&lt;&gt;"",[7]Vagt!B21,"")</f>
        <v>116</v>
      </c>
      <c r="C77" s="781">
        <f>IF([7]Vagt!C21&lt;&gt;"",[7]Vagt!C21,"")</f>
        <v>38412</v>
      </c>
      <c r="D77" s="783" t="str">
        <f>IF([7]Vagt!D21&lt;&gt;"",[7]Vagt!D21,"")</f>
        <v>Amagerbrogade 150</v>
      </c>
      <c r="E77" s="785"/>
      <c r="F77" s="795">
        <f>IF([7]Vagt!F21&lt;&gt;"",[7]Vagt!F21,"")</f>
        <v>65791</v>
      </c>
      <c r="G77" s="773">
        <f>IF([7]Vagt!G21&lt;&gt;"",[7]Vagt!G21,"")</f>
        <v>797738</v>
      </c>
      <c r="H77" s="773">
        <f>IF([7]Vagt!H21&lt;&gt;"",[7]Vagt!H21,"")</f>
        <v>0</v>
      </c>
      <c r="I77" s="772">
        <f>IF([7]Vagt!I21&lt;&gt;"",[7]Vagt!I21,"")</f>
        <v>62300</v>
      </c>
      <c r="J77" s="772">
        <f>IF([7]Vagt!J21&lt;&gt;"",[7]Vagt!J21,"")</f>
        <v>150</v>
      </c>
      <c r="K77" s="772">
        <f>IF([7]Vagt!K21&lt;&gt;"",[7]Vagt!K21,"")</f>
        <v>38047</v>
      </c>
      <c r="L77" s="783" t="str">
        <f>IF([7]Vagt!L21&lt;&gt;"",[7]Vagt!L21,"")</f>
        <v xml:space="preserve">Brønshøjvej 17 - 19, SOF, BFCK-Brønshøj-Husum-Vanløse               </v>
      </c>
      <c r="M77" s="785"/>
      <c r="N77" s="795">
        <f>IF([7]Vagt!N21&lt;&gt;"",[7]Vagt!N21,"")</f>
        <v>67423</v>
      </c>
      <c r="O77" s="297"/>
      <c r="P77" s="244"/>
      <c r="Q77" s="227"/>
    </row>
    <row r="78" spans="1:17">
      <c r="A78" s="772">
        <f>IF([7]Vagt!A22&lt;&gt;"",[7]Vagt!A22,"")</f>
        <v>17190</v>
      </c>
      <c r="B78" s="772">
        <f>IF([7]Vagt!B22&lt;&gt;"",[7]Vagt!B22,"")</f>
        <v>119</v>
      </c>
      <c r="C78" s="781">
        <f>IF([7]Vagt!C22&lt;&gt;"",[7]Vagt!C22,"")</f>
        <v>41395</v>
      </c>
      <c r="D78" s="783" t="str">
        <f>IF([7]Vagt!D22&lt;&gt;"",[7]Vagt!D22,"")</f>
        <v>Hvide Kødby(rundering) (Lene Bordoy)</v>
      </c>
      <c r="E78" s="785"/>
      <c r="F78" s="795">
        <f>IF([7]Vagt!F22&lt;&gt;"",[7]Vagt!F22,"")</f>
        <v>157719</v>
      </c>
      <c r="G78" s="773">
        <f>IF([7]Vagt!G22&lt;&gt;"",[7]Vagt!G22,"")</f>
        <v>812192</v>
      </c>
      <c r="H78" s="773">
        <f>IF([7]Vagt!H22&lt;&gt;"",[7]Vagt!H22,"")</f>
        <v>0</v>
      </c>
      <c r="I78" s="772">
        <f>IF([7]Vagt!I22&lt;&gt;"",[7]Vagt!I22,"")</f>
        <v>53202</v>
      </c>
      <c r="J78" s="772">
        <f>IF([7]Vagt!J22&lt;&gt;"",[7]Vagt!J22,"")</f>
        <v>115</v>
      </c>
      <c r="K78" s="772">
        <f>IF([7]Vagt!K22&lt;&gt;"",[7]Vagt!K22,"")</f>
        <v>42370</v>
      </c>
      <c r="L78" s="783" t="str">
        <f>IF([7]Vagt!L22&lt;&gt;"",[7]Vagt!L22,"")</f>
        <v>Christianhavns bibliotek</v>
      </c>
      <c r="M78" s="785"/>
      <c r="N78" s="795">
        <f>IF([7]Vagt!N22&lt;&gt;"",[7]Vagt!N22,"")</f>
        <v>57487</v>
      </c>
      <c r="O78" s="297"/>
      <c r="P78" s="244"/>
      <c r="Q78" s="227"/>
    </row>
    <row r="79" spans="1:17">
      <c r="A79" s="772">
        <f>IF([7]Vagt!A23&lt;&gt;"",[7]Vagt!A23,"")</f>
        <v>62300</v>
      </c>
      <c r="B79" s="772">
        <f>IF([7]Vagt!B23&lt;&gt;"",[7]Vagt!B23,"")</f>
        <v>121</v>
      </c>
      <c r="C79" s="781">
        <f>IF([7]Vagt!C23&lt;&gt;"",[7]Vagt!C23,"")</f>
        <v>39264</v>
      </c>
      <c r="D79" s="783" t="str">
        <f>IF([7]Vagt!D23&lt;&gt;"",[7]Vagt!D23,"")</f>
        <v>Griffenfeldsgade 44</v>
      </c>
      <c r="E79" s="785"/>
      <c r="F79" s="795">
        <f>IF([7]Vagt!F23&lt;&gt;"",[7]Vagt!F23,"")</f>
        <v>107086</v>
      </c>
      <c r="G79" s="773">
        <f>IF([7]Vagt!G23&lt;&gt;"",[7]Vagt!G23,"")</f>
        <v>797739</v>
      </c>
      <c r="H79" s="773">
        <f>IF([7]Vagt!H23&lt;&gt;"",[7]Vagt!H23,"")</f>
        <v>0</v>
      </c>
      <c r="I79" s="772">
        <f>IF([7]Vagt!I23&lt;&gt;"",[7]Vagt!I23,"")</f>
        <v>38910</v>
      </c>
      <c r="J79" s="772" t="str">
        <f>IF([7]Vagt!J23&lt;&gt;"",[7]Vagt!J23,"")</f>
        <v>747b</v>
      </c>
      <c r="K79" s="772">
        <f>IF([7]Vagt!K23&lt;&gt;"",[7]Vagt!K23,"")</f>
        <v>38047</v>
      </c>
      <c r="L79" s="783" t="str">
        <f>IF([7]Vagt!L23&lt;&gt;"",[7]Vagt!L23,"")</f>
        <v xml:space="preserve">Brønshøjvej 17 - 19, Tandlæge  </v>
      </c>
      <c r="M79" s="785"/>
      <c r="N79" s="795">
        <f>IF([7]Vagt!N23&lt;&gt;"",[7]Vagt!N23,"")</f>
        <v>21345</v>
      </c>
      <c r="O79" s="297"/>
      <c r="P79" s="244"/>
      <c r="Q79" s="227"/>
    </row>
    <row r="80" spans="1:17">
      <c r="A80" s="772">
        <f>IF([7]Vagt!A24&lt;&gt;"",[7]Vagt!A24,"")</f>
        <v>38450</v>
      </c>
      <c r="B80" s="772">
        <f>IF([7]Vagt!B24&lt;&gt;"",[7]Vagt!B24,"")</f>
        <v>122</v>
      </c>
      <c r="C80" s="781">
        <f>IF([7]Vagt!C24&lt;&gt;"",[7]Vagt!C24,"")</f>
        <v>39264</v>
      </c>
      <c r="D80" s="783" t="str">
        <f>IF([7]Vagt!D24&lt;&gt;"",[7]Vagt!D24,"")</f>
        <v>Kapelvej 47</v>
      </c>
      <c r="E80" s="785"/>
      <c r="F80" s="795">
        <f>IF([7]Vagt!F24&lt;&gt;"",[7]Vagt!F24,"")</f>
        <v>20179</v>
      </c>
      <c r="G80" s="773">
        <f>IF([7]Vagt!G24&lt;&gt;"",[7]Vagt!G24,"")</f>
        <v>797740</v>
      </c>
      <c r="H80" s="773">
        <f>IF([7]Vagt!H24&lt;&gt;"",[7]Vagt!H24,"")</f>
        <v>0</v>
      </c>
      <c r="I80" s="772">
        <f>IF([7]Vagt!I24&lt;&gt;"",[7]Vagt!I24,"")</f>
        <v>50005</v>
      </c>
      <c r="J80" s="772">
        <f>IF([7]Vagt!J24&lt;&gt;"",[7]Vagt!J24,"")</f>
        <v>147</v>
      </c>
      <c r="K80" s="772">
        <f>IF([7]Vagt!K24&lt;&gt;"",[7]Vagt!K24,"")</f>
        <v>40664</v>
      </c>
      <c r="L80" s="783" t="str">
        <f>IF([7]Vagt!L24&lt;&gt;"",[7]Vagt!L24,"")</f>
        <v xml:space="preserve">ØK-KBS- Nørre Søgade 35                                         </v>
      </c>
      <c r="M80" s="785"/>
      <c r="N80" s="795">
        <f>IF([7]Vagt!N24&lt;&gt;"",[7]Vagt!N24,"")</f>
        <v>77025</v>
      </c>
      <c r="O80" s="297"/>
      <c r="P80" s="244"/>
      <c r="Q80" s="227"/>
    </row>
    <row r="81" spans="1:17">
      <c r="A81" s="772">
        <f>IF([7]Vagt!A25&lt;&gt;"",[7]Vagt!A25,"")</f>
        <v>60126</v>
      </c>
      <c r="B81" s="772">
        <f>IF([7]Vagt!B25&lt;&gt;"",[7]Vagt!B25,"")</f>
        <v>128</v>
      </c>
      <c r="C81" s="781">
        <f>IF([7]Vagt!C25&lt;&gt;"",[7]Vagt!C25,"")</f>
        <v>39815</v>
      </c>
      <c r="D81" s="783" t="str">
        <f>IF([7]Vagt!D25&lt;&gt;"",[7]Vagt!D25,"")</f>
        <v>Bernstorffshus  (Ruth Denise Hansen)</v>
      </c>
      <c r="E81" s="785"/>
      <c r="F81" s="795">
        <f>IF([7]Vagt!F25&lt;&gt;"",[7]Vagt!F25,"")</f>
        <v>191253</v>
      </c>
      <c r="G81" s="773">
        <f>IF([7]Vagt!G25&lt;&gt;"",[7]Vagt!G25,"")</f>
        <v>797741</v>
      </c>
      <c r="H81" s="773" t="str">
        <f>IF([7]Vagt!H25&lt;&gt;"",[7]Vagt!H25,"")</f>
        <v>Fordeling</v>
      </c>
      <c r="I81" s="772">
        <f>IF([7]Vagt!I25&lt;&gt;"",[7]Vagt!I25,"")</f>
        <v>38100</v>
      </c>
      <c r="J81" s="772">
        <f>IF([7]Vagt!J25&lt;&gt;"",[7]Vagt!J25,"")</f>
        <v>155</v>
      </c>
      <c r="K81" s="772">
        <f>IF([7]Vagt!K25&lt;&gt;"",[7]Vagt!K25,"")</f>
        <v>42370</v>
      </c>
      <c r="L81" s="783" t="str">
        <f>IF([7]Vagt!L25&lt;&gt;"",[7]Vagt!L25,"")</f>
        <v>Lyongade 25, stuen og 2. sal (BUF)</v>
      </c>
      <c r="M81" s="785"/>
      <c r="N81" s="795">
        <f>IF([7]Vagt!N25&lt;&gt;"",[7]Vagt!N25,"")</f>
        <v>59243</v>
      </c>
      <c r="O81" s="297"/>
      <c r="P81" s="244"/>
      <c r="Q81" s="227"/>
    </row>
    <row r="82" spans="1:17">
      <c r="A82" s="772">
        <f>IF([7]Vagt!A26&lt;&gt;"",[7]Vagt!A26,"")</f>
        <v>64715</v>
      </c>
      <c r="B82" s="772">
        <f>IF([7]Vagt!B26&lt;&gt;"",[7]Vagt!B26,"")</f>
        <v>161</v>
      </c>
      <c r="C82" s="781">
        <f>IF([7]Vagt!C26&lt;&gt;"",[7]Vagt!C26,"")</f>
        <v>42485</v>
      </c>
      <c r="D82" s="783" t="str">
        <f>IF([7]Vagt!D26&lt;&gt;"",[7]Vagt!D26,"")</f>
        <v>SOF- Sundholmsvej 40(2017 172.462+fremskriv)</v>
      </c>
      <c r="E82" s="785"/>
      <c r="F82" s="795">
        <f>IF([7]Vagt!F26&lt;&gt;"",[7]Vagt!F26,"")</f>
        <v>117807</v>
      </c>
      <c r="G82" s="773">
        <f>IF([7]Vagt!G26&lt;&gt;"",[7]Vagt!G26,"")</f>
        <v>833103</v>
      </c>
      <c r="H82" s="801" t="str">
        <f>IF([7]Vagt!H26&lt;&gt;"",[7]Vagt!H26,"")</f>
        <v>43,37 %</v>
      </c>
      <c r="I82" s="802">
        <f>IF([7]Vagt!I26&lt;&gt;"",[7]Vagt!I26,"")</f>
        <v>31404</v>
      </c>
      <c r="J82" s="802">
        <f>IF([7]Vagt!J26&lt;&gt;"",[7]Vagt!J26,"")</f>
        <v>758</v>
      </c>
      <c r="K82" s="802">
        <f>IF([7]Vagt!K26&lt;&gt;"",[7]Vagt!K26,"")</f>
        <v>37500</v>
      </c>
      <c r="L82" s="804" t="str">
        <f>IF([7]Vagt!L26&lt;&gt;"",[7]Vagt!L26,"")</f>
        <v xml:space="preserve">Jemtelandgade 3 KKU                                                </v>
      </c>
      <c r="M82" s="805"/>
      <c r="N82" s="807">
        <f>IF([7]Vagt!N26&lt;&gt;"",[7]Vagt!N26,"")</f>
        <v>48768</v>
      </c>
      <c r="O82" s="803"/>
      <c r="P82" s="244"/>
      <c r="Q82" s="227"/>
    </row>
    <row r="83" spans="1:17">
      <c r="A83" s="772">
        <f>IF([7]Vagt!A27&lt;&gt;"",[7]Vagt!A27,"")</f>
        <v>69707</v>
      </c>
      <c r="B83" s="772">
        <f>IF([7]Vagt!B27&lt;&gt;"",[7]Vagt!B27,"")</f>
        <v>130</v>
      </c>
      <c r="C83" s="781">
        <f>IF([7]Vagt!C27&lt;&gt;"",[7]Vagt!C27,"")</f>
        <v>39918</v>
      </c>
      <c r="D83" s="783" t="str">
        <f>IF([7]Vagt!D27&lt;&gt;"",[7]Vagt!D27,"")</f>
        <v>Rådhuspladsen 77, 1+2. sal (Carsten Pauli Hansen)</v>
      </c>
      <c r="E83" s="785"/>
      <c r="F83" s="795">
        <f>IF([7]Vagt!F27&lt;&gt;"",[7]Vagt!F27,"")</f>
        <v>31872</v>
      </c>
      <c r="G83" s="773">
        <f>IF([7]Vagt!G27&lt;&gt;"",[7]Vagt!G27,"")</f>
        <v>797742</v>
      </c>
      <c r="H83" s="801" t="str">
        <f>IF([7]Vagt!H27&lt;&gt;"",[7]Vagt!H27,"")</f>
        <v>18,16%</v>
      </c>
      <c r="I83" s="802">
        <f>IF([7]Vagt!I27&lt;&gt;"",[7]Vagt!I27,"")</f>
        <v>51302</v>
      </c>
      <c r="J83" s="802">
        <f>IF([7]Vagt!J27&lt;&gt;"",[7]Vagt!J27,"")</f>
        <v>114</v>
      </c>
      <c r="K83" s="802">
        <f>IF([7]Vagt!K27&lt;&gt;"",[7]Vagt!K27,"")</f>
        <v>40544</v>
      </c>
      <c r="L83" s="804" t="str">
        <f>IF([7]Vagt!L27&lt;&gt;"",[7]Vagt!L27,"")</f>
        <v xml:space="preserve">Jemtelandgade 3 Kvarterløft                                        </v>
      </c>
      <c r="M83" s="805"/>
      <c r="N83" s="807">
        <f>IF([7]Vagt!N27&lt;&gt;"",[7]Vagt!N27,"")</f>
        <v>20417</v>
      </c>
      <c r="O83" s="803"/>
      <c r="P83" s="244"/>
      <c r="Q83" s="227"/>
    </row>
    <row r="84" spans="1:17">
      <c r="A84" s="772">
        <f>IF([7]Vagt!A28&lt;&gt;"",[7]Vagt!A28,"")</f>
        <v>53106</v>
      </c>
      <c r="B84" s="772">
        <f>IF([7]Vagt!B28&lt;&gt;"",[7]Vagt!B28,"")</f>
        <v>123</v>
      </c>
      <c r="C84" s="781" t="str">
        <f>IF([7]Vagt!C28&lt;&gt;"",[7]Vagt!C28,"")</f>
        <v>01-02.2015</v>
      </c>
      <c r="D84" s="783" t="str">
        <f>IF([7]Vagt!D28&lt;&gt;"",[7]Vagt!D28,"")</f>
        <v>Bibliotek Blågårds Plads 5(opsagt af os)</v>
      </c>
      <c r="E84" s="785"/>
      <c r="F84" s="795">
        <f>IF([7]Vagt!F28&lt;&gt;"",[7]Vagt!F28,"")</f>
        <v>0</v>
      </c>
      <c r="G84" s="773">
        <f>IF([7]Vagt!G28&lt;&gt;"",[7]Vagt!G28,"")</f>
        <v>0</v>
      </c>
      <c r="H84" s="801" t="str">
        <f>IF([7]Vagt!H28&lt;&gt;"",[7]Vagt!H28,"")</f>
        <v>38,47 %</v>
      </c>
      <c r="I84" s="802">
        <f>IF([7]Vagt!I28&lt;&gt;"",[7]Vagt!I28,"")</f>
        <v>53204</v>
      </c>
      <c r="J84" s="802">
        <f>IF([7]Vagt!J28&lt;&gt;"",[7]Vagt!J28,"")</f>
        <v>114</v>
      </c>
      <c r="K84" s="802">
        <f>IF([7]Vagt!K28&lt;&gt;"",[7]Vagt!K28,"")</f>
        <v>40544</v>
      </c>
      <c r="L84" s="804" t="str">
        <f>IF([7]Vagt!L28&lt;&gt;"",[7]Vagt!L28,"")</f>
        <v xml:space="preserve">Jemtelandgade 3 bibliotek                                           </v>
      </c>
      <c r="M84" s="805"/>
      <c r="N84" s="807">
        <f>IF([7]Vagt!N28&lt;&gt;"",[7]Vagt!N28,"")</f>
        <v>43405</v>
      </c>
      <c r="O84" s="803"/>
      <c r="P84" s="244"/>
      <c r="Q84" s="227"/>
    </row>
    <row r="85" spans="1:17">
      <c r="A85" s="772">
        <f>IF([7]Vagt!A29&lt;&gt;"",[7]Vagt!A29,"")</f>
        <v>17116</v>
      </c>
      <c r="B85" s="772">
        <f>IF([7]Vagt!B29&lt;&gt;"",[7]Vagt!B29,"")</f>
        <v>132</v>
      </c>
      <c r="C85" s="781">
        <f>IF([7]Vagt!C29&lt;&gt;"",[7]Vagt!C29,"")</f>
        <v>40057</v>
      </c>
      <c r="D85" s="783" t="str">
        <f>IF([7]Vagt!D29&lt;&gt;"",[7]Vagt!D29,"")</f>
        <v>Hans Nansens Gård (Kejd)(FM)</v>
      </c>
      <c r="E85" s="785"/>
      <c r="F85" s="795">
        <f>IF([7]Vagt!F29&lt;&gt;"",[7]Vagt!F29,"")</f>
        <v>194810</v>
      </c>
      <c r="G85" s="773">
        <f>IF([7]Vagt!G29&lt;&gt;"",[7]Vagt!G29,"")</f>
        <v>797743</v>
      </c>
      <c r="H85" s="773">
        <f>IF([7]Vagt!H29&lt;&gt;"",[7]Vagt!H29,"")</f>
        <v>0</v>
      </c>
      <c r="I85" s="772">
        <f>IF([7]Vagt!I29&lt;&gt;"",[7]Vagt!I29,"")</f>
        <v>62200</v>
      </c>
      <c r="J85" s="772">
        <f>IF([7]Vagt!J29&lt;&gt;"",[7]Vagt!J29,"")</f>
        <v>149</v>
      </c>
      <c r="K85" s="772">
        <f>IF([7]Vagt!K29&lt;&gt;"",[7]Vagt!K29,"")</f>
        <v>40544</v>
      </c>
      <c r="L85" s="783" t="str">
        <f>IF([7]Vagt!L29&lt;&gt;"",[7]Vagt!L29,"")</f>
        <v xml:space="preserve">Spaniensgade 25, Borgercenter handicap                           </v>
      </c>
      <c r="M85" s="785"/>
      <c r="N85" s="795">
        <f>IF([7]Vagt!N29&lt;&gt;"",[7]Vagt!N29,"")</f>
        <v>53541</v>
      </c>
      <c r="O85" s="703"/>
      <c r="P85" s="244"/>
      <c r="Q85" s="227"/>
    </row>
    <row r="86" spans="1:17">
      <c r="A86" s="772">
        <f>IF([7]Vagt!A30&lt;&gt;"",[7]Vagt!A30,"")</f>
        <v>0</v>
      </c>
      <c r="B86" s="772">
        <f>IF([7]Vagt!B30&lt;&gt;"",[7]Vagt!B30,"")</f>
        <v>0</v>
      </c>
      <c r="C86" s="781">
        <f>IF([7]Vagt!C30&lt;&gt;"",[7]Vagt!C30,"")</f>
        <v>39448</v>
      </c>
      <c r="D86" s="783" t="str">
        <f>IF([7]Vagt!D30&lt;&gt;"",[7]Vagt!D30,"")</f>
        <v xml:space="preserve">Stormgade 18 (BUF)(fraflyttet 1-3-15-) </v>
      </c>
      <c r="E86" s="785"/>
      <c r="F86" s="795">
        <f>IF([7]Vagt!F30&lt;&gt;"",[7]Vagt!F30,"")</f>
        <v>0</v>
      </c>
      <c r="G86" s="773">
        <f>IF([7]Vagt!G30&lt;&gt;"",[7]Vagt!G30,"")</f>
        <v>0</v>
      </c>
      <c r="H86" s="773">
        <f>IF([7]Vagt!H30&lt;&gt;"",[7]Vagt!H30,"")</f>
        <v>0</v>
      </c>
      <c r="I86" s="772">
        <f>IF([7]Vagt!I30&lt;&gt;"",[7]Vagt!I30,"")</f>
        <v>62300</v>
      </c>
      <c r="J86" s="772">
        <f>IF([7]Vagt!J30&lt;&gt;"",[7]Vagt!J30,"")</f>
        <v>148</v>
      </c>
      <c r="K86" s="772">
        <f>IF([7]Vagt!K30&lt;&gt;"",[7]Vagt!K30,"")</f>
        <v>42005</v>
      </c>
      <c r="L86" s="783" t="str">
        <f>IF([7]Vagt!L30&lt;&gt;"",[7]Vagt!L30,"")</f>
        <v xml:space="preserve">Lyongade 25, 3. sal BFCK-Amager vest                              </v>
      </c>
      <c r="M86" s="785"/>
      <c r="N86" s="795">
        <f>IF([7]Vagt!N30&lt;&gt;"",[7]Vagt!N30,"")</f>
        <v>59243</v>
      </c>
      <c r="O86" s="703"/>
      <c r="P86" s="244"/>
      <c r="Q86" s="227"/>
    </row>
    <row r="87" spans="1:17">
      <c r="A87" s="772">
        <f>IF([7]Vagt!A31&lt;&gt;"",[7]Vagt!A31,"")</f>
        <v>22530</v>
      </c>
      <c r="B87" s="772">
        <f>IF([7]Vagt!B31&lt;&gt;"",[7]Vagt!B31,"")</f>
        <v>159</v>
      </c>
      <c r="C87" s="781">
        <f>IF([7]Vagt!C31&lt;&gt;"",[7]Vagt!C31,"")</f>
        <v>42415</v>
      </c>
      <c r="D87" s="783" t="str">
        <f>IF([7]Vagt!D31&lt;&gt;"",[7]Vagt!D31,"")</f>
        <v>SUF Randersgade 60</v>
      </c>
      <c r="E87" s="785"/>
      <c r="F87" s="795">
        <f>IF([7]Vagt!F31&lt;&gt;"",[7]Vagt!F31,"")</f>
        <v>50642</v>
      </c>
      <c r="G87" s="773" t="str">
        <f>IF([7]Vagt!G31&lt;&gt;"",[7]Vagt!G31,"")</f>
        <v>2017= 57875</v>
      </c>
      <c r="H87" s="773">
        <f>IF([7]Vagt!H31&lt;&gt;"",[7]Vagt!H31,"")</f>
        <v>0</v>
      </c>
      <c r="I87" s="772">
        <f>IF([7]Vagt!I31&lt;&gt;"",[7]Vagt!I31,"")</f>
        <v>40530</v>
      </c>
      <c r="J87" s="772">
        <f>IF([7]Vagt!J31&lt;&gt;"",[7]Vagt!J31,"")</f>
        <v>900</v>
      </c>
      <c r="K87" s="772">
        <f>IF([7]Vagt!K31&lt;&gt;"",[7]Vagt!K31,"")</f>
        <v>38353</v>
      </c>
      <c r="L87" s="783" t="str">
        <f>IF([7]Vagt!L31&lt;&gt;"",[7]Vagt!L31,"")</f>
        <v xml:space="preserve">Miljøkontrollen (tlf. eksp.)                                            </v>
      </c>
      <c r="M87" s="785"/>
      <c r="N87" s="795">
        <f>IF([7]Vagt!N31&lt;&gt;"",[7]Vagt!N31,"")</f>
        <v>4500</v>
      </c>
      <c r="O87" s="798"/>
      <c r="P87" s="244"/>
      <c r="Q87" s="227"/>
    </row>
    <row r="88" spans="1:17">
      <c r="A88" s="772">
        <f>IF([7]Vagt!A32&lt;&gt;"",[7]Vagt!A32,"")</f>
        <v>62200</v>
      </c>
      <c r="B88" s="772">
        <f>IF([7]Vagt!B32&lt;&gt;"",[7]Vagt!B32,"")</f>
        <v>127</v>
      </c>
      <c r="C88" s="781">
        <f>IF([7]Vagt!C32&lt;&gt;"",[7]Vagt!C32,"")</f>
        <v>41275</v>
      </c>
      <c r="D88" s="783" t="str">
        <f>IF([7]Vagt!D32&lt;&gt;"",[7]Vagt!D32,"")</f>
        <v>Matthæusgade 1</v>
      </c>
      <c r="E88" s="785"/>
      <c r="F88" s="795">
        <f>IF([7]Vagt!F32&lt;&gt;"",[7]Vagt!F32,"")</f>
        <v>90586</v>
      </c>
      <c r="G88" s="773">
        <f>IF([7]Vagt!G32&lt;&gt;"",[7]Vagt!G32,"")</f>
        <v>797744</v>
      </c>
      <c r="H88" s="773">
        <f>IF([7]Vagt!H32&lt;&gt;"",[7]Vagt!H32,"")</f>
        <v>0</v>
      </c>
      <c r="I88" s="772">
        <f>IF([7]Vagt!I32&lt;&gt;"",[7]Vagt!I32,"")</f>
        <v>38400</v>
      </c>
      <c r="J88" s="772">
        <f>IF([7]Vagt!J32&lt;&gt;"",[7]Vagt!J32,"")</f>
        <v>138</v>
      </c>
      <c r="K88" s="772">
        <f>IF([7]Vagt!K32&lt;&gt;"",[7]Vagt!K32,"")</f>
        <v>41640</v>
      </c>
      <c r="L88" s="783" t="str">
        <f>IF([7]Vagt!L32&lt;&gt;"",[7]Vagt!L32,"")</f>
        <v xml:space="preserve">BUF-Linde Alle 40-44                                                  </v>
      </c>
      <c r="M88" s="785"/>
      <c r="N88" s="795">
        <f>IF([7]Vagt!N32&lt;&gt;"",[7]Vagt!N32,"")</f>
        <v>41740</v>
      </c>
      <c r="O88" s="798"/>
      <c r="P88" s="244"/>
      <c r="Q88" s="227"/>
    </row>
    <row r="89" spans="1:17">
      <c r="A89" s="772">
        <f>IF([7]Vagt!A33&lt;&gt;"",[7]Vagt!A33,"")</f>
        <v>39610</v>
      </c>
      <c r="B89" s="772">
        <f>IF([7]Vagt!B33&lt;&gt;"",[7]Vagt!B33,"")</f>
        <v>153</v>
      </c>
      <c r="C89" s="781">
        <f>IF([7]Vagt!C33&lt;&gt;"",[7]Vagt!C33,"")</f>
        <v>41275</v>
      </c>
      <c r="D89" s="783" t="str">
        <f>IF([7]Vagt!D33&lt;&gt;"",[7]Vagt!D33,"")</f>
        <v>BUF Skolesupport</v>
      </c>
      <c r="E89" s="785"/>
      <c r="F89" s="795">
        <f>IF([7]Vagt!F33&lt;&gt;"",[7]Vagt!F33,"")</f>
        <v>168081</v>
      </c>
      <c r="G89" s="773">
        <f>IF([7]Vagt!G33&lt;&gt;"",[7]Vagt!G33,"")</f>
        <v>797745</v>
      </c>
      <c r="H89" s="773">
        <f>IF([7]Vagt!H33&lt;&gt;"",[7]Vagt!H33,"")</f>
        <v>0</v>
      </c>
      <c r="I89" s="772">
        <f>IF([7]Vagt!I33&lt;&gt;"",[7]Vagt!I33,"")</f>
        <v>51308</v>
      </c>
      <c r="J89" s="772">
        <f>IF([7]Vagt!J33&lt;&gt;"",[7]Vagt!J33,"")</f>
        <v>158</v>
      </c>
      <c r="K89" s="772">
        <f>IF([7]Vagt!K33&lt;&gt;"",[7]Vagt!K33,"")</f>
        <v>41640</v>
      </c>
      <c r="L89" s="783" t="str">
        <f>IF([7]Vagt!L33&lt;&gt;"",[7]Vagt!L33,"")</f>
        <v xml:space="preserve">Lyrskovgade 4                           </v>
      </c>
      <c r="M89" s="785"/>
      <c r="N89" s="795">
        <f>IF([7]Vagt!N33&lt;&gt;"",[7]Vagt!N33,"")</f>
        <v>87671</v>
      </c>
      <c r="O89" s="798"/>
      <c r="P89" s="244"/>
      <c r="Q89" s="227"/>
    </row>
    <row r="90" spans="1:17">
      <c r="A90" s="772">
        <f>IF([7]Vagt!A34&lt;&gt;"",[7]Vagt!A34,"")</f>
        <v>52319</v>
      </c>
      <c r="B90" s="772">
        <f>IF([7]Vagt!B34&lt;&gt;"",[7]Vagt!B34,"")</f>
        <v>154</v>
      </c>
      <c r="C90" s="781">
        <f>IF([7]Vagt!C34&lt;&gt;"",[7]Vagt!C34,"")</f>
        <v>41640</v>
      </c>
      <c r="D90" s="783" t="str">
        <f>IF([7]Vagt!D34&lt;&gt;"",[7]Vagt!D34,"")</f>
        <v>KFF Biblioteket Njalsgade (Rasmus M. Niel)</v>
      </c>
      <c r="E90" s="785"/>
      <c r="F90" s="795">
        <f>IF([7]Vagt!F34&lt;&gt;"",[7]Vagt!F34,"")</f>
        <v>40260</v>
      </c>
      <c r="G90" s="773">
        <f>IF([7]Vagt!G34&lt;&gt;"",[7]Vagt!G34,"")</f>
        <v>797746</v>
      </c>
      <c r="H90" s="773">
        <f>IF([7]Vagt!H34&lt;&gt;"",[7]Vagt!H34,"")</f>
        <v>0</v>
      </c>
      <c r="I90" s="772">
        <f>IF([7]Vagt!I34&lt;&gt;"",[7]Vagt!I34,"")</f>
        <v>55020</v>
      </c>
      <c r="J90" s="772">
        <f>IF([7]Vagt!J34&lt;&gt;"",[7]Vagt!J34,"")</f>
        <v>115</v>
      </c>
      <c r="K90" s="772">
        <f>IF([7]Vagt!K34&lt;&gt;"",[7]Vagt!K34,"")</f>
        <v>41456</v>
      </c>
      <c r="L90" s="783" t="str">
        <f>IF([7]Vagt!L34&lt;&gt;"",[7]Vagt!L34,"")</f>
        <v xml:space="preserve">ØK-Borgerservice, Gyldenløvesgade 11                        </v>
      </c>
      <c r="M90" s="785"/>
      <c r="N90" s="795">
        <f>IF([7]Vagt!N34&lt;&gt;"",[7]Vagt!N34,"")</f>
        <v>30193</v>
      </c>
      <c r="O90" s="329"/>
      <c r="P90" s="244"/>
      <c r="Q90" s="227"/>
    </row>
    <row r="91" spans="1:17">
      <c r="A91" s="772">
        <f>IF([7]Vagt!A35&lt;&gt;"",[7]Vagt!A35,"")</f>
        <v>28100</v>
      </c>
      <c r="B91" s="772">
        <f>IF([7]Vagt!B35&lt;&gt;"",[7]Vagt!B35,"")</f>
        <v>728</v>
      </c>
      <c r="C91" s="781">
        <f>IF([7]Vagt!C35&lt;&gt;"",[7]Vagt!C35,"")</f>
        <v>38846</v>
      </c>
      <c r="D91" s="783" t="str">
        <f>IF([7]Vagt!D35&lt;&gt;"",[7]Vagt!D35,"")</f>
        <v>Enghavevej  (Frits Nielsen)</v>
      </c>
      <c r="E91" s="785"/>
      <c r="F91" s="795">
        <f>IF([7]Vagt!F35&lt;&gt;"",[7]Vagt!F35,"")</f>
        <v>78911</v>
      </c>
      <c r="G91" s="773">
        <f>IF([7]Vagt!G35&lt;&gt;"",[7]Vagt!G35,"")</f>
        <v>797747</v>
      </c>
      <c r="H91" s="773">
        <f>IF([7]Vagt!H35&lt;&gt;"",[7]Vagt!H35,"")</f>
        <v>0</v>
      </c>
      <c r="I91" s="772">
        <f>IF([7]Vagt!I35&lt;&gt;"",[7]Vagt!I35,"")</f>
        <v>17116</v>
      </c>
      <c r="J91" s="772">
        <f>IF([7]Vagt!J35&lt;&gt;"",[7]Vagt!J35,"")</f>
        <v>110</v>
      </c>
      <c r="K91" s="772">
        <f>IF([7]Vagt!K35&lt;&gt;"",[7]Vagt!K35,"")</f>
        <v>41456</v>
      </c>
      <c r="L91" s="783" t="str">
        <f>IF([7]Vagt!L35&lt;&gt;"",[7]Vagt!L35,"")</f>
        <v xml:space="preserve">Konernservice- Fuglebakken, Borups Alle 177               </v>
      </c>
      <c r="M91" s="785"/>
      <c r="N91" s="795">
        <f>IF([7]Vagt!N35&lt;&gt;"",[7]Vagt!N35,"")</f>
        <v>181173</v>
      </c>
      <c r="O91" s="329"/>
      <c r="P91" s="244"/>
      <c r="Q91" s="227"/>
    </row>
    <row r="92" spans="1:17">
      <c r="A92" s="772">
        <f>IF([7]Vagt!A36&lt;&gt;"",[7]Vagt!A36,"")</f>
        <v>82500</v>
      </c>
      <c r="B92" s="772">
        <f>IF([7]Vagt!B36&lt;&gt;"",[7]Vagt!B36,"")</f>
        <v>151</v>
      </c>
      <c r="C92" s="781">
        <f>IF([7]Vagt!C36&lt;&gt;"",[7]Vagt!C36,"")</f>
        <v>40603</v>
      </c>
      <c r="D92" s="783" t="str">
        <f>IF([7]Vagt!D36&lt;&gt;"",[7]Vagt!D36,"")</f>
        <v>BIF-Baldersgade 24  (Thomas D. Waarkjær)</v>
      </c>
      <c r="E92" s="785"/>
      <c r="F92" s="795">
        <f>IF([7]Vagt!F36&lt;&gt;"",[7]Vagt!F36,"")</f>
        <v>101486</v>
      </c>
      <c r="G92" s="773">
        <f>IF([7]Vagt!G36&lt;&gt;"",[7]Vagt!G36,"")</f>
        <v>797748</v>
      </c>
      <c r="H92" s="773">
        <f>IF([7]Vagt!H36&lt;&gt;"",[7]Vagt!H36,"")</f>
        <v>0</v>
      </c>
      <c r="I92" s="772">
        <f>IF([7]Vagt!I36&lt;&gt;"",[7]Vagt!I36,"")</f>
        <v>20100</v>
      </c>
      <c r="J92" s="806" t="str">
        <f>IF([7]Vagt!J36&lt;&gt;"",[7]Vagt!J36,"")</f>
        <v>Rådhuset</v>
      </c>
      <c r="K92" s="772">
        <f>IF([7]Vagt!K36&lt;&gt;"",[7]Vagt!K36,"")</f>
        <v>40179</v>
      </c>
      <c r="L92" s="783" t="str">
        <f>IF([7]Vagt!L36&lt;&gt;"",[7]Vagt!L36,"")</f>
        <v xml:space="preserve">SUF                  (Tanja K. Lund)                                  </v>
      </c>
      <c r="M92" s="785"/>
      <c r="N92" s="795">
        <f>IF([7]Vagt!N36&lt;&gt;"",[7]Vagt!N36,"")</f>
        <v>603446</v>
      </c>
      <c r="O92" s="329"/>
      <c r="P92" s="244"/>
      <c r="Q92" s="227"/>
    </row>
    <row r="93" spans="1:17">
      <c r="A93" s="772">
        <f>IF([7]Vagt!A37&lt;&gt;"",[7]Vagt!A37,"")</f>
        <v>82505</v>
      </c>
      <c r="B93" s="772">
        <f>IF([7]Vagt!B37&lt;&gt;"",[7]Vagt!B37,"")</f>
        <v>152</v>
      </c>
      <c r="C93" s="781">
        <f>IF([7]Vagt!C37&lt;&gt;"",[7]Vagt!C37,"")</f>
        <v>40603</v>
      </c>
      <c r="D93" s="783" t="str">
        <f>IF([7]Vagt!D37&lt;&gt;"",[7]Vagt!D37,"")</f>
        <v>BIF-Baldersgade 3B, 1. + 3. sal</v>
      </c>
      <c r="E93" s="785"/>
      <c r="F93" s="795">
        <f>IF([7]Vagt!F37&lt;&gt;"",[7]Vagt!F37,"")</f>
        <v>44559</v>
      </c>
      <c r="G93" s="773">
        <f>IF([7]Vagt!G37&lt;&gt;"",[7]Vagt!G37,"")</f>
        <v>797749</v>
      </c>
      <c r="H93" s="773">
        <f>IF([7]Vagt!H37&lt;&gt;"",[7]Vagt!H37,"")</f>
        <v>0</v>
      </c>
      <c r="I93" s="772">
        <f>IF([7]Vagt!I37&lt;&gt;"",[7]Vagt!I37,"")</f>
        <v>80005</v>
      </c>
      <c r="J93" s="806" t="str">
        <f>IF([7]Vagt!J37&lt;&gt;"",[7]Vagt!J37,"")</f>
        <v>Rådhuset</v>
      </c>
      <c r="K93" s="772">
        <f>IF([7]Vagt!K37&lt;&gt;"",[7]Vagt!K37,"")</f>
        <v>40179</v>
      </c>
      <c r="L93" s="783" t="str">
        <f>IF([7]Vagt!L37&lt;&gt;"",[7]Vagt!L37,"")</f>
        <v xml:space="preserve">BIF                                                                          </v>
      </c>
      <c r="M93" s="785"/>
      <c r="N93" s="795">
        <f>IF([7]Vagt!N37&lt;&gt;"",[7]Vagt!N37,"")</f>
        <v>540803</v>
      </c>
      <c r="O93" s="297"/>
      <c r="P93" s="244"/>
      <c r="Q93" s="227"/>
    </row>
    <row r="94" spans="1:17">
      <c r="A94" s="772">
        <f>IF([7]Vagt!A38&lt;&gt;"",[7]Vagt!A38,"")</f>
        <v>82106</v>
      </c>
      <c r="B94" s="772">
        <f>IF([7]Vagt!B38&lt;&gt;"",[7]Vagt!B38,"")</f>
        <v>0</v>
      </c>
      <c r="C94" s="781">
        <f>IF([7]Vagt!C38&lt;&gt;"",[7]Vagt!C38,"")</f>
        <v>42491</v>
      </c>
      <c r="D94" s="783" t="str">
        <f>IF([7]Vagt!D38&lt;&gt;"",[7]Vagt!D38,"")</f>
        <v xml:space="preserve">BIF- Ottiliavej </v>
      </c>
      <c r="E94" s="785"/>
      <c r="F94" s="795">
        <f>IF([7]Vagt!F38&lt;&gt;"",[7]Vagt!F38,"")</f>
        <v>133333</v>
      </c>
      <c r="G94" s="773">
        <f>IF([7]Vagt!G38&lt;&gt;"",[7]Vagt!G38,"")</f>
        <v>852228</v>
      </c>
      <c r="H94" s="773" t="e">
        <f>IF([7]Vagt!H38&lt;&gt;"",[7]Vagt!H38,"")</f>
        <v>#REF!</v>
      </c>
      <c r="I94" s="772">
        <f>IF([7]Vagt!I38&lt;&gt;"",[7]Vagt!I38,"")</f>
        <v>39630</v>
      </c>
      <c r="J94" s="806" t="str">
        <f>IF([7]Vagt!J38&lt;&gt;"",[7]Vagt!J38,"")</f>
        <v>Rådhuset</v>
      </c>
      <c r="K94" s="772">
        <f>IF([7]Vagt!K38&lt;&gt;"",[7]Vagt!K38,"")</f>
        <v>40179</v>
      </c>
      <c r="L94" s="783" t="str">
        <f>IF([7]Vagt!L38&lt;&gt;"",[7]Vagt!L38,"")</f>
        <v xml:space="preserve">BUF                                                                          </v>
      </c>
      <c r="M94" s="785"/>
      <c r="N94" s="795">
        <f>IF([7]Vagt!N38&lt;&gt;"",[7]Vagt!N38,"")</f>
        <v>618513</v>
      </c>
      <c r="O94" s="799"/>
      <c r="P94" s="244"/>
      <c r="Q94" s="227"/>
    </row>
    <row r="95" spans="1:17">
      <c r="A95" s="772">
        <f>IF([7]Vagt!A39&lt;&gt;"",[7]Vagt!A39,"")</f>
        <v>62470</v>
      </c>
      <c r="B95" s="772">
        <f>IF([7]Vagt!B39&lt;&gt;"",[7]Vagt!B39,"")</f>
        <v>141</v>
      </c>
      <c r="C95" s="781">
        <f>IF([7]Vagt!C39&lt;&gt;"",[7]Vagt!C39,"")</f>
        <v>41640</v>
      </c>
      <c r="D95" s="783" t="str">
        <f>IF([7]Vagt!D39&lt;&gt;"",[7]Vagt!D39,"")</f>
        <v>SOF-Nørre Voldgade 15, 1.+5. sal (Avlastenok)</v>
      </c>
      <c r="E95" s="785"/>
      <c r="F95" s="795">
        <f>IF([7]Vagt!F39&lt;&gt;"",[7]Vagt!F39,"")</f>
        <v>24888</v>
      </c>
      <c r="G95" s="773">
        <f>IF([7]Vagt!G39&lt;&gt;"",[7]Vagt!G39,"")</f>
        <v>797750</v>
      </c>
      <c r="H95" s="773" t="str">
        <f>IF([7]Vagt!H39&lt;&gt;"",[7]Vagt!H39,"")</f>
        <v>17=29.036,-</v>
      </c>
      <c r="I95" s="772">
        <f>IF([7]Vagt!I39&lt;&gt;"",[7]Vagt!I39,"")</f>
        <v>49700</v>
      </c>
      <c r="J95" s="806" t="str">
        <f>IF([7]Vagt!J39&lt;&gt;"",[7]Vagt!J39,"")</f>
        <v>Rådhuset</v>
      </c>
      <c r="K95" s="772">
        <f>IF([7]Vagt!K39&lt;&gt;"",[7]Vagt!K39,"")</f>
        <v>40179</v>
      </c>
      <c r="L95" s="783" t="str">
        <f>IF([7]Vagt!L39&lt;&gt;"",[7]Vagt!L39,"")</f>
        <v xml:space="preserve">TMF                                                                          </v>
      </c>
      <c r="M95" s="785"/>
      <c r="N95" s="795">
        <f>IF([7]Vagt!N39&lt;&gt;"",[7]Vagt!N39,"")</f>
        <v>579866</v>
      </c>
      <c r="O95" s="799"/>
      <c r="P95" s="244"/>
      <c r="Q95" s="227"/>
    </row>
    <row r="96" spans="1:17">
      <c r="A96" s="772">
        <f>IF([7]Vagt!A40&lt;&gt;"",[7]Vagt!A40,"")</f>
        <v>37100</v>
      </c>
      <c r="B96" s="772">
        <f>IF([7]Vagt!B40&lt;&gt;"",[7]Vagt!B40,"")</f>
        <v>142</v>
      </c>
      <c r="C96" s="781">
        <f>IF([7]Vagt!C40&lt;&gt;"",[7]Vagt!C40,"")</f>
        <v>41640</v>
      </c>
      <c r="D96" s="783" t="str">
        <f>IF([7]Vagt!D40&lt;&gt;"",[7]Vagt!D40,"")</f>
        <v>BUF-Nørre Voldgade 15, 2.sal (Thuesen)</v>
      </c>
      <c r="E96" s="785"/>
      <c r="F96" s="795">
        <f>IF([7]Vagt!F40&lt;&gt;"",[7]Vagt!F40,"")</f>
        <v>24888</v>
      </c>
      <c r="G96" s="773">
        <f>IF([7]Vagt!G40&lt;&gt;"",[7]Vagt!G40,"")</f>
        <v>797751</v>
      </c>
      <c r="H96" s="773">
        <f>IF([7]Vagt!H40&lt;&gt;"",[7]Vagt!H40,"")</f>
        <v>0</v>
      </c>
      <c r="I96" s="772">
        <f>IF([7]Vagt!I40&lt;&gt;"",[7]Vagt!I40,"")</f>
        <v>60126</v>
      </c>
      <c r="J96" s="806" t="str">
        <f>IF([7]Vagt!J40&lt;&gt;"",[7]Vagt!J40,"")</f>
        <v>Rådhuset</v>
      </c>
      <c r="K96" s="772">
        <f>IF([7]Vagt!K40&lt;&gt;"",[7]Vagt!K40,"")</f>
        <v>40179</v>
      </c>
      <c r="L96" s="783" t="str">
        <f>IF([7]Vagt!L40&lt;&gt;"",[7]Vagt!L40,"")</f>
        <v xml:space="preserve">SOF                                                                          </v>
      </c>
      <c r="M96" s="785"/>
      <c r="N96" s="795">
        <f>IF([7]Vagt!N40&lt;&gt;"",[7]Vagt!N40,"")</f>
        <v>766501</v>
      </c>
      <c r="O96" s="799"/>
      <c r="P96" s="244"/>
      <c r="Q96" s="227"/>
    </row>
    <row r="97" spans="1:17">
      <c r="A97" s="772">
        <f>IF([7]Vagt!A41&lt;&gt;"",[7]Vagt!A41,"")</f>
        <v>33410</v>
      </c>
      <c r="B97" s="772">
        <f>IF([7]Vagt!B41&lt;&gt;"",[7]Vagt!B41,"")</f>
        <v>143</v>
      </c>
      <c r="C97" s="781">
        <f>IF([7]Vagt!C41&lt;&gt;"",[7]Vagt!C41,"")</f>
        <v>41640</v>
      </c>
      <c r="D97" s="783" t="str">
        <f>IF([7]Vagt!D41&lt;&gt;"",[7]Vagt!D41,"")</f>
        <v>BUF-Nørre Voldgade 15, 3. sal (Thor Larsen)</v>
      </c>
      <c r="E97" s="785"/>
      <c r="F97" s="795">
        <f>IF([7]Vagt!F41&lt;&gt;"",[7]Vagt!F41,"")</f>
        <v>24888</v>
      </c>
      <c r="G97" s="773">
        <f>IF([7]Vagt!G41&lt;&gt;"",[7]Vagt!G41,"")</f>
        <v>797752</v>
      </c>
      <c r="H97" s="773">
        <f>IF([7]Vagt!H41&lt;&gt;"",[7]Vagt!H41,"")</f>
        <v>0</v>
      </c>
      <c r="I97" s="772">
        <f>IF([7]Vagt!I41&lt;&gt;"",[7]Vagt!I41,"")</f>
        <v>11030</v>
      </c>
      <c r="J97" s="806" t="str">
        <f>IF([7]Vagt!J41&lt;&gt;"",[7]Vagt!J41,"")</f>
        <v>Rådhuset</v>
      </c>
      <c r="K97" s="772">
        <f>IF([7]Vagt!K41&lt;&gt;"",[7]Vagt!K41,"")</f>
        <v>40179</v>
      </c>
      <c r="L97" s="783" t="str">
        <f>IF([7]Vagt!L41&lt;&gt;"",[7]Vagt!L41,"")</f>
        <v xml:space="preserve">ØKF                                                                          </v>
      </c>
      <c r="M97" s="785"/>
      <c r="N97" s="795">
        <f>IF([7]Vagt!N41&lt;&gt;"",[7]Vagt!N41,"")</f>
        <v>4401827</v>
      </c>
      <c r="O97" s="799"/>
      <c r="P97" s="244"/>
      <c r="Q97" s="227"/>
    </row>
    <row r="98" spans="1:17">
      <c r="A98" s="772">
        <f>IF([7]Vagt!A42&lt;&gt;"",[7]Vagt!A42,"")</f>
        <v>39851</v>
      </c>
      <c r="B98" s="772">
        <f>IF([7]Vagt!B42&lt;&gt;"",[7]Vagt!B42,"")</f>
        <v>145</v>
      </c>
      <c r="C98" s="781">
        <f>IF([7]Vagt!C42&lt;&gt;"",[7]Vagt!C42,"")</f>
        <v>41640</v>
      </c>
      <c r="D98" s="783" t="str">
        <f>IF([7]Vagt!D42&lt;&gt;"",[7]Vagt!D42,"")</f>
        <v>BUF-Nørre Voldgade 15, 4.sal (Mikkelsen)</v>
      </c>
      <c r="E98" s="785"/>
      <c r="F98" s="795">
        <f>IF([7]Vagt!F42&lt;&gt;"",[7]Vagt!F42,"")</f>
        <v>24888</v>
      </c>
      <c r="G98" s="773">
        <f>IF([7]Vagt!G42&lt;&gt;"",[7]Vagt!G42,"")</f>
        <v>797754</v>
      </c>
      <c r="H98" s="773">
        <f>IF([7]Vagt!H42&lt;&gt;"",[7]Vagt!H42,"")</f>
        <v>0</v>
      </c>
      <c r="I98" s="772">
        <f>IF([7]Vagt!I42&lt;&gt;"",[7]Vagt!I42,"")</f>
        <v>11030</v>
      </c>
      <c r="J98" s="806" t="str">
        <f>IF([7]Vagt!J42&lt;&gt;"",[7]Vagt!J42,"")</f>
        <v>Rådhuset</v>
      </c>
      <c r="K98" s="772">
        <f>IF([7]Vagt!K42&lt;&gt;"",[7]Vagt!K42,"")</f>
        <v>40179</v>
      </c>
      <c r="L98" s="783" t="str">
        <f>IF([7]Vagt!L42&lt;&gt;"",[7]Vagt!L42,"")</f>
        <v xml:space="preserve">BR                                                                           </v>
      </c>
      <c r="M98" s="785"/>
      <c r="N98" s="795">
        <f>IF([7]Vagt!N42&lt;&gt;"",[7]Vagt!N42,"")</f>
        <v>1160800</v>
      </c>
      <c r="O98" s="799"/>
      <c r="P98" s="244"/>
      <c r="Q98" s="227"/>
    </row>
    <row r="99" spans="1:17">
      <c r="A99" s="772">
        <f>IF([7]Vagt!A43&lt;&gt;"",[7]Vagt!A43,"")</f>
        <v>69722</v>
      </c>
      <c r="B99" s="772">
        <f>IF([7]Vagt!B43&lt;&gt;"",[7]Vagt!B43,"")</f>
        <v>146</v>
      </c>
      <c r="C99" s="781">
        <f>IF([7]Vagt!C43&lt;&gt;"",[7]Vagt!C43,"")</f>
        <v>41640</v>
      </c>
      <c r="D99" s="783" t="str">
        <f>IF([7]Vagt!D43&lt;&gt;"",[7]Vagt!D43,"")</f>
        <v>SOF-Nørre Voldgade 15, 5. sal (Ann Provis)</v>
      </c>
      <c r="E99" s="785"/>
      <c r="F99" s="795">
        <f>IF([7]Vagt!F43&lt;&gt;"",[7]Vagt!F43,"")</f>
        <v>4148</v>
      </c>
      <c r="G99" s="773">
        <f>IF([7]Vagt!G43&lt;&gt;"",[7]Vagt!G43,"")</f>
        <v>826945</v>
      </c>
      <c r="H99" s="773">
        <f>IF([7]Vagt!H43&lt;&gt;"",[7]Vagt!H43,"")</f>
        <v>0</v>
      </c>
      <c r="I99" s="772">
        <f>IF([7]Vagt!I43&lt;&gt;"",[7]Vagt!I43,"")</f>
        <v>50000</v>
      </c>
      <c r="J99" s="806" t="str">
        <f>IF([7]Vagt!J43&lt;&gt;"",[7]Vagt!J43,"")</f>
        <v>Rådhuset</v>
      </c>
      <c r="K99" s="772">
        <f>IF([7]Vagt!K43&lt;&gt;"",[7]Vagt!K43,"")</f>
        <v>40179</v>
      </c>
      <c r="L99" s="783" t="str">
        <f>IF([7]Vagt!L43&lt;&gt;"",[7]Vagt!L43,"")</f>
        <v xml:space="preserve">KFF                                                                          </v>
      </c>
      <c r="M99" s="785"/>
      <c r="N99" s="795">
        <f>IF([7]Vagt!N43&lt;&gt;"",[7]Vagt!N43,"")</f>
        <v>1150050</v>
      </c>
      <c r="O99" s="799"/>
      <c r="P99" s="244"/>
      <c r="Q99" s="227"/>
    </row>
    <row r="100" spans="1:17" ht="13.5" thickBot="1">
      <c r="A100" s="774">
        <f>IF([7]Vagt!A44&lt;&gt;"",[7]Vagt!A44,"")</f>
        <v>31139</v>
      </c>
      <c r="B100" s="774">
        <f>IF([7]Vagt!B44&lt;&gt;"",[7]Vagt!B44,"")</f>
        <v>111</v>
      </c>
      <c r="C100" s="786">
        <f>IF([7]Vagt!C44&lt;&gt;"",[7]Vagt!C44,"")</f>
        <v>40634</v>
      </c>
      <c r="D100" s="787" t="str">
        <f>IF([7]Vagt!D44&lt;&gt;"",[7]Vagt!D44,"")</f>
        <v>BUF-Gasværksvej 22 (skole)</v>
      </c>
      <c r="E100" s="788"/>
      <c r="F100" s="796">
        <f>IF([7]Vagt!F44&lt;&gt;"",[7]Vagt!F44,"")</f>
        <v>62606</v>
      </c>
      <c r="G100" s="773">
        <f>IF([7]Vagt!G44&lt;&gt;"",[7]Vagt!G44,"")</f>
        <v>797756</v>
      </c>
      <c r="H100" s="773">
        <f>IF([7]Vagt!H44&lt;&gt;"",[7]Vagt!H44,"")</f>
        <v>0</v>
      </c>
      <c r="I100" s="772">
        <f>IF([7]Vagt!I44&lt;&gt;"",[7]Vagt!I44,"")</f>
        <v>0</v>
      </c>
      <c r="J100" s="806" t="str">
        <f>IF([7]Vagt!J44&lt;&gt;"",[7]Vagt!J44,"")</f>
        <v>Rådhuset</v>
      </c>
      <c r="K100" s="772">
        <f>IF([7]Vagt!K44&lt;&gt;"",[7]Vagt!K44,"")</f>
        <v>40179</v>
      </c>
      <c r="L100" s="783" t="str">
        <f>IF([7]Vagt!L44&lt;&gt;"",[7]Vagt!L44,"")</f>
        <v xml:space="preserve">Kejd (posteres) Rådhusservice på Rådhuset  </v>
      </c>
      <c r="M100" s="785"/>
      <c r="N100" s="795">
        <f>IF([7]Vagt!N44&lt;&gt;"",[7]Vagt!N44,"")</f>
        <v>646902</v>
      </c>
      <c r="O100" s="799"/>
      <c r="P100" s="244"/>
      <c r="Q100" s="227"/>
    </row>
    <row r="101" spans="1:17" ht="13.5" thickBot="1">
      <c r="A101" s="792">
        <f>IF([7]Vagt!A45&lt;&gt;"",[7]Vagt!A45,"")</f>
        <v>0</v>
      </c>
      <c r="B101" s="792" t="str">
        <f>IF([7]Vagt!B45&lt;&gt;"",[7]Vagt!B45,"")</f>
        <v>Forsættes i højre side</v>
      </c>
      <c r="C101" s="792">
        <f>IF([7]Vagt!C45&lt;&gt;"",[7]Vagt!C45,"")</f>
        <v>0</v>
      </c>
      <c r="D101" s="793">
        <f>IF([7]Vagt!D45&lt;&gt;"",[7]Vagt!D45,"")</f>
        <v>0</v>
      </c>
      <c r="E101" s="794"/>
      <c r="F101" s="797">
        <f>IF([7]Vagt!F45&lt;&gt;"",[7]Vagt!F45,"")</f>
        <v>2036309</v>
      </c>
      <c r="G101" s="773">
        <f>IF([7]Vagt!G45&lt;&gt;"",[7]Vagt!G45,"")</f>
        <v>0</v>
      </c>
      <c r="H101" s="773">
        <f>IF([7]Vagt!H45&lt;&gt;"",[7]Vagt!H45,"")</f>
        <v>0</v>
      </c>
      <c r="I101" s="774">
        <f>IF([7]Vagt!I45&lt;&gt;"",[7]Vagt!I45,"")</f>
        <v>0</v>
      </c>
      <c r="J101" s="774">
        <f>IF([7]Vagt!J45&lt;&gt;"",[7]Vagt!J45,"")</f>
        <v>0</v>
      </c>
      <c r="K101" s="774">
        <f>IF([7]Vagt!K45&lt;&gt;"",[7]Vagt!K45,"")</f>
        <v>0</v>
      </c>
      <c r="L101" s="787">
        <f>IF([7]Vagt!L45&lt;&gt;"",[7]Vagt!L45,"")</f>
        <v>0</v>
      </c>
      <c r="M101" s="788"/>
      <c r="N101" s="796">
        <f>IF([7]Vagt!N45&lt;&gt;"",[7]Vagt!N45,"")</f>
        <v>0</v>
      </c>
      <c r="O101" s="808"/>
      <c r="P101" s="244"/>
      <c r="Q101" s="227"/>
    </row>
    <row r="102" spans="1:17" ht="13.5" thickBot="1">
      <c r="A102" s="789">
        <f>IF([7]Vagt!A46&lt;&gt;"",[7]Vagt!A46,"")</f>
        <v>0</v>
      </c>
      <c r="B102" s="789">
        <f>IF([7]Vagt!B46&lt;&gt;"",[7]Vagt!B46,"")</f>
        <v>0</v>
      </c>
      <c r="C102" s="789">
        <f>IF([7]Vagt!C46&lt;&gt;"",[7]Vagt!C46,"")</f>
        <v>0</v>
      </c>
      <c r="D102" s="790">
        <f>IF([7]Vagt!D46&lt;&gt;"",[7]Vagt!D46,"")</f>
        <v>0</v>
      </c>
      <c r="E102" s="791"/>
      <c r="F102" s="789">
        <f>IF([7]Vagt!F46&lt;&gt;"",[7]Vagt!F46,"")</f>
        <v>0</v>
      </c>
      <c r="G102" s="773">
        <f>IF([7]Vagt!G46&lt;&gt;"",[7]Vagt!G46,"")</f>
        <v>0</v>
      </c>
      <c r="H102" s="773">
        <f>IF([7]Vagt!H46&lt;&gt;"",[7]Vagt!H46,"")</f>
        <v>0</v>
      </c>
      <c r="I102" s="792" t="e">
        <f>IF([7]Vagt!I46&lt;&gt;"",[7]Vagt!I46,"")</f>
        <v>#REF!</v>
      </c>
      <c r="J102" s="792" t="str">
        <f>IF([7]Vagt!J46&lt;&gt;"",[7]Vagt!J46,"")</f>
        <v>Årligt</v>
      </c>
      <c r="K102" s="792">
        <f>IF([7]Vagt!K46&lt;&gt;"",[7]Vagt!K46,"")</f>
        <v>0</v>
      </c>
      <c r="L102" s="793">
        <f>IF([7]Vagt!L46&lt;&gt;"",[7]Vagt!L46,"")</f>
        <v>0</v>
      </c>
      <c r="M102" s="794"/>
      <c r="N102" s="797">
        <f>IF([7]Vagt!N46&lt;&gt;"",[7]Vagt!N46,"")</f>
        <v>13387958</v>
      </c>
      <c r="O102" s="811"/>
      <c r="P102" s="244"/>
      <c r="Q102" s="227"/>
    </row>
    <row r="103" spans="1:17">
      <c r="A103" s="773">
        <f>IF([7]Vagt!A47&lt;&gt;"",[7]Vagt!A47,"")</f>
        <v>0</v>
      </c>
      <c r="B103" s="773">
        <f>IF([7]Vagt!B47&lt;&gt;"",[7]Vagt!B47,"")</f>
        <v>0</v>
      </c>
      <c r="C103" s="773">
        <f>IF([7]Vagt!C47&lt;&gt;"",[7]Vagt!C47,"")</f>
        <v>0</v>
      </c>
      <c r="D103" s="773">
        <f>IF([7]Vagt!D47&lt;&gt;"",[7]Vagt!D47,"")</f>
        <v>0</v>
      </c>
      <c r="E103" s="773">
        <f>IF([7]Vagt!E47&lt;&gt;"",[7]Vagt!E47,"")</f>
        <v>0</v>
      </c>
      <c r="F103" s="773">
        <f>IF([7]Vagt!F47&lt;&gt;"",[7]Vagt!F47,"")</f>
        <v>0</v>
      </c>
      <c r="G103" s="773">
        <f>IF([7]Vagt!G47&lt;&gt;"",[7]Vagt!G47,"")</f>
        <v>0</v>
      </c>
      <c r="H103" s="773">
        <f>IF([7]Vagt!H47&lt;&gt;"",[7]Vagt!H47,"")</f>
        <v>0</v>
      </c>
      <c r="I103" s="789" t="e">
        <f>IF([7]Vagt!I47&lt;&gt;"",[7]Vagt!I47,"")</f>
        <v>#REF!</v>
      </c>
      <c r="J103" s="789">
        <f>IF([7]Vagt!J47&lt;&gt;"",[7]Vagt!J47,"")</f>
        <v>0</v>
      </c>
      <c r="K103" s="789">
        <f>IF([7]Vagt!K47&lt;&gt;"",[7]Vagt!K47,"")</f>
        <v>0</v>
      </c>
      <c r="L103" s="790">
        <f>IF([7]Vagt!L47&lt;&gt;"",[7]Vagt!L47,"")</f>
        <v>0</v>
      </c>
      <c r="M103" s="791"/>
      <c r="N103" s="809">
        <f>IF([7]Vagt!N47&lt;&gt;"",[7]Vagt!N47,"")</f>
        <v>0</v>
      </c>
      <c r="O103" s="810"/>
      <c r="P103" s="244"/>
      <c r="Q103" s="227"/>
    </row>
    <row r="104" spans="1:17">
      <c r="A104" s="773" t="e">
        <f>IF([7]Vagt!A48&lt;&gt;"",[7]Vagt!A48,"")</f>
        <v>#REF!</v>
      </c>
      <c r="B104" s="773" t="e">
        <f>IF([7]Vagt!B48&lt;&gt;"",[7]Vagt!B48,"")</f>
        <v>#REF!</v>
      </c>
      <c r="C104" s="773" t="e">
        <f>IF([7]Vagt!C48&lt;&gt;"",[7]Vagt!C48,"")</f>
        <v>#REF!</v>
      </c>
      <c r="D104" s="773" t="e">
        <f>IF([7]Vagt!D48&lt;&gt;"",[7]Vagt!D48,"")</f>
        <v>#REF!</v>
      </c>
      <c r="E104" s="773" t="e">
        <f>IF([7]Vagt!E48&lt;&gt;"",[7]Vagt!E48,"")</f>
        <v>#REF!</v>
      </c>
      <c r="F104" s="773" t="e">
        <f>IF([7]Vagt!F48&lt;&gt;"",[7]Vagt!F48,"")</f>
        <v>#REF!</v>
      </c>
      <c r="G104" s="773" t="e">
        <f>IF([7]Vagt!G48&lt;&gt;"",[7]Vagt!G48,"")</f>
        <v>#REF!</v>
      </c>
      <c r="H104" s="773">
        <f>IF([7]Vagt!H48&lt;&gt;"",[7]Vagt!H48,"")</f>
        <v>0</v>
      </c>
      <c r="I104" s="772" t="e">
        <f>IF([7]Vagt!I48&lt;&gt;"",[7]Vagt!I48,"")</f>
        <v>#REF!</v>
      </c>
      <c r="J104" s="772" t="str">
        <f>IF([7]Vagt!J48&lt;&gt;"",[7]Vagt!J48,"")</f>
        <v>Månedligt</v>
      </c>
      <c r="K104" s="772">
        <f>IF([7]Vagt!K48&lt;&gt;"",[7]Vagt!K48,"")</f>
        <v>0</v>
      </c>
      <c r="L104" s="783">
        <f>IF([7]Vagt!L48&lt;&gt;"",[7]Vagt!L48,"")</f>
        <v>0</v>
      </c>
      <c r="M104" s="785"/>
      <c r="N104" s="795">
        <f>IF([7]Vagt!N48&lt;&gt;"",[7]Vagt!N48,"")</f>
        <v>1115663.1666666667</v>
      </c>
      <c r="O104" s="329"/>
      <c r="P104" s="244"/>
      <c r="Q104" s="227"/>
    </row>
    <row r="105" spans="1:17">
      <c r="A105" s="226" t="e">
        <f>IF([8]Vagt!A49&lt;&gt;"",[8]Vagt!A49,"")</f>
        <v>#REF!</v>
      </c>
      <c r="B105" s="299" t="e">
        <f>IF([8]Vagt!B49&lt;&gt;"",[8]Vagt!B49,"")</f>
        <v>#REF!</v>
      </c>
      <c r="C105" s="299" t="e">
        <f>IF([8]Vagt!C49&lt;&gt;"",[8]Vagt!C49,"")</f>
        <v>#REF!</v>
      </c>
      <c r="D105" s="299" t="e">
        <f>IF([8]Vagt!D49&lt;&gt;"",[8]Vagt!D49,"")</f>
        <v>#REF!</v>
      </c>
      <c r="E105" s="299" t="e">
        <f>IF([8]Vagt!E49&lt;&gt;"",[8]Vagt!E49,"")</f>
        <v>#REF!</v>
      </c>
      <c r="F105" s="299"/>
      <c r="G105" s="299"/>
      <c r="H105" s="299"/>
      <c r="I105" s="299" t="e">
        <f>IF([8]Vagt!I49&lt;&gt;"",[8]Vagt!I49,"")</f>
        <v>#REF!</v>
      </c>
      <c r="J105" s="299" t="e">
        <f>IF([8]Vagt!J49&lt;&gt;"",[8]Vagt!J49,"")</f>
        <v>#REF!</v>
      </c>
      <c r="K105" s="299" t="e">
        <f>IF([8]Vagt!K49&lt;&gt;"",[8]Vagt!K49,"")</f>
        <v>#REF!</v>
      </c>
      <c r="L105" s="299" t="e">
        <f>IF([8]Vagt!L49&lt;&gt;"",[8]Vagt!L49,"")</f>
        <v>#REF!</v>
      </c>
      <c r="M105" s="299" t="e">
        <f>IF([8]Vagt!M49&lt;&gt;"",[8]Vagt!M49,"")</f>
        <v>#REF!</v>
      </c>
      <c r="N105" s="683" t="s">
        <v>167</v>
      </c>
      <c r="O105" s="683" t="s">
        <v>168</v>
      </c>
      <c r="P105" s="244"/>
      <c r="Q105" s="227"/>
    </row>
    <row r="106" spans="1:17">
      <c r="A106" s="226" t="e">
        <f>IF([8]Vagt!A50&lt;&gt;"",[8]Vagt!A50,"")</f>
        <v>#REF!</v>
      </c>
      <c r="B106" s="299" t="e">
        <f>IF([8]Vagt!B50&lt;&gt;"",[8]Vagt!B50,"")</f>
        <v>#REF!</v>
      </c>
      <c r="C106" s="299" t="e">
        <f>IF([8]Vagt!C50&lt;&gt;"",[8]Vagt!C50,"")</f>
        <v>#REF!</v>
      </c>
      <c r="D106" s="299" t="e">
        <f>IF([8]Vagt!D50&lt;&gt;"",[8]Vagt!D50,"")</f>
        <v>#REF!</v>
      </c>
      <c r="E106" s="299" t="e">
        <f>IF([8]Vagt!E50&lt;&gt;"",[8]Vagt!E50,"")</f>
        <v>#REF!</v>
      </c>
      <c r="F106" s="299"/>
      <c r="G106" s="299"/>
      <c r="H106" s="299"/>
      <c r="I106" s="299" t="e">
        <f>IF([8]Vagt!I50&lt;&gt;"",[8]Vagt!I50,"")</f>
        <v>#REF!</v>
      </c>
      <c r="J106" s="299" t="s">
        <v>217</v>
      </c>
      <c r="K106" s="299" t="e">
        <f>IF([8]Vagt!K50&lt;&gt;"",[8]Vagt!K50,"")</f>
        <v>#REF!</v>
      </c>
      <c r="L106" s="299" t="e">
        <f>IF([8]Vagt!L50&lt;&gt;"",[8]Vagt!L50,"")</f>
        <v>#REF!</v>
      </c>
      <c r="M106" s="299" t="e">
        <f>IF([8]Vagt!M50&lt;&gt;"",[8]Vagt!M50,"")</f>
        <v>#REF!</v>
      </c>
      <c r="N106" s="683">
        <f>N102</f>
        <v>13387958</v>
      </c>
      <c r="O106" s="683">
        <f>N106/12</f>
        <v>1115663.1666666667</v>
      </c>
      <c r="P106" s="244"/>
      <c r="Q106" s="227"/>
    </row>
    <row r="107" spans="1:17">
      <c r="A107" s="226" t="e">
        <f>IF([8]Vagt!A51&lt;&gt;"",[8]Vagt!A51,"")</f>
        <v>#REF!</v>
      </c>
      <c r="B107" s="299" t="e">
        <f>IF([8]Vagt!B51&lt;&gt;"",[8]Vagt!B51,"")</f>
        <v>#REF!</v>
      </c>
      <c r="C107" s="299" t="e">
        <f>IF([8]Vagt!C51&lt;&gt;"",[8]Vagt!C51,"")</f>
        <v>#REF!</v>
      </c>
      <c r="D107" s="299" t="e">
        <f>IF([8]Vagt!D51&lt;&gt;"",[8]Vagt!D51,"")</f>
        <v>#REF!</v>
      </c>
      <c r="E107" s="299" t="e">
        <f>IF([8]Vagt!E51&lt;&gt;"",[8]Vagt!E51,"")</f>
        <v>#REF!</v>
      </c>
      <c r="F107" s="299"/>
      <c r="G107" s="299"/>
      <c r="H107" s="299"/>
      <c r="I107" s="299" t="e">
        <f>IF([8]Vagt!I51&lt;&gt;"",[8]Vagt!I51,"")</f>
        <v>#REF!</v>
      </c>
      <c r="J107" s="299" t="s">
        <v>218</v>
      </c>
      <c r="K107" s="299" t="e">
        <f>IF([8]Vagt!K51&lt;&gt;"",[8]Vagt!K51,"")</f>
        <v>#REF!</v>
      </c>
      <c r="L107" s="299" t="e">
        <f>IF([8]Vagt!L51&lt;&gt;"",[8]Vagt!L51,"")</f>
        <v>#REF!</v>
      </c>
      <c r="M107" s="299" t="e">
        <f>IF([8]Vagt!M51&lt;&gt;"",[8]Vagt!M51,"")</f>
        <v>#REF!</v>
      </c>
      <c r="N107" s="683">
        <f>D70</f>
        <v>7413134</v>
      </c>
      <c r="O107" s="683">
        <f>N107/12</f>
        <v>617761.16666666663</v>
      </c>
      <c r="P107" s="244"/>
      <c r="Q107" s="227"/>
    </row>
    <row r="108" spans="1:17" ht="13.5" thickBot="1">
      <c r="A108" s="226" t="e">
        <f>IF([8]Vagt!A52&lt;&gt;"",[8]Vagt!A52,"")</f>
        <v>#REF!</v>
      </c>
      <c r="B108" s="299" t="e">
        <f>IF([8]Vagt!B52&lt;&gt;"",[8]Vagt!B52,"")</f>
        <v>#REF!</v>
      </c>
      <c r="C108" s="299" t="e">
        <f>IF([8]Vagt!C52&lt;&gt;"",[8]Vagt!C52,"")</f>
        <v>#REF!</v>
      </c>
      <c r="D108" s="299" t="e">
        <f>IF([8]Vagt!D52&lt;&gt;"",[8]Vagt!D52,"")</f>
        <v>#REF!</v>
      </c>
      <c r="E108" s="299" t="e">
        <f>IF([8]Vagt!E52&lt;&gt;"",[8]Vagt!E52,"")</f>
        <v>#REF!</v>
      </c>
      <c r="F108" s="299"/>
      <c r="G108" s="299"/>
      <c r="H108" s="299"/>
      <c r="I108" s="684" t="e">
        <f>IF([8]Vagt!I52&lt;&gt;"",[8]Vagt!I52,"")</f>
        <v>#REF!</v>
      </c>
      <c r="J108" s="684" t="s">
        <v>30</v>
      </c>
      <c r="K108" s="684" t="e">
        <f>IF([8]Vagt!K52&lt;&gt;"",[8]Vagt!K52,"")</f>
        <v>#REF!</v>
      </c>
      <c r="L108" s="684" t="e">
        <f>IF([8]Vagt!L52&lt;&gt;"",[8]Vagt!L52,"")</f>
        <v>#REF!</v>
      </c>
      <c r="M108" s="684" t="e">
        <f>IF([8]Vagt!M52&lt;&gt;"",[8]Vagt!M52,"")</f>
        <v>#REF!</v>
      </c>
      <c r="N108" s="685">
        <f>N106+N107</f>
        <v>20801092</v>
      </c>
      <c r="O108" s="685">
        <f>N108/12</f>
        <v>1733424.3333333333</v>
      </c>
      <c r="P108" s="244"/>
      <c r="Q108" s="227"/>
    </row>
    <row r="109" spans="1:17">
      <c r="C109" s="291"/>
      <c r="D109" s="291"/>
      <c r="E109" s="291"/>
      <c r="F109" s="291"/>
      <c r="G109" s="291"/>
      <c r="L109" s="300"/>
      <c r="M109" s="326"/>
      <c r="N109" s="326"/>
      <c r="O109" s="291"/>
      <c r="P109" s="244"/>
      <c r="Q109" s="227"/>
    </row>
    <row r="110" spans="1:17">
      <c r="C110" s="291"/>
      <c r="D110" s="291"/>
      <c r="L110" s="300"/>
      <c r="M110" s="326"/>
      <c r="N110" s="326"/>
    </row>
    <row r="111" spans="1:17">
      <c r="A111" s="299" t="s">
        <v>112</v>
      </c>
      <c r="B111" s="328" t="s">
        <v>113</v>
      </c>
      <c r="C111" s="232" t="s">
        <v>44</v>
      </c>
      <c r="D111" s="232" t="s">
        <v>45</v>
      </c>
      <c r="E111" s="232" t="s">
        <v>46</v>
      </c>
      <c r="F111" s="232" t="s">
        <v>47</v>
      </c>
      <c r="G111" s="232" t="s">
        <v>48</v>
      </c>
      <c r="H111" s="232" t="s">
        <v>49</v>
      </c>
      <c r="I111" s="232" t="s">
        <v>38</v>
      </c>
      <c r="J111" s="232" t="s">
        <v>39</v>
      </c>
      <c r="K111" s="232" t="s">
        <v>40</v>
      </c>
      <c r="L111" s="232" t="s">
        <v>41</v>
      </c>
      <c r="M111" s="232" t="s">
        <v>42</v>
      </c>
      <c r="N111" s="232" t="s">
        <v>43</v>
      </c>
      <c r="O111" s="228"/>
      <c r="P111" s="584" t="s">
        <v>114</v>
      </c>
    </row>
    <row r="112" spans="1:17">
      <c r="B112" s="231" t="s">
        <v>115</v>
      </c>
      <c r="C112" s="329">
        <f>$D$71</f>
        <v>617761.16666666663</v>
      </c>
      <c r="D112" s="329">
        <f t="shared" ref="D112:N112" si="12">$D$71</f>
        <v>617761.16666666663</v>
      </c>
      <c r="E112" s="329">
        <f t="shared" si="12"/>
        <v>617761.16666666663</v>
      </c>
      <c r="F112" s="329">
        <f t="shared" si="12"/>
        <v>617761.16666666663</v>
      </c>
      <c r="G112" s="329">
        <f t="shared" si="12"/>
        <v>617761.16666666663</v>
      </c>
      <c r="H112" s="329">
        <f t="shared" si="12"/>
        <v>617761.16666666663</v>
      </c>
      <c r="I112" s="329">
        <f t="shared" si="12"/>
        <v>617761.16666666663</v>
      </c>
      <c r="J112" s="329">
        <f t="shared" si="12"/>
        <v>617761.16666666663</v>
      </c>
      <c r="K112" s="329">
        <f t="shared" si="12"/>
        <v>617761.16666666663</v>
      </c>
      <c r="L112" s="329">
        <f t="shared" si="12"/>
        <v>617761.16666666663</v>
      </c>
      <c r="M112" s="329">
        <f t="shared" si="12"/>
        <v>617761.16666666663</v>
      </c>
      <c r="N112" s="329">
        <f t="shared" si="12"/>
        <v>617761.16666666663</v>
      </c>
      <c r="O112" s="330">
        <f t="shared" ref="O112:O143" si="13">SUM(C112:N112)</f>
        <v>7413134.0000000009</v>
      </c>
    </row>
    <row r="113" spans="1:20" ht="13.5" thickBot="1">
      <c r="B113" s="247" t="s">
        <v>116</v>
      </c>
      <c r="C113" s="331">
        <f>$N$104</f>
        <v>1115663.1666666667</v>
      </c>
      <c r="D113" s="331">
        <f t="shared" ref="D113:N113" si="14">$N$104</f>
        <v>1115663.1666666667</v>
      </c>
      <c r="E113" s="331">
        <f t="shared" si="14"/>
        <v>1115663.1666666667</v>
      </c>
      <c r="F113" s="331">
        <f t="shared" si="14"/>
        <v>1115663.1666666667</v>
      </c>
      <c r="G113" s="331">
        <f t="shared" si="14"/>
        <v>1115663.1666666667</v>
      </c>
      <c r="H113" s="331">
        <f t="shared" si="14"/>
        <v>1115663.1666666667</v>
      </c>
      <c r="I113" s="331">
        <f t="shared" si="14"/>
        <v>1115663.1666666667</v>
      </c>
      <c r="J113" s="331">
        <f t="shared" si="14"/>
        <v>1115663.1666666667</v>
      </c>
      <c r="K113" s="331">
        <f t="shared" si="14"/>
        <v>1115663.1666666667</v>
      </c>
      <c r="L113" s="331">
        <f t="shared" si="14"/>
        <v>1115663.1666666667</v>
      </c>
      <c r="M113" s="331">
        <f t="shared" si="14"/>
        <v>1115663.1666666667</v>
      </c>
      <c r="N113" s="331">
        <f t="shared" si="14"/>
        <v>1115663.1666666667</v>
      </c>
      <c r="O113" s="332">
        <f t="shared" si="13"/>
        <v>13387957.999999998</v>
      </c>
      <c r="Q113" s="525"/>
    </row>
    <row r="114" spans="1:20" ht="13.5" thickBot="1">
      <c r="A114" s="226">
        <v>9845400000</v>
      </c>
      <c r="B114" s="333" t="s">
        <v>117</v>
      </c>
      <c r="C114" s="334">
        <f t="shared" ref="C114:N114" si="15">SUM(C112:C113)</f>
        <v>1733424.3333333335</v>
      </c>
      <c r="D114" s="334">
        <f t="shared" si="15"/>
        <v>1733424.3333333335</v>
      </c>
      <c r="E114" s="334">
        <f t="shared" si="15"/>
        <v>1733424.3333333335</v>
      </c>
      <c r="F114" s="334">
        <f t="shared" si="15"/>
        <v>1733424.3333333335</v>
      </c>
      <c r="G114" s="334">
        <f t="shared" si="15"/>
        <v>1733424.3333333335</v>
      </c>
      <c r="H114" s="334">
        <f t="shared" si="15"/>
        <v>1733424.3333333335</v>
      </c>
      <c r="I114" s="334">
        <f t="shared" si="15"/>
        <v>1733424.3333333335</v>
      </c>
      <c r="J114" s="334">
        <f t="shared" si="15"/>
        <v>1733424.3333333335</v>
      </c>
      <c r="K114" s="334">
        <f t="shared" si="15"/>
        <v>1733424.3333333335</v>
      </c>
      <c r="L114" s="334">
        <f t="shared" si="15"/>
        <v>1733424.3333333335</v>
      </c>
      <c r="M114" s="334">
        <f t="shared" si="15"/>
        <v>1733424.3333333335</v>
      </c>
      <c r="N114" s="334">
        <f t="shared" si="15"/>
        <v>1733424.3333333335</v>
      </c>
      <c r="O114" s="334">
        <f t="shared" si="13"/>
        <v>20801092</v>
      </c>
      <c r="P114" s="708">
        <v>19327852</v>
      </c>
    </row>
    <row r="115" spans="1:20">
      <c r="B115" s="336"/>
      <c r="C115" s="337"/>
      <c r="D115" s="337"/>
      <c r="E115" s="337"/>
      <c r="F115" s="337"/>
      <c r="G115" s="337"/>
      <c r="H115" s="338"/>
      <c r="I115" s="338"/>
      <c r="J115" s="338"/>
      <c r="K115" s="338"/>
      <c r="L115" s="338"/>
      <c r="M115" s="338"/>
      <c r="N115" s="338"/>
      <c r="O115" s="332">
        <f t="shared" si="13"/>
        <v>0</v>
      </c>
      <c r="P115" s="708"/>
    </row>
    <row r="116" spans="1:20">
      <c r="A116" s="226">
        <v>9870000000</v>
      </c>
      <c r="B116" s="228" t="s">
        <v>118</v>
      </c>
      <c r="C116" s="330">
        <v>19798</v>
      </c>
      <c r="D116" s="330">
        <v>85288</v>
      </c>
      <c r="E116" s="330">
        <v>80953</v>
      </c>
      <c r="F116" s="330" t="s">
        <v>1</v>
      </c>
      <c r="G116" s="330"/>
      <c r="H116" s="330"/>
      <c r="I116" s="330"/>
      <c r="J116" s="330"/>
      <c r="K116" s="330"/>
      <c r="L116" s="330"/>
      <c r="M116" s="330"/>
      <c r="N116" s="330"/>
      <c r="O116" s="332">
        <f t="shared" si="13"/>
        <v>186039</v>
      </c>
      <c r="P116" s="708">
        <v>1500000</v>
      </c>
    </row>
    <row r="117" spans="1:20">
      <c r="A117" s="226">
        <v>9820100000</v>
      </c>
      <c r="B117" s="228" t="s">
        <v>119</v>
      </c>
      <c r="C117" s="330">
        <v>0</v>
      </c>
      <c r="D117" s="329">
        <v>4160</v>
      </c>
      <c r="E117" s="329">
        <v>2120</v>
      </c>
      <c r="F117" s="329"/>
      <c r="G117" s="329"/>
      <c r="H117" s="329"/>
      <c r="I117" s="329"/>
      <c r="J117" s="329"/>
      <c r="K117" s="329"/>
      <c r="L117" s="329"/>
      <c r="M117" s="329"/>
      <c r="N117" s="329"/>
      <c r="O117" s="332">
        <f t="shared" si="13"/>
        <v>6280</v>
      </c>
      <c r="P117" s="708">
        <v>20000</v>
      </c>
    </row>
    <row r="118" spans="1:20">
      <c r="B118" s="228"/>
      <c r="C118" s="330"/>
      <c r="D118" s="329"/>
      <c r="E118" s="329"/>
      <c r="F118" s="329"/>
      <c r="G118" s="329"/>
      <c r="H118" s="329"/>
      <c r="I118" s="329"/>
      <c r="J118" s="329"/>
      <c r="K118" s="329"/>
      <c r="L118" s="329"/>
      <c r="M118" s="329"/>
      <c r="N118" s="329"/>
      <c r="O118" s="332">
        <f t="shared" si="13"/>
        <v>0</v>
      </c>
      <c r="P118" s="708"/>
    </row>
    <row r="119" spans="1:20">
      <c r="A119" s="226">
        <v>7210400000</v>
      </c>
      <c r="B119" s="228" t="s">
        <v>120</v>
      </c>
      <c r="C119" s="330">
        <v>13880</v>
      </c>
      <c r="D119" s="330">
        <v>19760</v>
      </c>
      <c r="E119" s="330">
        <v>27710</v>
      </c>
      <c r="F119" s="330"/>
      <c r="G119" s="330"/>
      <c r="H119" s="330"/>
      <c r="I119" s="330"/>
      <c r="J119" s="330"/>
      <c r="K119" s="330"/>
      <c r="L119" s="330"/>
      <c r="M119" s="330"/>
      <c r="N119" s="330"/>
      <c r="O119" s="332">
        <f t="shared" si="13"/>
        <v>61350</v>
      </c>
      <c r="P119" s="708">
        <v>250000</v>
      </c>
    </row>
    <row r="120" spans="1:20">
      <c r="A120" s="226">
        <v>7909900000</v>
      </c>
      <c r="B120" s="228" t="s">
        <v>121</v>
      </c>
      <c r="C120" s="330">
        <v>-29950</v>
      </c>
      <c r="D120" s="329">
        <v>22565</v>
      </c>
      <c r="E120" s="329">
        <v>60775</v>
      </c>
      <c r="F120" s="329">
        <v>120905</v>
      </c>
      <c r="G120" s="329">
        <v>65800</v>
      </c>
      <c r="H120" s="329">
        <v>52277</v>
      </c>
      <c r="I120" s="329">
        <v>10300</v>
      </c>
      <c r="J120" s="329">
        <v>48325</v>
      </c>
      <c r="K120" s="329">
        <v>80950</v>
      </c>
      <c r="L120" s="329">
        <v>70975</v>
      </c>
      <c r="M120" s="329">
        <v>90684</v>
      </c>
      <c r="N120" s="329">
        <v>37700</v>
      </c>
      <c r="O120" s="332">
        <f t="shared" si="13"/>
        <v>631306</v>
      </c>
      <c r="P120" s="708">
        <v>800000</v>
      </c>
    </row>
    <row r="121" spans="1:20">
      <c r="A121" s="525" t="s">
        <v>122</v>
      </c>
      <c r="B121" s="228" t="s">
        <v>123</v>
      </c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2">
        <f t="shared" si="13"/>
        <v>0</v>
      </c>
      <c r="P121" s="708">
        <v>3193000</v>
      </c>
      <c r="Q121" s="708" t="s">
        <v>124</v>
      </c>
    </row>
    <row r="122" spans="1:20">
      <c r="B122" s="292"/>
      <c r="C122" s="292"/>
      <c r="D122" s="292"/>
      <c r="E122" s="292"/>
      <c r="F122" s="292"/>
      <c r="G122" s="292"/>
      <c r="H122" s="292"/>
      <c r="I122" s="292"/>
      <c r="J122" s="292"/>
      <c r="K122" s="292"/>
      <c r="L122" s="292"/>
      <c r="M122" s="292"/>
      <c r="N122" s="292"/>
      <c r="O122" s="332">
        <f t="shared" si="13"/>
        <v>0</v>
      </c>
      <c r="P122" s="708"/>
    </row>
    <row r="123" spans="1:20" ht="13.5" thickBot="1">
      <c r="B123" s="228" t="s">
        <v>125</v>
      </c>
      <c r="C123" s="330"/>
      <c r="D123" s="329"/>
      <c r="E123" s="329"/>
      <c r="F123" s="329"/>
      <c r="G123" s="329"/>
      <c r="H123" s="329"/>
      <c r="I123" s="329"/>
      <c r="J123" s="329"/>
      <c r="K123" s="329"/>
      <c r="L123" s="329"/>
      <c r="M123" s="329"/>
      <c r="N123" s="329"/>
      <c r="O123" s="332">
        <f t="shared" si="13"/>
        <v>0</v>
      </c>
      <c r="P123" s="708"/>
    </row>
    <row r="124" spans="1:20" ht="13.5" thickBot="1">
      <c r="B124" s="341" t="s">
        <v>126</v>
      </c>
      <c r="C124" s="342">
        <f t="shared" ref="C124:N124" si="16">SUM(C115:C123)</f>
        <v>3728</v>
      </c>
      <c r="D124" s="342">
        <f t="shared" si="16"/>
        <v>131773</v>
      </c>
      <c r="E124" s="342">
        <f t="shared" si="16"/>
        <v>171558</v>
      </c>
      <c r="F124" s="342">
        <f t="shared" si="16"/>
        <v>120905</v>
      </c>
      <c r="G124" s="342">
        <f t="shared" si="16"/>
        <v>65800</v>
      </c>
      <c r="H124" s="342">
        <f t="shared" si="16"/>
        <v>52277</v>
      </c>
      <c r="I124" s="342">
        <f t="shared" si="16"/>
        <v>10300</v>
      </c>
      <c r="J124" s="342">
        <f t="shared" si="16"/>
        <v>48325</v>
      </c>
      <c r="K124" s="342">
        <f t="shared" si="16"/>
        <v>80950</v>
      </c>
      <c r="L124" s="342">
        <f t="shared" si="16"/>
        <v>70975</v>
      </c>
      <c r="M124" s="342">
        <f t="shared" si="16"/>
        <v>90684</v>
      </c>
      <c r="N124" s="342">
        <f t="shared" si="16"/>
        <v>37700</v>
      </c>
      <c r="O124" s="334">
        <f t="shared" si="13"/>
        <v>884975</v>
      </c>
      <c r="P124" s="708">
        <f>SUM(P114:P123)</f>
        <v>25090852</v>
      </c>
    </row>
    <row r="125" spans="1:20" ht="13.5" thickBot="1">
      <c r="B125" s="336" t="s">
        <v>127</v>
      </c>
      <c r="C125" s="673"/>
      <c r="D125" s="344"/>
      <c r="E125" s="344"/>
      <c r="F125" s="344"/>
      <c r="G125" s="344"/>
      <c r="H125" s="344"/>
      <c r="I125" s="344"/>
      <c r="J125" s="344"/>
      <c r="K125" s="344"/>
      <c r="L125" s="344"/>
      <c r="M125" s="344"/>
      <c r="N125" s="344"/>
      <c r="O125" s="332">
        <f t="shared" si="13"/>
        <v>0</v>
      </c>
      <c r="P125" s="584" t="s">
        <v>128</v>
      </c>
    </row>
    <row r="126" spans="1:20">
      <c r="B126" s="345" t="s">
        <v>129</v>
      </c>
      <c r="C126" s="346">
        <f t="shared" ref="C126:N126" si="17">SUM(C114,C124,C125)</f>
        <v>1737152.3333333335</v>
      </c>
      <c r="D126" s="346">
        <f t="shared" si="17"/>
        <v>1865197.3333333335</v>
      </c>
      <c r="E126" s="346">
        <f t="shared" si="17"/>
        <v>1904982.3333333335</v>
      </c>
      <c r="F126" s="346">
        <f t="shared" si="17"/>
        <v>1854329.3333333335</v>
      </c>
      <c r="G126" s="346">
        <f t="shared" si="17"/>
        <v>1799224.3333333335</v>
      </c>
      <c r="H126" s="346">
        <f t="shared" si="17"/>
        <v>1785701.3333333335</v>
      </c>
      <c r="I126" s="346">
        <f t="shared" si="17"/>
        <v>1743724.3333333335</v>
      </c>
      <c r="J126" s="346">
        <f t="shared" si="17"/>
        <v>1781749.3333333335</v>
      </c>
      <c r="K126" s="346">
        <f t="shared" si="17"/>
        <v>1814374.3333333335</v>
      </c>
      <c r="L126" s="346">
        <f t="shared" si="17"/>
        <v>1804399.3333333335</v>
      </c>
      <c r="M126" s="346">
        <f t="shared" si="17"/>
        <v>1824108.3333333335</v>
      </c>
      <c r="N126" s="346">
        <f t="shared" si="17"/>
        <v>1771124.3333333335</v>
      </c>
      <c r="O126" s="709">
        <f t="shared" si="13"/>
        <v>21686067</v>
      </c>
      <c r="P126" s="708"/>
    </row>
    <row r="127" spans="1:20" s="710" customFormat="1">
      <c r="A127" s="713" t="s">
        <v>130</v>
      </c>
      <c r="B127" s="711"/>
      <c r="C127" s="712"/>
      <c r="D127" s="712"/>
      <c r="E127" s="712"/>
      <c r="F127" s="712"/>
      <c r="G127" s="712"/>
      <c r="H127" s="712"/>
      <c r="I127" s="712"/>
      <c r="J127" s="712"/>
      <c r="K127" s="712"/>
      <c r="L127" s="712"/>
      <c r="M127" s="712"/>
      <c r="N127" s="712"/>
      <c r="O127" s="712"/>
    </row>
    <row r="128" spans="1:20">
      <c r="A128" s="314"/>
      <c r="B128" s="400" t="s">
        <v>131</v>
      </c>
      <c r="C128" s="329">
        <v>1726575</v>
      </c>
      <c r="D128" s="329">
        <v>1755792</v>
      </c>
      <c r="E128" s="329">
        <v>1660224</v>
      </c>
      <c r="F128" s="329">
        <v>2236982</v>
      </c>
      <c r="G128" s="329">
        <v>1820121</v>
      </c>
      <c r="H128" s="329">
        <v>1820121</v>
      </c>
      <c r="I128" s="329">
        <v>1820121</v>
      </c>
      <c r="J128" s="329">
        <v>1820121</v>
      </c>
      <c r="K128" s="329">
        <v>1820121</v>
      </c>
      <c r="L128" s="329">
        <v>1820121</v>
      </c>
      <c r="M128" s="329">
        <v>1820121</v>
      </c>
      <c r="N128" s="329">
        <v>1820121</v>
      </c>
      <c r="O128" s="329">
        <f>SUM(C128:N128)</f>
        <v>21940541</v>
      </c>
      <c r="P128" s="708">
        <v>22349016</v>
      </c>
      <c r="Q128" s="525">
        <f>25000*9.5*5</f>
        <v>1187500</v>
      </c>
      <c r="R128" s="504" t="s">
        <v>132</v>
      </c>
      <c r="S128" s="291"/>
      <c r="T128" s="291"/>
    </row>
    <row r="129" spans="1:17">
      <c r="A129" s="388">
        <v>2909900000</v>
      </c>
      <c r="B129" s="228" t="s">
        <v>133</v>
      </c>
      <c r="C129" s="329">
        <v>1443</v>
      </c>
      <c r="D129" s="329">
        <v>6433</v>
      </c>
      <c r="E129" s="329">
        <v>7820</v>
      </c>
      <c r="F129" s="329"/>
      <c r="G129" s="329"/>
      <c r="H129" s="329"/>
      <c r="I129" s="329"/>
      <c r="J129" s="329"/>
      <c r="K129" s="329"/>
      <c r="L129" s="329"/>
      <c r="M129" s="329"/>
      <c r="N129" s="329"/>
      <c r="O129" s="330">
        <f t="shared" si="13"/>
        <v>15696</v>
      </c>
      <c r="P129" s="708">
        <v>90000</v>
      </c>
    </row>
    <row r="130" spans="1:17">
      <c r="A130" s="388">
        <v>2910300000</v>
      </c>
      <c r="B130" s="228" t="s">
        <v>134</v>
      </c>
      <c r="C130" s="329"/>
      <c r="D130" s="329"/>
      <c r="E130" s="329">
        <v>2448</v>
      </c>
      <c r="F130" s="329"/>
      <c r="G130" s="329"/>
      <c r="H130" s="329"/>
      <c r="I130" s="329"/>
      <c r="J130" s="329"/>
      <c r="K130" s="329"/>
      <c r="L130" s="329"/>
      <c r="M130" s="329"/>
      <c r="N130" s="329"/>
      <c r="O130" s="330">
        <f t="shared" si="13"/>
        <v>2448</v>
      </c>
      <c r="P130" s="708">
        <v>5000</v>
      </c>
    </row>
    <row r="131" spans="1:17">
      <c r="A131" s="388">
        <v>2911800000</v>
      </c>
      <c r="B131" s="228" t="s">
        <v>135</v>
      </c>
      <c r="C131" s="329">
        <v>4703</v>
      </c>
      <c r="D131" s="329">
        <v>3524</v>
      </c>
      <c r="E131" s="329">
        <v>-13900</v>
      </c>
      <c r="F131" s="329"/>
      <c r="G131" s="329"/>
      <c r="H131" s="329"/>
      <c r="I131" s="329"/>
      <c r="J131" s="329"/>
      <c r="K131" s="329"/>
      <c r="L131" s="329"/>
      <c r="M131" s="329"/>
      <c r="N131" s="329"/>
      <c r="O131" s="330">
        <f t="shared" si="13"/>
        <v>-5673</v>
      </c>
      <c r="P131" s="814">
        <v>300000</v>
      </c>
    </row>
    <row r="132" spans="1:17">
      <c r="A132" s="388">
        <v>4009900000</v>
      </c>
      <c r="B132" s="228" t="s">
        <v>136</v>
      </c>
      <c r="C132" s="329">
        <v>97</v>
      </c>
      <c r="D132" s="329">
        <v>1058</v>
      </c>
      <c r="E132" s="329">
        <v>13207</v>
      </c>
      <c r="F132" s="329"/>
      <c r="G132" s="329"/>
      <c r="H132" s="329"/>
      <c r="I132" s="329"/>
      <c r="J132" s="329"/>
      <c r="K132" s="329"/>
      <c r="L132" s="329"/>
      <c r="M132" s="329"/>
      <c r="N132" s="329"/>
      <c r="O132" s="330">
        <f t="shared" si="13"/>
        <v>14362</v>
      </c>
      <c r="P132" s="708">
        <v>15000</v>
      </c>
    </row>
    <row r="133" spans="1:17">
      <c r="A133" s="388">
        <v>9820000000</v>
      </c>
      <c r="B133" s="228" t="s">
        <v>137</v>
      </c>
      <c r="C133" s="329"/>
      <c r="D133" s="329">
        <v>4304</v>
      </c>
      <c r="E133" s="329">
        <v>2592</v>
      </c>
      <c r="F133" s="329"/>
      <c r="G133" s="329"/>
      <c r="H133" s="329"/>
      <c r="I133" s="329"/>
      <c r="J133" s="329"/>
      <c r="K133" s="329"/>
      <c r="L133" s="329"/>
      <c r="M133" s="329"/>
      <c r="N133" s="329"/>
      <c r="O133" s="330">
        <f t="shared" si="13"/>
        <v>6896</v>
      </c>
      <c r="P133" s="708">
        <v>50000</v>
      </c>
    </row>
    <row r="134" spans="1:17">
      <c r="A134" s="388">
        <v>4013600000</v>
      </c>
      <c r="B134" s="228" t="s">
        <v>138</v>
      </c>
      <c r="C134" s="329">
        <v>2700</v>
      </c>
      <c r="D134" s="329"/>
      <c r="E134" s="329"/>
      <c r="F134" s="329"/>
      <c r="G134" s="329"/>
      <c r="H134" s="329"/>
      <c r="I134" s="329"/>
      <c r="J134" s="329"/>
      <c r="K134" s="329"/>
      <c r="L134" s="329"/>
      <c r="M134" s="329"/>
      <c r="N134" s="329"/>
      <c r="O134" s="330">
        <f t="shared" si="13"/>
        <v>2700</v>
      </c>
      <c r="P134" s="708">
        <v>3000</v>
      </c>
      <c r="Q134" s="525"/>
    </row>
    <row r="135" spans="1:17">
      <c r="A135" s="388">
        <v>4909900000</v>
      </c>
      <c r="B135" s="228" t="s">
        <v>139</v>
      </c>
      <c r="C135" s="329">
        <v>25893</v>
      </c>
      <c r="D135" s="329">
        <v>1266</v>
      </c>
      <c r="E135" s="329">
        <v>18307</v>
      </c>
      <c r="F135" s="329"/>
      <c r="G135" s="329"/>
      <c r="H135" s="329"/>
      <c r="I135" s="329"/>
      <c r="J135" s="329"/>
      <c r="K135" s="329"/>
      <c r="L135" s="329"/>
      <c r="M135" s="329"/>
      <c r="N135" s="329"/>
      <c r="O135" s="330">
        <f t="shared" si="13"/>
        <v>45466</v>
      </c>
      <c r="P135" s="708">
        <v>225000</v>
      </c>
    </row>
    <row r="136" spans="1:17">
      <c r="A136" s="388">
        <v>4011400000</v>
      </c>
      <c r="B136" s="228" t="s">
        <v>140</v>
      </c>
      <c r="C136" s="329"/>
      <c r="D136" s="329"/>
      <c r="E136" s="329"/>
      <c r="F136" s="329"/>
      <c r="G136" s="329"/>
      <c r="H136" s="329"/>
      <c r="I136" s="329"/>
      <c r="J136" s="329"/>
      <c r="K136" s="329"/>
      <c r="L136" s="329"/>
      <c r="M136" s="329"/>
      <c r="N136" s="329"/>
      <c r="O136" s="330">
        <f t="shared" si="13"/>
        <v>0</v>
      </c>
      <c r="P136" s="708">
        <v>2000</v>
      </c>
    </row>
    <row r="137" spans="1:17">
      <c r="A137" s="388">
        <v>9845500000</v>
      </c>
      <c r="B137" s="228" t="s">
        <v>141</v>
      </c>
      <c r="C137" s="329"/>
      <c r="D137" s="329">
        <v>4509</v>
      </c>
      <c r="E137" s="329">
        <v>7792</v>
      </c>
      <c r="F137" s="329"/>
      <c r="G137" s="329"/>
      <c r="H137" s="329"/>
      <c r="I137" s="329"/>
      <c r="J137" s="329"/>
      <c r="K137" s="329"/>
      <c r="L137" s="329"/>
      <c r="M137" s="329"/>
      <c r="N137" s="329"/>
      <c r="O137" s="330">
        <f t="shared" si="13"/>
        <v>12301</v>
      </c>
      <c r="P137" s="708">
        <v>70000</v>
      </c>
    </row>
    <row r="138" spans="1:17">
      <c r="A138" s="813" t="s">
        <v>142</v>
      </c>
      <c r="B138" s="228" t="s">
        <v>143</v>
      </c>
      <c r="C138" s="329">
        <v>20560</v>
      </c>
      <c r="D138" s="329">
        <v>15800</v>
      </c>
      <c r="E138" s="329">
        <v>15900</v>
      </c>
      <c r="F138" s="329">
        <v>0</v>
      </c>
      <c r="G138" s="329">
        <v>9600</v>
      </c>
      <c r="H138" s="329">
        <v>45000</v>
      </c>
      <c r="I138" s="329">
        <v>57900</v>
      </c>
      <c r="J138" s="329">
        <v>12000</v>
      </c>
      <c r="K138" s="329">
        <v>7800</v>
      </c>
      <c r="L138" s="329">
        <v>16950</v>
      </c>
      <c r="M138" s="329"/>
      <c r="N138" s="329"/>
      <c r="O138" s="330">
        <f t="shared" si="13"/>
        <v>201510</v>
      </c>
      <c r="P138" s="708"/>
    </row>
    <row r="139" spans="1:17">
      <c r="A139" s="813" t="s">
        <v>144</v>
      </c>
      <c r="B139" s="228" t="s">
        <v>143</v>
      </c>
      <c r="C139" s="329">
        <v>3500</v>
      </c>
      <c r="D139" s="329"/>
      <c r="E139" s="329"/>
      <c r="F139" s="329"/>
      <c r="G139" s="329"/>
      <c r="H139" s="329"/>
      <c r="I139" s="329"/>
      <c r="J139" s="329"/>
      <c r="K139" s="329"/>
      <c r="L139" s="329">
        <v>2625</v>
      </c>
      <c r="M139" s="329"/>
      <c r="N139" s="329"/>
      <c r="O139" s="330">
        <f t="shared" si="13"/>
        <v>6125</v>
      </c>
      <c r="P139" s="708"/>
    </row>
    <row r="140" spans="1:17">
      <c r="A140" s="388"/>
      <c r="B140" s="228"/>
      <c r="C140" s="329"/>
      <c r="D140" s="329"/>
      <c r="E140" s="329"/>
      <c r="F140" s="329"/>
      <c r="G140" s="329"/>
      <c r="H140" s="329"/>
      <c r="I140" s="329"/>
      <c r="J140" s="329"/>
      <c r="K140" s="329"/>
      <c r="L140" s="329"/>
      <c r="M140" s="329"/>
      <c r="N140" s="329"/>
      <c r="O140" s="330">
        <f t="shared" si="13"/>
        <v>0</v>
      </c>
      <c r="P140" s="708"/>
    </row>
    <row r="141" spans="1:17">
      <c r="A141" s="388"/>
      <c r="B141" s="292"/>
      <c r="C141" s="292"/>
      <c r="D141" s="292"/>
      <c r="E141" s="292"/>
      <c r="F141" s="292"/>
      <c r="G141" s="292"/>
      <c r="H141" s="292"/>
      <c r="I141" s="292"/>
      <c r="J141" s="292"/>
      <c r="K141" s="292"/>
      <c r="L141" s="292"/>
      <c r="M141" s="292"/>
      <c r="N141" s="292"/>
      <c r="O141" s="330">
        <f t="shared" si="13"/>
        <v>0</v>
      </c>
      <c r="P141" s="708"/>
    </row>
    <row r="142" spans="1:17" ht="13.5" thickBot="1">
      <c r="A142" s="388"/>
      <c r="B142" s="345" t="s">
        <v>145</v>
      </c>
      <c r="C142" s="346">
        <f>SUM(C128:C137)</f>
        <v>1761411</v>
      </c>
      <c r="D142" s="346">
        <f t="shared" ref="D142:N142" si="18">SUM(D128:D137)</f>
        <v>1776886</v>
      </c>
      <c r="E142" s="346">
        <f>SUM(E128:E138)</f>
        <v>1714390</v>
      </c>
      <c r="F142" s="346">
        <f t="shared" si="18"/>
        <v>2236982</v>
      </c>
      <c r="G142" s="346">
        <f t="shared" si="18"/>
        <v>1820121</v>
      </c>
      <c r="H142" s="346">
        <f t="shared" si="18"/>
        <v>1820121</v>
      </c>
      <c r="I142" s="346">
        <f t="shared" si="18"/>
        <v>1820121</v>
      </c>
      <c r="J142" s="346">
        <f t="shared" si="18"/>
        <v>1820121</v>
      </c>
      <c r="K142" s="346">
        <f t="shared" si="18"/>
        <v>1820121</v>
      </c>
      <c r="L142" s="346">
        <f t="shared" si="18"/>
        <v>1820121</v>
      </c>
      <c r="M142" s="346">
        <f t="shared" si="18"/>
        <v>1820121</v>
      </c>
      <c r="N142" s="346">
        <f t="shared" si="18"/>
        <v>1820121</v>
      </c>
      <c r="O142" s="346">
        <f>SUM(C142:N142)</f>
        <v>22050637</v>
      </c>
      <c r="P142" s="708">
        <f>SUM(P128:P141)</f>
        <v>23109016</v>
      </c>
    </row>
    <row r="143" spans="1:17" ht="13.5" thickBot="1">
      <c r="B143" s="350" t="s">
        <v>146</v>
      </c>
      <c r="C143" s="351">
        <f>C126-C142</f>
        <v>-24258.666666666511</v>
      </c>
      <c r="D143" s="351">
        <f t="shared" ref="D143:N143" si="19">D126-D142</f>
        <v>88311.333333333489</v>
      </c>
      <c r="E143" s="351">
        <f t="shared" si="19"/>
        <v>190592.33333333349</v>
      </c>
      <c r="F143" s="351">
        <f t="shared" si="19"/>
        <v>-382652.66666666651</v>
      </c>
      <c r="G143" s="351">
        <f t="shared" si="19"/>
        <v>-20896.666666666511</v>
      </c>
      <c r="H143" s="351">
        <f t="shared" si="19"/>
        <v>-34419.666666666511</v>
      </c>
      <c r="I143" s="351">
        <f t="shared" si="19"/>
        <v>-76396.666666666511</v>
      </c>
      <c r="J143" s="351">
        <f t="shared" si="19"/>
        <v>-38371.666666666511</v>
      </c>
      <c r="K143" s="351">
        <f t="shared" si="19"/>
        <v>-5746.6666666665114</v>
      </c>
      <c r="L143" s="351">
        <f t="shared" si="19"/>
        <v>-15721.666666666511</v>
      </c>
      <c r="M143" s="351">
        <f t="shared" si="19"/>
        <v>3987.3333333334886</v>
      </c>
      <c r="N143" s="351">
        <f t="shared" si="19"/>
        <v>-48996.666666666511</v>
      </c>
      <c r="O143" s="351">
        <f t="shared" si="13"/>
        <v>-364569.99999999814</v>
      </c>
      <c r="P143" s="291">
        <f>+P124-P142</f>
        <v>1981836</v>
      </c>
    </row>
    <row r="144" spans="1:17" ht="13.5" thickBot="1">
      <c r="A144" s="352"/>
      <c r="B144" s="353"/>
      <c r="C144" s="353"/>
      <c r="D144" s="353"/>
      <c r="E144" s="353"/>
      <c r="F144" s="353"/>
      <c r="G144" s="353"/>
      <c r="H144" s="353"/>
      <c r="I144" s="353"/>
      <c r="J144" s="353"/>
      <c r="K144" s="353"/>
      <c r="L144" s="353"/>
      <c r="M144" s="353"/>
      <c r="N144" s="353"/>
    </row>
    <row r="145" spans="1:14" ht="20.25">
      <c r="A145" s="825" t="s">
        <v>221</v>
      </c>
      <c r="B145" s="825"/>
      <c r="C145" s="825"/>
      <c r="D145" s="825"/>
      <c r="E145" s="825"/>
      <c r="F145" s="825"/>
      <c r="G145" s="825"/>
      <c r="H145" s="825"/>
      <c r="I145" s="825"/>
      <c r="J145" s="825"/>
      <c r="K145" s="825"/>
      <c r="L145" s="825"/>
      <c r="M145" s="825"/>
      <c r="N145" s="825"/>
    </row>
    <row r="146" spans="1:14">
      <c r="A146" s="227"/>
      <c r="B146" s="227"/>
      <c r="C146" s="227"/>
      <c r="D146" s="227"/>
      <c r="E146" s="227"/>
      <c r="F146" s="227"/>
      <c r="G146" s="227"/>
      <c r="H146" s="227"/>
      <c r="I146" s="227"/>
      <c r="J146" s="227"/>
      <c r="K146" s="227"/>
      <c r="L146" s="227"/>
      <c r="M146" s="227"/>
    </row>
    <row r="147" spans="1:14">
      <c r="A147" s="228"/>
      <c r="B147" s="229" t="s">
        <v>44</v>
      </c>
      <c r="C147" s="229" t="s">
        <v>45</v>
      </c>
      <c r="D147" s="230" t="s">
        <v>46</v>
      </c>
      <c r="E147" s="229" t="s">
        <v>47</v>
      </c>
      <c r="F147" s="229" t="s">
        <v>48</v>
      </c>
      <c r="G147" s="230" t="s">
        <v>49</v>
      </c>
      <c r="H147" s="229" t="s">
        <v>38</v>
      </c>
      <c r="I147" s="229" t="s">
        <v>39</v>
      </c>
      <c r="J147" s="229" t="s">
        <v>40</v>
      </c>
      <c r="K147" s="229" t="s">
        <v>41</v>
      </c>
      <c r="L147" s="229" t="s">
        <v>42</v>
      </c>
      <c r="M147" s="229" t="s">
        <v>43</v>
      </c>
      <c r="N147" s="228" t="s">
        <v>64</v>
      </c>
    </row>
    <row r="148" spans="1:14">
      <c r="A148" s="231" t="s">
        <v>65</v>
      </c>
      <c r="B148" s="620">
        <v>2565</v>
      </c>
      <c r="C148" s="620">
        <v>2565</v>
      </c>
      <c r="D148" s="620">
        <v>2565</v>
      </c>
      <c r="E148" s="620">
        <v>2565</v>
      </c>
      <c r="F148" s="620">
        <v>2565</v>
      </c>
      <c r="G148" s="620">
        <v>2565</v>
      </c>
      <c r="H148" s="620">
        <v>2565</v>
      </c>
      <c r="I148" s="620">
        <v>2565</v>
      </c>
      <c r="J148" s="620">
        <v>2565</v>
      </c>
      <c r="K148" s="620">
        <v>2565</v>
      </c>
      <c r="L148" s="620">
        <v>2565</v>
      </c>
      <c r="M148" s="620">
        <v>2565</v>
      </c>
      <c r="N148" s="620">
        <f t="shared" ref="N148:N158" si="20">SUM(B148:M148)</f>
        <v>30780</v>
      </c>
    </row>
    <row r="149" spans="1:14">
      <c r="A149" s="231" t="s">
        <v>66</v>
      </c>
      <c r="B149" s="620"/>
      <c r="C149" s="620"/>
      <c r="D149" s="620"/>
      <c r="E149" s="620"/>
      <c r="F149" s="620"/>
      <c r="G149" s="621"/>
      <c r="H149" s="620"/>
      <c r="I149" s="620">
        <v>22.5</v>
      </c>
      <c r="J149" s="622"/>
      <c r="K149" s="620"/>
      <c r="L149" s="620"/>
      <c r="M149" s="620"/>
      <c r="N149" s="620">
        <f t="shared" si="20"/>
        <v>22.5</v>
      </c>
    </row>
    <row r="150" spans="1:14">
      <c r="A150" s="231" t="s">
        <v>222</v>
      </c>
      <c r="B150" s="620"/>
      <c r="C150" s="620"/>
      <c r="D150" s="620"/>
      <c r="E150" s="620"/>
      <c r="F150" s="620"/>
      <c r="G150" s="621"/>
      <c r="H150" s="620"/>
      <c r="I150" s="620"/>
      <c r="J150" s="620"/>
      <c r="K150" s="620"/>
      <c r="L150" s="620"/>
      <c r="M150" s="620"/>
      <c r="N150" s="620">
        <f t="shared" si="20"/>
        <v>0</v>
      </c>
    </row>
    <row r="151" spans="1:14">
      <c r="A151" s="231" t="s">
        <v>223</v>
      </c>
      <c r="B151" s="620">
        <v>37</v>
      </c>
      <c r="C151" s="620">
        <v>87.75</v>
      </c>
      <c r="D151" s="620"/>
      <c r="E151" s="620"/>
      <c r="F151" s="620"/>
      <c r="G151" s="621"/>
      <c r="H151" s="620"/>
      <c r="I151" s="620"/>
      <c r="J151" s="620"/>
      <c r="K151" s="620"/>
      <c r="L151" s="620"/>
      <c r="M151" s="620"/>
      <c r="N151" s="620">
        <f t="shared" si="20"/>
        <v>124.75</v>
      </c>
    </row>
    <row r="152" spans="1:14">
      <c r="A152" s="231" t="s">
        <v>70</v>
      </c>
      <c r="B152" s="620"/>
      <c r="C152" s="620">
        <v>43</v>
      </c>
      <c r="D152" s="620"/>
      <c r="E152" s="620"/>
      <c r="F152" s="620"/>
      <c r="G152" s="621"/>
      <c r="H152" s="620"/>
      <c r="I152" s="620"/>
      <c r="J152" s="620"/>
      <c r="K152" s="620"/>
      <c r="L152" s="620"/>
      <c r="M152" s="620"/>
      <c r="N152" s="620">
        <f t="shared" si="20"/>
        <v>43</v>
      </c>
    </row>
    <row r="153" spans="1:14">
      <c r="A153" s="231" t="s">
        <v>71</v>
      </c>
      <c r="B153" s="620">
        <v>192.75</v>
      </c>
      <c r="C153" s="620">
        <v>216.25</v>
      </c>
      <c r="D153" s="620"/>
      <c r="E153" s="620"/>
      <c r="F153" s="620"/>
      <c r="G153" s="621"/>
      <c r="H153" s="620"/>
      <c r="I153" s="620"/>
      <c r="J153" s="620"/>
      <c r="K153" s="620"/>
      <c r="L153" s="620"/>
      <c r="M153" s="620"/>
      <c r="N153" s="620">
        <f t="shared" si="20"/>
        <v>409</v>
      </c>
    </row>
    <row r="154" spans="1:14">
      <c r="A154" s="231" t="s">
        <v>72</v>
      </c>
      <c r="B154" s="620">
        <v>7.75</v>
      </c>
      <c r="C154" s="620"/>
      <c r="D154" s="620"/>
      <c r="E154" s="620"/>
      <c r="F154" s="620"/>
      <c r="G154" s="621"/>
      <c r="H154" s="620"/>
      <c r="I154" s="620"/>
      <c r="J154" s="620"/>
      <c r="K154" s="620"/>
      <c r="L154" s="620"/>
      <c r="M154" s="620"/>
      <c r="N154" s="620">
        <f t="shared" si="20"/>
        <v>7.75</v>
      </c>
    </row>
    <row r="155" spans="1:14">
      <c r="A155" s="231" t="s">
        <v>73</v>
      </c>
      <c r="B155" s="620">
        <v>18.75</v>
      </c>
      <c r="C155" s="620">
        <v>90</v>
      </c>
      <c r="D155" s="620"/>
      <c r="E155" s="620"/>
      <c r="F155" s="620"/>
      <c r="G155" s="621"/>
      <c r="H155" s="620"/>
      <c r="I155" s="620"/>
      <c r="J155" s="620"/>
      <c r="K155" s="620"/>
      <c r="L155" s="620"/>
      <c r="M155" s="620"/>
      <c r="N155" s="620">
        <f t="shared" si="20"/>
        <v>108.75</v>
      </c>
    </row>
    <row r="156" spans="1:14">
      <c r="A156" s="231" t="s">
        <v>74</v>
      </c>
      <c r="B156" s="620"/>
      <c r="C156" s="620"/>
      <c r="D156" s="620"/>
      <c r="E156" s="620"/>
      <c r="F156" s="620"/>
      <c r="G156" s="621"/>
      <c r="H156" s="620"/>
      <c r="I156" s="620"/>
      <c r="J156" s="620"/>
      <c r="K156" s="620"/>
      <c r="L156" s="620"/>
      <c r="M156" s="620"/>
      <c r="N156" s="620">
        <f t="shared" si="20"/>
        <v>0</v>
      </c>
    </row>
    <row r="157" spans="1:14">
      <c r="A157" s="231" t="s">
        <v>75</v>
      </c>
      <c r="B157" s="620"/>
      <c r="C157" s="620"/>
      <c r="D157" s="620"/>
      <c r="E157" s="620"/>
      <c r="F157" s="620"/>
      <c r="G157" s="621"/>
      <c r="H157" s="620"/>
      <c r="I157" s="620"/>
      <c r="J157" s="620"/>
      <c r="K157" s="620"/>
      <c r="L157" s="620"/>
      <c r="M157" s="620"/>
      <c r="N157" s="620">
        <f t="shared" si="20"/>
        <v>0</v>
      </c>
    </row>
    <row r="158" spans="1:14" ht="13.5" thickBot="1">
      <c r="A158" s="235" t="s">
        <v>76</v>
      </c>
      <c r="B158" s="623">
        <v>6</v>
      </c>
      <c r="C158" s="623"/>
      <c r="D158" s="623"/>
      <c r="E158" s="623"/>
      <c r="F158" s="623"/>
      <c r="G158" s="624"/>
      <c r="H158" s="623"/>
      <c r="I158" s="623"/>
      <c r="J158" s="623"/>
      <c r="K158" s="623"/>
      <c r="L158" s="623"/>
      <c r="M158" s="623"/>
      <c r="N158" s="625">
        <f t="shared" si="20"/>
        <v>6</v>
      </c>
    </row>
    <row r="159" spans="1:14" ht="13.5" thickBot="1">
      <c r="A159" s="239" t="s">
        <v>77</v>
      </c>
      <c r="B159" s="626">
        <f>SUM(B148:B158)</f>
        <v>2827.25</v>
      </c>
      <c r="C159" s="626">
        <f t="shared" ref="C159:N159" si="21">SUM(C148:C158)</f>
        <v>3002</v>
      </c>
      <c r="D159" s="626">
        <f t="shared" si="21"/>
        <v>2565</v>
      </c>
      <c r="E159" s="626">
        <f t="shared" si="21"/>
        <v>2565</v>
      </c>
      <c r="F159" s="626">
        <f t="shared" si="21"/>
        <v>2565</v>
      </c>
      <c r="G159" s="626">
        <f t="shared" si="21"/>
        <v>2565</v>
      </c>
      <c r="H159" s="626">
        <f t="shared" si="21"/>
        <v>2565</v>
      </c>
      <c r="I159" s="626">
        <f t="shared" si="21"/>
        <v>2587.5</v>
      </c>
      <c r="J159" s="626">
        <f t="shared" si="21"/>
        <v>2565</v>
      </c>
      <c r="K159" s="626">
        <f t="shared" si="21"/>
        <v>2565</v>
      </c>
      <c r="L159" s="626">
        <f t="shared" si="21"/>
        <v>2565</v>
      </c>
      <c r="M159" s="626">
        <f t="shared" si="21"/>
        <v>2565</v>
      </c>
      <c r="N159" s="632">
        <f t="shared" si="21"/>
        <v>31501.75</v>
      </c>
    </row>
    <row r="160" spans="1:14">
      <c r="A160" s="243"/>
      <c r="B160" s="261"/>
      <c r="C160" s="261"/>
      <c r="D160" s="261"/>
      <c r="E160" s="261"/>
      <c r="F160" s="261"/>
      <c r="G160" s="261"/>
      <c r="H160" s="261"/>
      <c r="I160" s="261"/>
      <c r="J160" s="261"/>
      <c r="K160" s="261"/>
      <c r="L160" s="261"/>
      <c r="M160" s="261"/>
      <c r="N160" s="261"/>
    </row>
    <row r="161" spans="1:14">
      <c r="A161" s="243"/>
      <c r="B161" s="261"/>
      <c r="C161" s="261"/>
      <c r="D161" s="261"/>
      <c r="E161" s="261"/>
      <c r="F161" s="261"/>
      <c r="G161" s="261"/>
      <c r="H161" s="261"/>
      <c r="I161" s="261"/>
      <c r="J161" s="261"/>
      <c r="K161" s="261"/>
      <c r="L161" s="261"/>
      <c r="M161" s="261"/>
      <c r="N161" s="629" t="s">
        <v>78</v>
      </c>
    </row>
    <row r="162" spans="1:14">
      <c r="A162" s="231" t="s">
        <v>79</v>
      </c>
      <c r="B162" s="620">
        <v>0</v>
      </c>
      <c r="C162" s="620">
        <f t="shared" ref="C162:M162" si="22">SUM(C149*100/C159)</f>
        <v>0</v>
      </c>
      <c r="D162" s="620">
        <f t="shared" si="22"/>
        <v>0</v>
      </c>
      <c r="E162" s="620">
        <f t="shared" si="22"/>
        <v>0</v>
      </c>
      <c r="F162" s="620">
        <f t="shared" si="22"/>
        <v>0</v>
      </c>
      <c r="G162" s="620">
        <f t="shared" si="22"/>
        <v>0</v>
      </c>
      <c r="H162" s="620">
        <f t="shared" si="22"/>
        <v>0</v>
      </c>
      <c r="I162" s="620">
        <f t="shared" si="22"/>
        <v>0.86956521739130432</v>
      </c>
      <c r="J162" s="620">
        <f t="shared" si="22"/>
        <v>0</v>
      </c>
      <c r="K162" s="620">
        <f t="shared" si="22"/>
        <v>0</v>
      </c>
      <c r="L162" s="620">
        <f t="shared" si="22"/>
        <v>0</v>
      </c>
      <c r="M162" s="620">
        <f t="shared" si="22"/>
        <v>0</v>
      </c>
      <c r="N162" s="630">
        <f>SUM(B162:M162)/12</f>
        <v>7.2463768115942032E-2</v>
      </c>
    </row>
    <row r="163" spans="1:14">
      <c r="A163" s="243"/>
      <c r="B163" s="261"/>
      <c r="C163" s="261"/>
      <c r="D163" s="261"/>
      <c r="E163" s="261"/>
      <c r="F163" s="261"/>
      <c r="G163" s="261"/>
      <c r="H163" s="261"/>
      <c r="I163" s="261"/>
      <c r="J163" s="261"/>
      <c r="K163" s="261"/>
      <c r="L163" s="261"/>
      <c r="M163" s="261"/>
      <c r="N163" s="261"/>
    </row>
    <row r="164" spans="1:14">
      <c r="A164" s="231" t="s">
        <v>80</v>
      </c>
      <c r="B164" s="620">
        <f t="shared" ref="B164:M164" si="23">SUM(B153*100/B159)</f>
        <v>6.8175789194446903</v>
      </c>
      <c r="C164" s="620">
        <f t="shared" si="23"/>
        <v>7.2035309793471018</v>
      </c>
      <c r="D164" s="620">
        <f t="shared" si="23"/>
        <v>0</v>
      </c>
      <c r="E164" s="620">
        <f t="shared" si="23"/>
        <v>0</v>
      </c>
      <c r="F164" s="620">
        <f t="shared" si="23"/>
        <v>0</v>
      </c>
      <c r="G164" s="620">
        <f t="shared" si="23"/>
        <v>0</v>
      </c>
      <c r="H164" s="620">
        <f t="shared" si="23"/>
        <v>0</v>
      </c>
      <c r="I164" s="620">
        <f t="shared" si="23"/>
        <v>0</v>
      </c>
      <c r="J164" s="620">
        <f t="shared" si="23"/>
        <v>0</v>
      </c>
      <c r="K164" s="620">
        <f t="shared" si="23"/>
        <v>0</v>
      </c>
      <c r="L164" s="620">
        <f t="shared" si="23"/>
        <v>0</v>
      </c>
      <c r="M164" s="620">
        <f t="shared" si="23"/>
        <v>0</v>
      </c>
      <c r="N164" s="630">
        <f>SUM(B164:M164)/12</f>
        <v>1.168425824899316</v>
      </c>
    </row>
    <row r="165" spans="1:14" ht="13.5" thickBot="1">
      <c r="A165" s="247" t="s">
        <v>81</v>
      </c>
      <c r="B165" s="625">
        <f t="shared" ref="B165:M165" si="24">SUM(B154*100/B159)</f>
        <v>0.27411795914758158</v>
      </c>
      <c r="C165" s="625">
        <f t="shared" si="24"/>
        <v>0</v>
      </c>
      <c r="D165" s="625">
        <f t="shared" si="24"/>
        <v>0</v>
      </c>
      <c r="E165" s="625">
        <f t="shared" si="24"/>
        <v>0</v>
      </c>
      <c r="F165" s="625">
        <f t="shared" si="24"/>
        <v>0</v>
      </c>
      <c r="G165" s="625">
        <f t="shared" si="24"/>
        <v>0</v>
      </c>
      <c r="H165" s="625">
        <f t="shared" si="24"/>
        <v>0</v>
      </c>
      <c r="I165" s="625">
        <f t="shared" si="24"/>
        <v>0</v>
      </c>
      <c r="J165" s="625">
        <f t="shared" si="24"/>
        <v>0</v>
      </c>
      <c r="K165" s="625">
        <f t="shared" si="24"/>
        <v>0</v>
      </c>
      <c r="L165" s="625">
        <f t="shared" si="24"/>
        <v>0</v>
      </c>
      <c r="M165" s="625">
        <f t="shared" si="24"/>
        <v>0</v>
      </c>
      <c r="N165" s="631">
        <f>SUM(B165:M165)/12</f>
        <v>2.2843163262298464E-2</v>
      </c>
    </row>
    <row r="166" spans="1:14" ht="13.5" thickBot="1">
      <c r="A166" s="249" t="s">
        <v>82</v>
      </c>
      <c r="B166" s="632">
        <f t="shared" ref="B166:M166" si="25">SUM(B164:B164)</f>
        <v>6.8175789194446903</v>
      </c>
      <c r="C166" s="632">
        <f t="shared" si="25"/>
        <v>7.2035309793471018</v>
      </c>
      <c r="D166" s="632">
        <f t="shared" si="25"/>
        <v>0</v>
      </c>
      <c r="E166" s="632">
        <f t="shared" si="25"/>
        <v>0</v>
      </c>
      <c r="F166" s="632">
        <f t="shared" si="25"/>
        <v>0</v>
      </c>
      <c r="G166" s="632">
        <f t="shared" si="25"/>
        <v>0</v>
      </c>
      <c r="H166" s="632">
        <f t="shared" si="25"/>
        <v>0</v>
      </c>
      <c r="I166" s="632">
        <f t="shared" si="25"/>
        <v>0</v>
      </c>
      <c r="J166" s="632">
        <f t="shared" si="25"/>
        <v>0</v>
      </c>
      <c r="K166" s="632">
        <f t="shared" si="25"/>
        <v>0</v>
      </c>
      <c r="L166" s="632">
        <f t="shared" si="25"/>
        <v>0</v>
      </c>
      <c r="M166" s="632">
        <f t="shared" si="25"/>
        <v>0</v>
      </c>
      <c r="N166" s="633">
        <f>SUM(N164:N165)</f>
        <v>1.1912689881616145</v>
      </c>
    </row>
    <row r="167" spans="1:14">
      <c r="A167" s="243" t="s">
        <v>83</v>
      </c>
      <c r="B167" s="261"/>
      <c r="C167" s="261"/>
      <c r="D167" s="634">
        <f>SUM(B166:D166)/3</f>
        <v>4.673703299597264</v>
      </c>
      <c r="E167" s="261"/>
      <c r="F167" s="261"/>
      <c r="G167" s="634">
        <f>SUM(E166,F166,G166)/3</f>
        <v>0</v>
      </c>
      <c r="H167" s="261"/>
      <c r="I167" s="261"/>
      <c r="J167" s="634">
        <f>SUM(H166,I166,J166)/3</f>
        <v>0</v>
      </c>
      <c r="K167" s="261"/>
      <c r="L167" s="261"/>
      <c r="M167" s="634">
        <f>SUM(K166,L166,M166)/3</f>
        <v>0</v>
      </c>
      <c r="N167" s="635">
        <f>SUM(D167:M167)/4</f>
        <v>1.168425824899316</v>
      </c>
    </row>
    <row r="168" spans="1:14">
      <c r="A168" s="243" t="s">
        <v>84</v>
      </c>
      <c r="B168" s="261"/>
      <c r="C168" s="261"/>
      <c r="D168" s="262"/>
      <c r="E168" s="261"/>
      <c r="F168" s="261"/>
      <c r="G168" s="262"/>
      <c r="H168" s="261"/>
      <c r="I168" s="261"/>
      <c r="J168" s="262"/>
      <c r="K168" s="261"/>
      <c r="L168" s="261"/>
      <c r="M168" s="262"/>
      <c r="N168" s="630">
        <f>SUM(D168:G168,J168,M168)/4</f>
        <v>0</v>
      </c>
    </row>
    <row r="169" spans="1:14">
      <c r="A169" s="243"/>
      <c r="B169" s="261"/>
      <c r="C169" s="261"/>
      <c r="D169" s="261"/>
      <c r="E169" s="261"/>
      <c r="F169" s="261"/>
      <c r="G169" s="261"/>
      <c r="H169" s="261"/>
      <c r="I169" s="261"/>
      <c r="J169" s="261"/>
      <c r="K169" s="261"/>
      <c r="L169" s="261"/>
      <c r="M169" s="261"/>
      <c r="N169" s="261"/>
    </row>
    <row r="170" spans="1:14">
      <c r="A170" s="231" t="s">
        <v>85</v>
      </c>
      <c r="B170" s="620">
        <f t="shared" ref="B170:M170" si="26">B157*100/B159</f>
        <v>0</v>
      </c>
      <c r="C170" s="620">
        <f t="shared" si="26"/>
        <v>0</v>
      </c>
      <c r="D170" s="620">
        <f t="shared" si="26"/>
        <v>0</v>
      </c>
      <c r="E170" s="620">
        <f t="shared" si="26"/>
        <v>0</v>
      </c>
      <c r="F170" s="620">
        <f t="shared" si="26"/>
        <v>0</v>
      </c>
      <c r="G170" s="620">
        <f t="shared" si="26"/>
        <v>0</v>
      </c>
      <c r="H170" s="620">
        <f t="shared" si="26"/>
        <v>0</v>
      </c>
      <c r="I170" s="620">
        <f t="shared" si="26"/>
        <v>0</v>
      </c>
      <c r="J170" s="620">
        <f t="shared" si="26"/>
        <v>0</v>
      </c>
      <c r="K170" s="620">
        <f t="shared" si="26"/>
        <v>0</v>
      </c>
      <c r="L170" s="620">
        <f t="shared" si="26"/>
        <v>0</v>
      </c>
      <c r="M170" s="620">
        <f t="shared" si="26"/>
        <v>0</v>
      </c>
      <c r="N170" s="630">
        <f>SUM(B170:M170)/12</f>
        <v>0</v>
      </c>
    </row>
    <row r="171" spans="1:14">
      <c r="A171" s="231" t="s">
        <v>86</v>
      </c>
      <c r="B171" s="620">
        <f t="shared" ref="B171:M171" si="27">B155*100/B159</f>
        <v>0.66318861084092318</v>
      </c>
      <c r="C171" s="620">
        <f t="shared" si="27"/>
        <v>2.9980013324450367</v>
      </c>
      <c r="D171" s="620">
        <f t="shared" si="27"/>
        <v>0</v>
      </c>
      <c r="E171" s="620">
        <f t="shared" si="27"/>
        <v>0</v>
      </c>
      <c r="F171" s="620">
        <f t="shared" si="27"/>
        <v>0</v>
      </c>
      <c r="G171" s="620">
        <f t="shared" si="27"/>
        <v>0</v>
      </c>
      <c r="H171" s="620">
        <f t="shared" si="27"/>
        <v>0</v>
      </c>
      <c r="I171" s="620">
        <f t="shared" si="27"/>
        <v>0</v>
      </c>
      <c r="J171" s="620">
        <f t="shared" si="27"/>
        <v>0</v>
      </c>
      <c r="K171" s="620">
        <f t="shared" si="27"/>
        <v>0</v>
      </c>
      <c r="L171" s="620">
        <f t="shared" si="27"/>
        <v>0</v>
      </c>
      <c r="M171" s="620">
        <f t="shared" si="27"/>
        <v>0</v>
      </c>
      <c r="N171" s="630">
        <f>SUM(B171:M171)/12</f>
        <v>0.30509916194049663</v>
      </c>
    </row>
    <row r="172" spans="1:14" ht="13.5" thickBot="1">
      <c r="A172" s="231" t="s">
        <v>87</v>
      </c>
      <c r="B172" s="620">
        <f t="shared" ref="B172:M172" si="28">B151*100/B159</f>
        <v>1.3086921920594217</v>
      </c>
      <c r="C172" s="620">
        <f t="shared" si="28"/>
        <v>2.9230512991339106</v>
      </c>
      <c r="D172" s="620">
        <f t="shared" si="28"/>
        <v>0</v>
      </c>
      <c r="E172" s="620">
        <f t="shared" si="28"/>
        <v>0</v>
      </c>
      <c r="F172" s="620">
        <f t="shared" si="28"/>
        <v>0</v>
      </c>
      <c r="G172" s="620">
        <f t="shared" si="28"/>
        <v>0</v>
      </c>
      <c r="H172" s="620">
        <f t="shared" si="28"/>
        <v>0</v>
      </c>
      <c r="I172" s="620">
        <f t="shared" si="28"/>
        <v>0</v>
      </c>
      <c r="J172" s="620">
        <f t="shared" si="28"/>
        <v>0</v>
      </c>
      <c r="K172" s="620">
        <f t="shared" si="28"/>
        <v>0</v>
      </c>
      <c r="L172" s="620">
        <f t="shared" si="28"/>
        <v>0</v>
      </c>
      <c r="M172" s="620">
        <f t="shared" si="28"/>
        <v>0</v>
      </c>
      <c r="N172" s="630">
        <f>SUM(B172:M172)/12</f>
        <v>0.35264529093277769</v>
      </c>
    </row>
    <row r="173" spans="1:14" ht="13.5" thickBot="1">
      <c r="A173" s="255" t="s">
        <v>88</v>
      </c>
      <c r="B173" s="636">
        <f t="shared" ref="B173:M173" si="29">SUM(B148-B159)*100/B159</f>
        <v>-9.2757980369617119</v>
      </c>
      <c r="C173" s="636">
        <f t="shared" si="29"/>
        <v>-14.556962025316455</v>
      </c>
      <c r="D173" s="636">
        <f t="shared" si="29"/>
        <v>0</v>
      </c>
      <c r="E173" s="636">
        <f t="shared" si="29"/>
        <v>0</v>
      </c>
      <c r="F173" s="636">
        <f t="shared" si="29"/>
        <v>0</v>
      </c>
      <c r="G173" s="636">
        <f t="shared" si="29"/>
        <v>0</v>
      </c>
      <c r="H173" s="636">
        <f t="shared" si="29"/>
        <v>0</v>
      </c>
      <c r="I173" s="636">
        <f t="shared" si="29"/>
        <v>-0.86956521739130432</v>
      </c>
      <c r="J173" s="636">
        <f t="shared" si="29"/>
        <v>0</v>
      </c>
      <c r="K173" s="636">
        <f t="shared" si="29"/>
        <v>0</v>
      </c>
      <c r="L173" s="636">
        <f t="shared" si="29"/>
        <v>0</v>
      </c>
      <c r="M173" s="636">
        <f t="shared" si="29"/>
        <v>0</v>
      </c>
      <c r="N173" s="637">
        <f>SUM(B173:M173)/12</f>
        <v>-2.0585271066391226</v>
      </c>
    </row>
    <row r="174" spans="1:14">
      <c r="A174" s="243"/>
      <c r="B174" s="244"/>
      <c r="C174" s="244"/>
      <c r="D174" s="244"/>
      <c r="E174" s="244"/>
      <c r="F174" s="244"/>
      <c r="G174" s="244"/>
      <c r="H174" s="244"/>
      <c r="I174" s="244"/>
      <c r="J174" s="244"/>
      <c r="K174" s="244"/>
      <c r="L174" s="244"/>
      <c r="M174" s="244"/>
      <c r="N174" s="227"/>
    </row>
    <row r="175" spans="1:14">
      <c r="A175" s="258" t="s">
        <v>89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27"/>
    </row>
    <row r="176" spans="1:14">
      <c r="A176" s="231" t="s">
        <v>90</v>
      </c>
      <c r="B176" s="259">
        <v>16</v>
      </c>
      <c r="C176" s="259">
        <v>16</v>
      </c>
      <c r="D176" s="259">
        <v>16</v>
      </c>
      <c r="E176" s="259">
        <v>16</v>
      </c>
      <c r="F176" s="259">
        <v>16</v>
      </c>
      <c r="G176" s="259">
        <v>16</v>
      </c>
      <c r="H176" s="259">
        <v>16</v>
      </c>
      <c r="I176" s="259">
        <f t="shared" ref="I176:N176" si="30">H179</f>
        <v>16</v>
      </c>
      <c r="J176" s="259">
        <f t="shared" si="30"/>
        <v>16</v>
      </c>
      <c r="K176" s="259">
        <f t="shared" si="30"/>
        <v>16</v>
      </c>
      <c r="L176" s="259">
        <f t="shared" si="30"/>
        <v>16</v>
      </c>
      <c r="M176" s="259">
        <f t="shared" si="30"/>
        <v>16</v>
      </c>
      <c r="N176" s="259">
        <f t="shared" si="30"/>
        <v>16</v>
      </c>
    </row>
    <row r="177" spans="1:14">
      <c r="A177" s="231" t="s">
        <v>91</v>
      </c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59"/>
      <c r="N177" s="259">
        <f>SUM(B177:M177)/12</f>
        <v>0</v>
      </c>
    </row>
    <row r="178" spans="1:14">
      <c r="A178" s="231" t="s">
        <v>92</v>
      </c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59"/>
      <c r="N178" s="259">
        <f>SUM(B177:M177)/12</f>
        <v>0</v>
      </c>
    </row>
    <row r="179" spans="1:14">
      <c r="A179" s="231" t="s">
        <v>89</v>
      </c>
      <c r="B179" s="259">
        <f t="shared" ref="B179:M179" si="31">SUM(B176+B177-B178)</f>
        <v>16</v>
      </c>
      <c r="C179" s="259">
        <f t="shared" si="31"/>
        <v>16</v>
      </c>
      <c r="D179" s="259">
        <f t="shared" si="31"/>
        <v>16</v>
      </c>
      <c r="E179" s="259">
        <f t="shared" si="31"/>
        <v>16</v>
      </c>
      <c r="F179" s="259">
        <f t="shared" si="31"/>
        <v>16</v>
      </c>
      <c r="G179" s="259">
        <f t="shared" si="31"/>
        <v>16</v>
      </c>
      <c r="H179" s="259">
        <f t="shared" si="31"/>
        <v>16</v>
      </c>
      <c r="I179" s="259">
        <f t="shared" si="31"/>
        <v>16</v>
      </c>
      <c r="J179" s="259">
        <f t="shared" si="31"/>
        <v>16</v>
      </c>
      <c r="K179" s="259">
        <f t="shared" si="31"/>
        <v>16</v>
      </c>
      <c r="L179" s="259">
        <f t="shared" si="31"/>
        <v>16</v>
      </c>
      <c r="M179" s="259">
        <f t="shared" si="31"/>
        <v>16</v>
      </c>
      <c r="N179" s="259">
        <f>SUM(B178:M178)/12</f>
        <v>0</v>
      </c>
    </row>
    <row r="180" spans="1:14">
      <c r="A180" s="231" t="s">
        <v>93</v>
      </c>
      <c r="B180" s="260">
        <f t="shared" ref="B180:M180" si="32">SUM(B179*100)/B176-100</f>
        <v>0</v>
      </c>
      <c r="C180" s="260">
        <f t="shared" si="32"/>
        <v>0</v>
      </c>
      <c r="D180" s="260">
        <f t="shared" si="32"/>
        <v>0</v>
      </c>
      <c r="E180" s="260">
        <f t="shared" si="32"/>
        <v>0</v>
      </c>
      <c r="F180" s="260">
        <f t="shared" si="32"/>
        <v>0</v>
      </c>
      <c r="G180" s="260">
        <f t="shared" si="32"/>
        <v>0</v>
      </c>
      <c r="H180" s="260">
        <f t="shared" si="32"/>
        <v>0</v>
      </c>
      <c r="I180" s="260">
        <f t="shared" si="32"/>
        <v>0</v>
      </c>
      <c r="J180" s="260">
        <f t="shared" si="32"/>
        <v>0</v>
      </c>
      <c r="K180" s="260">
        <f t="shared" si="32"/>
        <v>0</v>
      </c>
      <c r="L180" s="260">
        <f t="shared" si="32"/>
        <v>0</v>
      </c>
      <c r="M180" s="260">
        <f t="shared" si="32"/>
        <v>0</v>
      </c>
      <c r="N180" s="259"/>
    </row>
    <row r="181" spans="1:14">
      <c r="A181" s="243" t="s">
        <v>94</v>
      </c>
      <c r="B181" s="261"/>
      <c r="C181" s="261"/>
      <c r="D181" s="262">
        <f>SUM(B180:D180/3)</f>
        <v>0</v>
      </c>
      <c r="E181" s="261"/>
      <c r="F181" s="261"/>
      <c r="G181" s="262">
        <f>SUM(E180:G180)/3</f>
        <v>0</v>
      </c>
      <c r="H181" s="261"/>
      <c r="I181" s="261"/>
      <c r="J181" s="262">
        <f>SUM(H180:J180)/3</f>
        <v>0</v>
      </c>
      <c r="K181" s="261"/>
      <c r="L181" s="261"/>
      <c r="M181" s="262">
        <f>SUM(K180:M180)/3</f>
        <v>0</v>
      </c>
      <c r="N181" s="261"/>
    </row>
    <row r="182" spans="1:14">
      <c r="A182" s="243"/>
      <c r="B182" s="244"/>
      <c r="C182" s="244"/>
      <c r="D182" s="244"/>
      <c r="E182" s="244"/>
      <c r="F182" s="244"/>
      <c r="G182" s="244"/>
      <c r="H182" s="244"/>
      <c r="I182" s="244"/>
      <c r="J182" s="244"/>
      <c r="K182" s="244"/>
      <c r="L182" s="244"/>
      <c r="M182" s="244"/>
      <c r="N182" s="227"/>
    </row>
    <row r="183" spans="1:14" ht="15.75">
      <c r="A183" s="258"/>
      <c r="B183" s="326"/>
      <c r="C183" s="326"/>
      <c r="D183" s="326"/>
      <c r="E183" s="326"/>
      <c r="F183" s="326"/>
      <c r="G183" s="355"/>
      <c r="H183" s="326"/>
      <c r="I183" s="326"/>
      <c r="J183" s="326"/>
      <c r="K183" s="326"/>
      <c r="L183" s="326"/>
      <c r="M183" s="326"/>
      <c r="N183" s="227"/>
    </row>
    <row r="184" spans="1:14">
      <c r="A184" s="328" t="s">
        <v>150</v>
      </c>
      <c r="B184" s="232" t="s">
        <v>44</v>
      </c>
      <c r="C184" s="232" t="s">
        <v>45</v>
      </c>
      <c r="D184" s="232" t="s">
        <v>46</v>
      </c>
      <c r="E184" s="232" t="s">
        <v>47</v>
      </c>
      <c r="F184" s="232" t="s">
        <v>48</v>
      </c>
      <c r="G184" s="232" t="s">
        <v>49</v>
      </c>
      <c r="H184" s="232" t="s">
        <v>38</v>
      </c>
      <c r="I184" s="232" t="s">
        <v>39</v>
      </c>
      <c r="J184" s="232" t="s">
        <v>40</v>
      </c>
      <c r="K184" s="232" t="s">
        <v>41</v>
      </c>
      <c r="L184" s="232" t="s">
        <v>42</v>
      </c>
      <c r="M184" s="232" t="s">
        <v>43</v>
      </c>
      <c r="N184" s="228" t="s">
        <v>64</v>
      </c>
    </row>
    <row r="185" spans="1:14">
      <c r="A185" s="231"/>
      <c r="B185" s="329"/>
      <c r="C185" s="329"/>
      <c r="D185" s="329"/>
      <c r="E185" s="329"/>
      <c r="F185" s="329"/>
      <c r="G185" s="329"/>
      <c r="H185" s="329"/>
      <c r="I185" s="329"/>
      <c r="J185" s="329"/>
      <c r="K185" s="329"/>
      <c r="L185" s="329"/>
      <c r="M185" s="329"/>
      <c r="N185" s="329">
        <f t="shared" ref="N185:N200" si="33">SUM(B185:M185)</f>
        <v>0</v>
      </c>
    </row>
    <row r="186" spans="1:14">
      <c r="A186" s="231"/>
      <c r="B186" s="329"/>
      <c r="C186" s="329"/>
      <c r="D186" s="329"/>
      <c r="E186" s="329"/>
      <c r="F186" s="329"/>
      <c r="G186" s="329"/>
      <c r="H186" s="329"/>
      <c r="I186" s="329"/>
      <c r="J186" s="329"/>
      <c r="K186" s="329"/>
      <c r="L186" s="329"/>
      <c r="M186" s="329"/>
      <c r="N186" s="329">
        <f t="shared" si="33"/>
        <v>0</v>
      </c>
    </row>
    <row r="187" spans="1:14">
      <c r="A187" s="231"/>
      <c r="B187" s="329"/>
      <c r="C187" s="329">
        <v>0</v>
      </c>
      <c r="D187" s="329">
        <v>0</v>
      </c>
      <c r="E187" s="329">
        <v>0</v>
      </c>
      <c r="F187" s="329">
        <v>0</v>
      </c>
      <c r="G187" s="329">
        <v>0</v>
      </c>
      <c r="H187" s="329">
        <v>0</v>
      </c>
      <c r="I187" s="329">
        <v>0</v>
      </c>
      <c r="J187" s="329">
        <v>0</v>
      </c>
      <c r="K187" s="329">
        <v>0</v>
      </c>
      <c r="L187" s="329">
        <v>0</v>
      </c>
      <c r="M187" s="329">
        <v>0</v>
      </c>
      <c r="N187" s="329">
        <f t="shared" si="33"/>
        <v>0</v>
      </c>
    </row>
    <row r="188" spans="1:14" ht="13.5" thickBot="1">
      <c r="A188" s="356"/>
      <c r="B188" s="357"/>
      <c r="C188" s="357"/>
      <c r="D188" s="357"/>
      <c r="E188" s="357"/>
      <c r="F188" s="357"/>
      <c r="G188" s="357"/>
      <c r="H188" s="357"/>
      <c r="I188" s="357"/>
      <c r="J188" s="357"/>
      <c r="K188" s="357"/>
      <c r="L188" s="357"/>
      <c r="M188" s="357"/>
      <c r="N188" s="329">
        <f t="shared" si="33"/>
        <v>0</v>
      </c>
    </row>
    <row r="189" spans="1:14" ht="13.5" thickBot="1">
      <c r="A189" s="333" t="s">
        <v>151</v>
      </c>
      <c r="B189" s="334">
        <f t="shared" ref="B189:M189" si="34">SUM(B185:B188)</f>
        <v>0</v>
      </c>
      <c r="C189" s="334">
        <f t="shared" si="34"/>
        <v>0</v>
      </c>
      <c r="D189" s="334">
        <f t="shared" si="34"/>
        <v>0</v>
      </c>
      <c r="E189" s="334">
        <f t="shared" si="34"/>
        <v>0</v>
      </c>
      <c r="F189" s="334">
        <f t="shared" si="34"/>
        <v>0</v>
      </c>
      <c r="G189" s="334">
        <f t="shared" si="34"/>
        <v>0</v>
      </c>
      <c r="H189" s="334">
        <f t="shared" si="34"/>
        <v>0</v>
      </c>
      <c r="I189" s="334">
        <f t="shared" si="34"/>
        <v>0</v>
      </c>
      <c r="J189" s="334">
        <f t="shared" si="34"/>
        <v>0</v>
      </c>
      <c r="K189" s="334">
        <f t="shared" si="34"/>
        <v>0</v>
      </c>
      <c r="L189" s="334">
        <f t="shared" si="34"/>
        <v>0</v>
      </c>
      <c r="M189" s="334">
        <f t="shared" si="34"/>
        <v>0</v>
      </c>
      <c r="N189" s="334">
        <f t="shared" si="33"/>
        <v>0</v>
      </c>
    </row>
    <row r="190" spans="1:14">
      <c r="A190" s="228" t="s">
        <v>152</v>
      </c>
      <c r="B190" s="329"/>
      <c r="C190" s="329"/>
      <c r="D190" s="329"/>
      <c r="E190" s="329"/>
      <c r="F190" s="329"/>
      <c r="G190" s="329"/>
      <c r="H190" s="329"/>
      <c r="I190" s="329"/>
      <c r="J190" s="329"/>
      <c r="K190" s="329"/>
      <c r="L190" s="329"/>
      <c r="M190" s="329"/>
      <c r="N190" s="329">
        <f t="shared" si="33"/>
        <v>0</v>
      </c>
    </row>
    <row r="191" spans="1:14">
      <c r="A191" s="231" t="s">
        <v>153</v>
      </c>
      <c r="B191" s="329"/>
      <c r="C191" s="329"/>
      <c r="D191" s="329"/>
      <c r="E191" s="329"/>
      <c r="F191" s="329"/>
      <c r="G191" s="358"/>
      <c r="H191" s="329"/>
      <c r="I191" s="329"/>
      <c r="J191" s="329"/>
      <c r="K191" s="329"/>
      <c r="L191" s="329"/>
      <c r="M191" s="329"/>
      <c r="N191" s="329">
        <f t="shared" si="33"/>
        <v>0</v>
      </c>
    </row>
    <row r="192" spans="1:14">
      <c r="A192" s="356" t="s">
        <v>154</v>
      </c>
      <c r="B192" s="329"/>
      <c r="C192" s="329"/>
      <c r="D192" s="329"/>
      <c r="E192" s="329"/>
      <c r="F192" s="329"/>
      <c r="G192" s="329"/>
      <c r="H192" s="329"/>
      <c r="I192" s="329"/>
      <c r="J192" s="329"/>
      <c r="K192" s="329"/>
      <c r="L192" s="329"/>
      <c r="M192" s="329"/>
      <c r="N192" s="329">
        <f t="shared" si="33"/>
        <v>0</v>
      </c>
    </row>
    <row r="193" spans="1:15">
      <c r="A193" s="228" t="s">
        <v>155</v>
      </c>
      <c r="B193" s="329">
        <v>344727.25</v>
      </c>
      <c r="C193" s="329"/>
      <c r="D193" s="329"/>
      <c r="E193" s="329"/>
      <c r="F193" s="329"/>
      <c r="G193" s="329"/>
      <c r="H193" s="329"/>
      <c r="I193" s="329"/>
      <c r="J193" s="329"/>
      <c r="K193" s="329"/>
      <c r="L193" s="329"/>
      <c r="M193" s="329"/>
      <c r="N193" s="329">
        <f t="shared" si="33"/>
        <v>344727.25</v>
      </c>
    </row>
    <row r="194" spans="1:15" ht="13.5" thickBot="1">
      <c r="A194" s="359" t="s">
        <v>156</v>
      </c>
      <c r="B194" s="357">
        <v>35530.25</v>
      </c>
      <c r="C194" s="357"/>
      <c r="D194" s="357"/>
      <c r="E194" s="357"/>
      <c r="F194" s="357"/>
      <c r="G194" s="357"/>
      <c r="H194" s="357"/>
      <c r="I194" s="357"/>
      <c r="J194" s="357"/>
      <c r="K194" s="357"/>
      <c r="L194" s="357"/>
      <c r="M194" s="329"/>
      <c r="N194" s="329">
        <f t="shared" si="33"/>
        <v>35530.25</v>
      </c>
    </row>
    <row r="195" spans="1:15" ht="13.5" thickBot="1">
      <c r="A195" s="360" t="s">
        <v>126</v>
      </c>
      <c r="B195" s="334">
        <f t="shared" ref="B195:M195" si="35">SUM(B190:B194)</f>
        <v>380257.5</v>
      </c>
      <c r="C195" s="334">
        <f t="shared" si="35"/>
        <v>0</v>
      </c>
      <c r="D195" s="334">
        <f t="shared" si="35"/>
        <v>0</v>
      </c>
      <c r="E195" s="334">
        <f t="shared" si="35"/>
        <v>0</v>
      </c>
      <c r="F195" s="334">
        <f t="shared" si="35"/>
        <v>0</v>
      </c>
      <c r="G195" s="334">
        <f t="shared" si="35"/>
        <v>0</v>
      </c>
      <c r="H195" s="334">
        <f t="shared" si="35"/>
        <v>0</v>
      </c>
      <c r="I195" s="334">
        <f t="shared" si="35"/>
        <v>0</v>
      </c>
      <c r="J195" s="334">
        <f t="shared" si="35"/>
        <v>0</v>
      </c>
      <c r="K195" s="334">
        <f t="shared" si="35"/>
        <v>0</v>
      </c>
      <c r="L195" s="334">
        <f t="shared" si="35"/>
        <v>0</v>
      </c>
      <c r="M195" s="334">
        <f t="shared" si="35"/>
        <v>0</v>
      </c>
      <c r="N195" s="334">
        <f t="shared" si="33"/>
        <v>380257.5</v>
      </c>
    </row>
    <row r="196" spans="1:15" ht="13.5" thickBot="1">
      <c r="A196" s="228" t="s">
        <v>127</v>
      </c>
      <c r="B196" s="331"/>
      <c r="C196" s="331"/>
      <c r="D196" s="331"/>
      <c r="E196" s="331"/>
      <c r="F196" s="331"/>
      <c r="G196" s="331"/>
      <c r="H196" s="331"/>
      <c r="I196" s="331"/>
      <c r="J196" s="331"/>
      <c r="K196" s="331"/>
      <c r="L196" s="331"/>
      <c r="M196" s="357">
        <v>0</v>
      </c>
      <c r="N196" s="329">
        <f t="shared" si="33"/>
        <v>0</v>
      </c>
      <c r="O196" s="291"/>
    </row>
    <row r="197" spans="1:15" ht="13.5" thickBot="1">
      <c r="A197" s="363" t="s">
        <v>129</v>
      </c>
      <c r="B197" s="364">
        <f t="shared" ref="B197:M197" si="36">SUM(B189,B195,B196)</f>
        <v>380257.5</v>
      </c>
      <c r="C197" s="364">
        <f t="shared" si="36"/>
        <v>0</v>
      </c>
      <c r="D197" s="364">
        <f t="shared" si="36"/>
        <v>0</v>
      </c>
      <c r="E197" s="364">
        <f t="shared" si="36"/>
        <v>0</v>
      </c>
      <c r="F197" s="364">
        <f t="shared" si="36"/>
        <v>0</v>
      </c>
      <c r="G197" s="364">
        <f t="shared" si="36"/>
        <v>0</v>
      </c>
      <c r="H197" s="364">
        <f t="shared" si="36"/>
        <v>0</v>
      </c>
      <c r="I197" s="364">
        <f t="shared" si="36"/>
        <v>0</v>
      </c>
      <c r="J197" s="364">
        <f t="shared" si="36"/>
        <v>0</v>
      </c>
      <c r="K197" s="364">
        <f t="shared" si="36"/>
        <v>0</v>
      </c>
      <c r="L197" s="364">
        <f t="shared" si="36"/>
        <v>0</v>
      </c>
      <c r="M197" s="334">
        <f t="shared" si="36"/>
        <v>0</v>
      </c>
      <c r="N197" s="334">
        <f t="shared" si="33"/>
        <v>380257.5</v>
      </c>
    </row>
    <row r="198" spans="1:15">
      <c r="A198" s="336" t="s">
        <v>131</v>
      </c>
      <c r="B198" s="365">
        <v>511689</v>
      </c>
      <c r="C198" s="365">
        <v>511689</v>
      </c>
      <c r="D198" s="365">
        <v>511689</v>
      </c>
      <c r="E198" s="365">
        <v>511689</v>
      </c>
      <c r="F198" s="365">
        <v>511689</v>
      </c>
      <c r="G198" s="365">
        <v>511689</v>
      </c>
      <c r="H198" s="365">
        <v>511689</v>
      </c>
      <c r="I198" s="365">
        <v>511689</v>
      </c>
      <c r="J198" s="365">
        <v>511689</v>
      </c>
      <c r="K198" s="365">
        <v>511689</v>
      </c>
      <c r="L198" s="365">
        <v>511689</v>
      </c>
      <c r="M198" s="365">
        <v>511689</v>
      </c>
      <c r="N198" s="329">
        <f t="shared" si="33"/>
        <v>6140268</v>
      </c>
    </row>
    <row r="199" spans="1:15">
      <c r="A199" s="336" t="s">
        <v>157</v>
      </c>
      <c r="B199" s="365"/>
      <c r="C199" s="365"/>
      <c r="D199" s="365"/>
      <c r="E199" s="365"/>
      <c r="F199" s="365"/>
      <c r="G199" s="365"/>
      <c r="H199" s="365"/>
      <c r="I199" s="365"/>
      <c r="J199" s="365"/>
      <c r="K199" s="365"/>
      <c r="L199" s="365"/>
      <c r="M199" s="365"/>
      <c r="N199" s="329">
        <f t="shared" si="33"/>
        <v>0</v>
      </c>
    </row>
    <row r="200" spans="1:15">
      <c r="A200" s="336" t="s">
        <v>158</v>
      </c>
      <c r="B200" s="365"/>
      <c r="C200" s="365"/>
      <c r="D200" s="365"/>
      <c r="E200" s="365"/>
      <c r="F200" s="365"/>
      <c r="G200" s="365"/>
      <c r="H200" s="365"/>
      <c r="I200" s="365"/>
      <c r="J200" s="365"/>
      <c r="K200" s="365"/>
      <c r="L200" s="365"/>
      <c r="M200" s="365"/>
      <c r="N200" s="329">
        <f t="shared" si="33"/>
        <v>0</v>
      </c>
    </row>
    <row r="201" spans="1:15">
      <c r="A201" s="367" t="s">
        <v>146</v>
      </c>
      <c r="B201" s="368">
        <f t="shared" ref="B201:N201" si="37">B197-SUM(B198:B200)</f>
        <v>-131431.5</v>
      </c>
      <c r="C201" s="368">
        <f t="shared" si="37"/>
        <v>-511689</v>
      </c>
      <c r="D201" s="368">
        <f t="shared" si="37"/>
        <v>-511689</v>
      </c>
      <c r="E201" s="368">
        <f t="shared" si="37"/>
        <v>-511689</v>
      </c>
      <c r="F201" s="368">
        <f t="shared" si="37"/>
        <v>-511689</v>
      </c>
      <c r="G201" s="368">
        <f t="shared" si="37"/>
        <v>-511689</v>
      </c>
      <c r="H201" s="368">
        <f t="shared" si="37"/>
        <v>-511689</v>
      </c>
      <c r="I201" s="368">
        <f t="shared" si="37"/>
        <v>-511689</v>
      </c>
      <c r="J201" s="368">
        <f t="shared" si="37"/>
        <v>-511689</v>
      </c>
      <c r="K201" s="368">
        <f t="shared" si="37"/>
        <v>-511689</v>
      </c>
      <c r="L201" s="368">
        <f t="shared" si="37"/>
        <v>-511689</v>
      </c>
      <c r="M201" s="368">
        <f t="shared" si="37"/>
        <v>-511689</v>
      </c>
      <c r="N201" s="368">
        <f t="shared" si="37"/>
        <v>-5760010.5</v>
      </c>
    </row>
    <row r="202" spans="1:15" ht="13.5" thickBot="1">
      <c r="A202" s="369">
        <v>206552</v>
      </c>
      <c r="B202" s="369"/>
      <c r="C202" s="369"/>
      <c r="D202" s="369"/>
      <c r="E202" s="369"/>
      <c r="F202" s="369"/>
      <c r="G202" s="369"/>
      <c r="H202" s="369"/>
      <c r="I202" s="369"/>
      <c r="J202" s="369"/>
      <c r="K202" s="369"/>
      <c r="L202" s="369"/>
      <c r="M202" s="369"/>
      <c r="N202" s="369"/>
    </row>
    <row r="203" spans="1:15" ht="13.5" thickBot="1"/>
    <row r="204" spans="1:15" ht="20.25">
      <c r="A204" s="826" t="s">
        <v>224</v>
      </c>
      <c r="B204" s="826"/>
      <c r="C204" s="826"/>
      <c r="D204" s="826"/>
      <c r="E204" s="826"/>
      <c r="F204" s="826"/>
      <c r="G204" s="826"/>
      <c r="H204" s="826"/>
      <c r="I204" s="826"/>
      <c r="J204" s="826"/>
      <c r="K204" s="826"/>
      <c r="L204" s="826"/>
      <c r="M204" s="826"/>
      <c r="N204" s="826"/>
    </row>
    <row r="205" spans="1:15">
      <c r="A205" s="227"/>
      <c r="B205" s="227"/>
      <c r="C205" s="227"/>
      <c r="D205" s="227"/>
      <c r="E205" s="227"/>
      <c r="F205" s="227"/>
      <c r="G205" s="227"/>
      <c r="H205" s="227"/>
      <c r="I205" s="227"/>
      <c r="J205" s="227"/>
      <c r="K205" s="227"/>
      <c r="L205" s="227"/>
      <c r="M205" s="227"/>
    </row>
    <row r="206" spans="1:15">
      <c r="A206" s="228"/>
      <c r="B206" s="229" t="s">
        <v>44</v>
      </c>
      <c r="C206" s="229" t="s">
        <v>45</v>
      </c>
      <c r="D206" s="230" t="s">
        <v>46</v>
      </c>
      <c r="E206" s="229" t="s">
        <v>47</v>
      </c>
      <c r="F206" s="229" t="s">
        <v>48</v>
      </c>
      <c r="G206" s="230" t="s">
        <v>49</v>
      </c>
      <c r="H206" s="229" t="s">
        <v>38</v>
      </c>
      <c r="I206" s="229" t="s">
        <v>39</v>
      </c>
      <c r="J206" s="229" t="s">
        <v>40</v>
      </c>
      <c r="K206" s="229" t="s">
        <v>41</v>
      </c>
      <c r="L206" s="229" t="s">
        <v>42</v>
      </c>
      <c r="M206" s="229" t="s">
        <v>43</v>
      </c>
      <c r="N206" s="228" t="s">
        <v>64</v>
      </c>
    </row>
    <row r="207" spans="1:15">
      <c r="A207" s="231" t="s">
        <v>65</v>
      </c>
      <c r="B207" s="620">
        <v>1924</v>
      </c>
      <c r="C207" s="620">
        <v>1924</v>
      </c>
      <c r="D207" s="620">
        <v>1924</v>
      </c>
      <c r="E207" s="620">
        <v>1924</v>
      </c>
      <c r="F207" s="620">
        <v>1924</v>
      </c>
      <c r="G207" s="620">
        <v>1924</v>
      </c>
      <c r="H207" s="620">
        <v>1924</v>
      </c>
      <c r="I207" s="620">
        <v>1924</v>
      </c>
      <c r="J207" s="620">
        <v>1924</v>
      </c>
      <c r="K207" s="620">
        <v>1924</v>
      </c>
      <c r="L207" s="620">
        <v>1924</v>
      </c>
      <c r="M207" s="620">
        <v>1924</v>
      </c>
      <c r="N207" s="620">
        <f t="shared" ref="N207:N217" si="38">SUM(B207:M207)</f>
        <v>23088</v>
      </c>
    </row>
    <row r="208" spans="1:15">
      <c r="A208" s="231" t="s">
        <v>66</v>
      </c>
      <c r="B208" s="620"/>
      <c r="C208" s="620"/>
      <c r="D208" s="620"/>
      <c r="E208" s="620"/>
      <c r="F208" s="620"/>
      <c r="G208" s="621"/>
      <c r="H208" s="620"/>
      <c r="I208" s="620"/>
      <c r="J208" s="622"/>
      <c r="K208" s="620"/>
      <c r="L208" s="620"/>
      <c r="M208" s="620"/>
      <c r="N208" s="620">
        <f t="shared" si="38"/>
        <v>0</v>
      </c>
    </row>
    <row r="209" spans="1:14">
      <c r="A209" s="231" t="s">
        <v>67</v>
      </c>
      <c r="B209" s="620"/>
      <c r="C209" s="620"/>
      <c r="D209" s="620"/>
      <c r="E209" s="620"/>
      <c r="F209" s="620"/>
      <c r="G209" s="621"/>
      <c r="H209" s="620"/>
      <c r="I209" s="620"/>
      <c r="J209" s="620"/>
      <c r="K209" s="620"/>
      <c r="L209" s="620"/>
      <c r="M209" s="620"/>
      <c r="N209" s="620">
        <f t="shared" si="38"/>
        <v>0</v>
      </c>
    </row>
    <row r="210" spans="1:14">
      <c r="A210" s="231" t="s">
        <v>69</v>
      </c>
      <c r="B210" s="620">
        <v>81.5</v>
      </c>
      <c r="C210" s="620">
        <v>118.75</v>
      </c>
      <c r="D210" s="620"/>
      <c r="E210" s="620"/>
      <c r="F210" s="620"/>
      <c r="G210" s="621"/>
      <c r="H210" s="620"/>
      <c r="I210" s="620"/>
      <c r="J210" s="620"/>
      <c r="K210" s="620"/>
      <c r="L210" s="620"/>
      <c r="M210" s="620"/>
      <c r="N210" s="620">
        <f t="shared" si="38"/>
        <v>200.25</v>
      </c>
    </row>
    <row r="211" spans="1:14">
      <c r="A211" s="231" t="s">
        <v>70</v>
      </c>
      <c r="B211" s="620"/>
      <c r="C211" s="620">
        <v>7.5</v>
      </c>
      <c r="D211" s="620"/>
      <c r="E211" s="620"/>
      <c r="F211" s="620"/>
      <c r="G211" s="621"/>
      <c r="H211" s="620"/>
      <c r="I211" s="620"/>
      <c r="J211" s="620"/>
      <c r="K211" s="620"/>
      <c r="L211" s="620"/>
      <c r="M211" s="620"/>
      <c r="N211" s="620">
        <f t="shared" si="38"/>
        <v>7.5</v>
      </c>
    </row>
    <row r="212" spans="1:14">
      <c r="A212" s="231" t="s">
        <v>71</v>
      </c>
      <c r="B212" s="620">
        <v>75.75</v>
      </c>
      <c r="C212" s="620">
        <v>94.25</v>
      </c>
      <c r="D212" s="620"/>
      <c r="E212" s="620"/>
      <c r="F212" s="620"/>
      <c r="G212" s="621"/>
      <c r="H212" s="620"/>
      <c r="I212" s="620"/>
      <c r="J212" s="620"/>
      <c r="K212" s="620"/>
      <c r="L212" s="620"/>
      <c r="M212" s="620"/>
      <c r="N212" s="620">
        <f t="shared" si="38"/>
        <v>170</v>
      </c>
    </row>
    <row r="213" spans="1:14">
      <c r="A213" s="231" t="s">
        <v>72</v>
      </c>
      <c r="B213" s="620"/>
      <c r="C213" s="620"/>
      <c r="D213" s="620"/>
      <c r="E213" s="620"/>
      <c r="F213" s="620"/>
      <c r="G213" s="621"/>
      <c r="H213" s="620"/>
      <c r="I213" s="620"/>
      <c r="J213" s="620"/>
      <c r="K213" s="620"/>
      <c r="L213" s="620"/>
      <c r="M213" s="620"/>
      <c r="N213" s="620">
        <f t="shared" si="38"/>
        <v>0</v>
      </c>
    </row>
    <row r="214" spans="1:14">
      <c r="A214" s="231" t="s">
        <v>73</v>
      </c>
      <c r="B214" s="620"/>
      <c r="C214" s="620">
        <v>37</v>
      </c>
      <c r="D214" s="620"/>
      <c r="E214" s="620"/>
      <c r="F214" s="620"/>
      <c r="G214" s="621"/>
      <c r="H214" s="620"/>
      <c r="I214" s="620"/>
      <c r="J214" s="620"/>
      <c r="K214" s="620"/>
      <c r="L214" s="620"/>
      <c r="M214" s="620"/>
      <c r="N214" s="620">
        <f t="shared" si="38"/>
        <v>37</v>
      </c>
    </row>
    <row r="215" spans="1:14">
      <c r="A215" s="231" t="s">
        <v>74</v>
      </c>
      <c r="B215" s="620"/>
      <c r="C215" s="620">
        <v>74</v>
      </c>
      <c r="D215" s="620"/>
      <c r="E215" s="620"/>
      <c r="F215" s="620"/>
      <c r="G215" s="621"/>
      <c r="H215" s="620"/>
      <c r="I215" s="620"/>
      <c r="J215" s="620"/>
      <c r="K215" s="620"/>
      <c r="L215" s="620"/>
      <c r="M215" s="620"/>
      <c r="N215" s="620">
        <f t="shared" si="38"/>
        <v>74</v>
      </c>
    </row>
    <row r="216" spans="1:14">
      <c r="A216" s="231" t="s">
        <v>75</v>
      </c>
      <c r="B216" s="620"/>
      <c r="C216" s="620"/>
      <c r="D216" s="620"/>
      <c r="E216" s="620"/>
      <c r="F216" s="620"/>
      <c r="G216" s="621"/>
      <c r="H216" s="620"/>
      <c r="I216" s="620"/>
      <c r="J216" s="620"/>
      <c r="K216" s="620"/>
      <c r="L216" s="620"/>
      <c r="M216" s="620"/>
      <c r="N216" s="620">
        <f t="shared" si="38"/>
        <v>0</v>
      </c>
    </row>
    <row r="217" spans="1:14" ht="13.5" thickBot="1">
      <c r="A217" s="235" t="s">
        <v>76</v>
      </c>
      <c r="B217" s="623"/>
      <c r="C217" s="623">
        <v>37</v>
      </c>
      <c r="D217" s="623"/>
      <c r="E217" s="623"/>
      <c r="F217" s="623"/>
      <c r="G217" s="624"/>
      <c r="H217" s="623"/>
      <c r="I217" s="623"/>
      <c r="J217" s="623"/>
      <c r="K217" s="623"/>
      <c r="L217" s="623"/>
      <c r="M217" s="623"/>
      <c r="N217" s="625">
        <f t="shared" si="38"/>
        <v>37</v>
      </c>
    </row>
    <row r="218" spans="1:14" ht="13.5" thickBot="1">
      <c r="A218" s="239" t="s">
        <v>77</v>
      </c>
      <c r="B218" s="626">
        <f>SUM(B207:B217)</f>
        <v>2081.25</v>
      </c>
      <c r="C218" s="626">
        <f t="shared" ref="C218:N218" si="39">SUM(C207:C217)</f>
        <v>2292.5</v>
      </c>
      <c r="D218" s="626">
        <f t="shared" si="39"/>
        <v>1924</v>
      </c>
      <c r="E218" s="626">
        <f t="shared" si="39"/>
        <v>1924</v>
      </c>
      <c r="F218" s="626">
        <f t="shared" si="39"/>
        <v>1924</v>
      </c>
      <c r="G218" s="626">
        <f t="shared" si="39"/>
        <v>1924</v>
      </c>
      <c r="H218" s="626">
        <f t="shared" si="39"/>
        <v>1924</v>
      </c>
      <c r="I218" s="626">
        <f t="shared" si="39"/>
        <v>1924</v>
      </c>
      <c r="J218" s="626">
        <f t="shared" si="39"/>
        <v>1924</v>
      </c>
      <c r="K218" s="626">
        <f t="shared" si="39"/>
        <v>1924</v>
      </c>
      <c r="L218" s="626">
        <f t="shared" si="39"/>
        <v>1924</v>
      </c>
      <c r="M218" s="626">
        <f t="shared" si="39"/>
        <v>1924</v>
      </c>
      <c r="N218" s="632">
        <f t="shared" si="39"/>
        <v>23613.75</v>
      </c>
    </row>
    <row r="219" spans="1:14">
      <c r="A219" s="243"/>
      <c r="B219" s="261"/>
      <c r="C219" s="261"/>
      <c r="D219" s="261"/>
      <c r="E219" s="261"/>
      <c r="F219" s="261"/>
      <c r="G219" s="261"/>
      <c r="H219" s="261"/>
      <c r="I219" s="261"/>
      <c r="J219" s="261"/>
      <c r="K219" s="261"/>
      <c r="L219" s="261"/>
      <c r="M219" s="261"/>
      <c r="N219" s="261"/>
    </row>
    <row r="220" spans="1:14">
      <c r="A220" s="243"/>
      <c r="B220" s="261"/>
      <c r="C220" s="261"/>
      <c r="D220" s="261"/>
      <c r="E220" s="261"/>
      <c r="F220" s="261"/>
      <c r="G220" s="261"/>
      <c r="H220" s="261"/>
      <c r="I220" s="261"/>
      <c r="J220" s="261"/>
      <c r="K220" s="261"/>
      <c r="L220" s="261"/>
      <c r="M220" s="261"/>
      <c r="N220" s="629" t="s">
        <v>78</v>
      </c>
    </row>
    <row r="221" spans="1:14">
      <c r="A221" s="231" t="s">
        <v>79</v>
      </c>
      <c r="B221" s="620">
        <f t="shared" ref="B221:M221" si="40">SUM(B208*100/B218)</f>
        <v>0</v>
      </c>
      <c r="C221" s="620">
        <f t="shared" si="40"/>
        <v>0</v>
      </c>
      <c r="D221" s="620">
        <f t="shared" si="40"/>
        <v>0</v>
      </c>
      <c r="E221" s="620">
        <f t="shared" si="40"/>
        <v>0</v>
      </c>
      <c r="F221" s="620">
        <f t="shared" si="40"/>
        <v>0</v>
      </c>
      <c r="G221" s="620">
        <f t="shared" si="40"/>
        <v>0</v>
      </c>
      <c r="H221" s="620">
        <f t="shared" si="40"/>
        <v>0</v>
      </c>
      <c r="I221" s="620">
        <f t="shared" si="40"/>
        <v>0</v>
      </c>
      <c r="J221" s="620">
        <f t="shared" si="40"/>
        <v>0</v>
      </c>
      <c r="K221" s="620">
        <f t="shared" si="40"/>
        <v>0</v>
      </c>
      <c r="L221" s="620">
        <f t="shared" si="40"/>
        <v>0</v>
      </c>
      <c r="M221" s="620">
        <f t="shared" si="40"/>
        <v>0</v>
      </c>
      <c r="N221" s="630">
        <f>SUM(B221:M221)/12</f>
        <v>0</v>
      </c>
    </row>
    <row r="222" spans="1:14">
      <c r="A222" s="243"/>
      <c r="B222" s="261"/>
      <c r="C222" s="261"/>
      <c r="D222" s="261"/>
      <c r="E222" s="261"/>
      <c r="F222" s="261"/>
      <c r="G222" s="261"/>
      <c r="H222" s="261"/>
      <c r="I222" s="261"/>
      <c r="J222" s="261"/>
      <c r="K222" s="261"/>
      <c r="L222" s="261"/>
      <c r="M222" s="261"/>
      <c r="N222" s="261"/>
    </row>
    <row r="223" spans="1:14">
      <c r="A223" s="231" t="s">
        <v>80</v>
      </c>
      <c r="B223" s="620">
        <f t="shared" ref="B223:M223" si="41">SUM(B212*100/B218)</f>
        <v>3.6396396396396398</v>
      </c>
      <c r="C223" s="620">
        <f t="shared" si="41"/>
        <v>4.1112322791712108</v>
      </c>
      <c r="D223" s="620">
        <f t="shared" si="41"/>
        <v>0</v>
      </c>
      <c r="E223" s="620">
        <f t="shared" si="41"/>
        <v>0</v>
      </c>
      <c r="F223" s="620">
        <f t="shared" si="41"/>
        <v>0</v>
      </c>
      <c r="G223" s="620">
        <f t="shared" si="41"/>
        <v>0</v>
      </c>
      <c r="H223" s="620">
        <f t="shared" si="41"/>
        <v>0</v>
      </c>
      <c r="I223" s="620">
        <f t="shared" si="41"/>
        <v>0</v>
      </c>
      <c r="J223" s="620">
        <f t="shared" si="41"/>
        <v>0</v>
      </c>
      <c r="K223" s="620">
        <f t="shared" si="41"/>
        <v>0</v>
      </c>
      <c r="L223" s="620">
        <f t="shared" si="41"/>
        <v>0</v>
      </c>
      <c r="M223" s="620">
        <f t="shared" si="41"/>
        <v>0</v>
      </c>
      <c r="N223" s="630">
        <f>SUM(B223:M223)/12</f>
        <v>0.64590599323423759</v>
      </c>
    </row>
    <row r="224" spans="1:14" ht="13.5" thickBot="1">
      <c r="A224" s="247" t="s">
        <v>81</v>
      </c>
      <c r="B224" s="625">
        <f t="shared" ref="B224:M224" si="42">SUM(B213*100/B218)</f>
        <v>0</v>
      </c>
      <c r="C224" s="625">
        <f t="shared" si="42"/>
        <v>0</v>
      </c>
      <c r="D224" s="625">
        <f t="shared" si="42"/>
        <v>0</v>
      </c>
      <c r="E224" s="625">
        <f t="shared" si="42"/>
        <v>0</v>
      </c>
      <c r="F224" s="625">
        <f t="shared" si="42"/>
        <v>0</v>
      </c>
      <c r="G224" s="625">
        <f t="shared" si="42"/>
        <v>0</v>
      </c>
      <c r="H224" s="625">
        <f t="shared" si="42"/>
        <v>0</v>
      </c>
      <c r="I224" s="625">
        <f t="shared" si="42"/>
        <v>0</v>
      </c>
      <c r="J224" s="625">
        <f t="shared" si="42"/>
        <v>0</v>
      </c>
      <c r="K224" s="625">
        <f t="shared" si="42"/>
        <v>0</v>
      </c>
      <c r="L224" s="625">
        <f t="shared" si="42"/>
        <v>0</v>
      </c>
      <c r="M224" s="625">
        <f t="shared" si="42"/>
        <v>0</v>
      </c>
      <c r="N224" s="630">
        <f>SUM(B224:M224)/12</f>
        <v>0</v>
      </c>
    </row>
    <row r="225" spans="1:14" ht="13.5" thickBot="1">
      <c r="A225" s="249" t="s">
        <v>82</v>
      </c>
      <c r="B225" s="632">
        <f t="shared" ref="B225:M225" si="43">SUM(B223:B223)</f>
        <v>3.6396396396396398</v>
      </c>
      <c r="C225" s="632">
        <f t="shared" si="43"/>
        <v>4.1112322791712108</v>
      </c>
      <c r="D225" s="632">
        <f t="shared" si="43"/>
        <v>0</v>
      </c>
      <c r="E225" s="632">
        <f t="shared" si="43"/>
        <v>0</v>
      </c>
      <c r="F225" s="632">
        <f t="shared" si="43"/>
        <v>0</v>
      </c>
      <c r="G225" s="632">
        <f t="shared" si="43"/>
        <v>0</v>
      </c>
      <c r="H225" s="632">
        <f t="shared" si="43"/>
        <v>0</v>
      </c>
      <c r="I225" s="632">
        <f t="shared" si="43"/>
        <v>0</v>
      </c>
      <c r="J225" s="632">
        <f t="shared" si="43"/>
        <v>0</v>
      </c>
      <c r="K225" s="632">
        <f t="shared" si="43"/>
        <v>0</v>
      </c>
      <c r="L225" s="632">
        <f t="shared" si="43"/>
        <v>0</v>
      </c>
      <c r="M225" s="632">
        <f t="shared" si="43"/>
        <v>0</v>
      </c>
      <c r="N225" s="633">
        <f>SUM(N223:N224)</f>
        <v>0.64590599323423759</v>
      </c>
    </row>
    <row r="226" spans="1:14">
      <c r="A226" s="243" t="s">
        <v>83</v>
      </c>
      <c r="B226" s="261"/>
      <c r="C226" s="261"/>
      <c r="D226" s="634">
        <f>SUM(B225:D225)/3</f>
        <v>2.5836239729369503</v>
      </c>
      <c r="E226" s="261"/>
      <c r="F226" s="261"/>
      <c r="G226" s="634">
        <f>SUM(E225,F225,G225)/3</f>
        <v>0</v>
      </c>
      <c r="H226" s="261"/>
      <c r="I226" s="261"/>
      <c r="J226" s="634">
        <f>SUM(H225,I225,J225)/3</f>
        <v>0</v>
      </c>
      <c r="K226" s="261"/>
      <c r="L226" s="261"/>
      <c r="M226" s="634">
        <f>SUM(K225,L225,M225)/3</f>
        <v>0</v>
      </c>
      <c r="N226" s="635">
        <f>SUM(D226:M226)/4</f>
        <v>0.64590599323423759</v>
      </c>
    </row>
    <row r="227" spans="1:14">
      <c r="A227" s="243" t="s">
        <v>84</v>
      </c>
      <c r="B227" s="261"/>
      <c r="C227" s="261"/>
      <c r="D227" s="262"/>
      <c r="E227" s="261"/>
      <c r="F227" s="261"/>
      <c r="G227" s="262"/>
      <c r="H227" s="261"/>
      <c r="I227" s="261"/>
      <c r="J227" s="262"/>
      <c r="K227" s="261"/>
      <c r="L227" s="261"/>
      <c r="M227" s="262"/>
      <c r="N227" s="630">
        <f>SUM(D227:G227,J227,M227)/4</f>
        <v>0</v>
      </c>
    </row>
    <row r="228" spans="1:14">
      <c r="A228" s="243"/>
      <c r="B228" s="261"/>
      <c r="C228" s="261"/>
      <c r="D228" s="261"/>
      <c r="E228" s="261"/>
      <c r="F228" s="261"/>
      <c r="G228" s="261"/>
      <c r="H228" s="261"/>
      <c r="I228" s="261"/>
      <c r="J228" s="261"/>
      <c r="K228" s="261"/>
      <c r="L228" s="261"/>
      <c r="M228" s="261"/>
      <c r="N228" s="261"/>
    </row>
    <row r="229" spans="1:14">
      <c r="A229" s="231" t="s">
        <v>85</v>
      </c>
      <c r="B229" s="620">
        <f t="shared" ref="B229:M229" si="44">B216*100/B218</f>
        <v>0</v>
      </c>
      <c r="C229" s="620">
        <f t="shared" si="44"/>
        <v>0</v>
      </c>
      <c r="D229" s="620">
        <f t="shared" si="44"/>
        <v>0</v>
      </c>
      <c r="E229" s="620">
        <f t="shared" si="44"/>
        <v>0</v>
      </c>
      <c r="F229" s="620">
        <f t="shared" si="44"/>
        <v>0</v>
      </c>
      <c r="G229" s="620">
        <f t="shared" si="44"/>
        <v>0</v>
      </c>
      <c r="H229" s="620">
        <f t="shared" si="44"/>
        <v>0</v>
      </c>
      <c r="I229" s="620">
        <f t="shared" si="44"/>
        <v>0</v>
      </c>
      <c r="J229" s="620">
        <f t="shared" si="44"/>
        <v>0</v>
      </c>
      <c r="K229" s="620">
        <f t="shared" si="44"/>
        <v>0</v>
      </c>
      <c r="L229" s="620">
        <f t="shared" si="44"/>
        <v>0</v>
      </c>
      <c r="M229" s="620">
        <f t="shared" si="44"/>
        <v>0</v>
      </c>
      <c r="N229" s="630">
        <f>SUM(B229:M229)/12</f>
        <v>0</v>
      </c>
    </row>
    <row r="230" spans="1:14">
      <c r="A230" s="231" t="s">
        <v>86</v>
      </c>
      <c r="B230" s="620">
        <f t="shared" ref="B230:M230" si="45">B214*100/B218</f>
        <v>0</v>
      </c>
      <c r="C230" s="620">
        <f t="shared" si="45"/>
        <v>1.6139585605234461</v>
      </c>
      <c r="D230" s="620">
        <f t="shared" si="45"/>
        <v>0</v>
      </c>
      <c r="E230" s="620">
        <f t="shared" si="45"/>
        <v>0</v>
      </c>
      <c r="F230" s="620">
        <f t="shared" si="45"/>
        <v>0</v>
      </c>
      <c r="G230" s="620">
        <f t="shared" si="45"/>
        <v>0</v>
      </c>
      <c r="H230" s="620">
        <f t="shared" si="45"/>
        <v>0</v>
      </c>
      <c r="I230" s="620">
        <f t="shared" si="45"/>
        <v>0</v>
      </c>
      <c r="J230" s="620">
        <f t="shared" si="45"/>
        <v>0</v>
      </c>
      <c r="K230" s="620">
        <f t="shared" si="45"/>
        <v>0</v>
      </c>
      <c r="L230" s="620">
        <f t="shared" si="45"/>
        <v>0</v>
      </c>
      <c r="M230" s="620">
        <f t="shared" si="45"/>
        <v>0</v>
      </c>
      <c r="N230" s="630">
        <f>SUM(B230:M230)/12</f>
        <v>0.13449654671028718</v>
      </c>
    </row>
    <row r="231" spans="1:14" ht="13.5" thickBot="1">
      <c r="A231" s="231" t="s">
        <v>87</v>
      </c>
      <c r="B231" s="620">
        <f t="shared" ref="B231:M231" si="46">B210*100/B218</f>
        <v>3.915915915915916</v>
      </c>
      <c r="C231" s="620">
        <f t="shared" si="46"/>
        <v>5.1799345692475462</v>
      </c>
      <c r="D231" s="620">
        <f t="shared" si="46"/>
        <v>0</v>
      </c>
      <c r="E231" s="620">
        <f t="shared" si="46"/>
        <v>0</v>
      </c>
      <c r="F231" s="620">
        <f t="shared" si="46"/>
        <v>0</v>
      </c>
      <c r="G231" s="620">
        <f t="shared" si="46"/>
        <v>0</v>
      </c>
      <c r="H231" s="620">
        <f t="shared" si="46"/>
        <v>0</v>
      </c>
      <c r="I231" s="620">
        <f t="shared" si="46"/>
        <v>0</v>
      </c>
      <c r="J231" s="620">
        <f t="shared" si="46"/>
        <v>0</v>
      </c>
      <c r="K231" s="620">
        <f t="shared" si="46"/>
        <v>0</v>
      </c>
      <c r="L231" s="620">
        <f t="shared" si="46"/>
        <v>0</v>
      </c>
      <c r="M231" s="620">
        <f t="shared" si="46"/>
        <v>0</v>
      </c>
      <c r="N231" s="631">
        <f>SUM(B231:M231)/12</f>
        <v>0.75798754043028849</v>
      </c>
    </row>
    <row r="232" spans="1:14" ht="13.5" thickBot="1">
      <c r="A232" s="255" t="s">
        <v>88</v>
      </c>
      <c r="B232" s="636">
        <f t="shared" ref="B232:M232" si="47">SUM(B207-B218)*100/B218</f>
        <v>-7.5555555555555554</v>
      </c>
      <c r="C232" s="636">
        <f t="shared" si="47"/>
        <v>-16.074154852780808</v>
      </c>
      <c r="D232" s="636">
        <f t="shared" si="47"/>
        <v>0</v>
      </c>
      <c r="E232" s="636">
        <f t="shared" si="47"/>
        <v>0</v>
      </c>
      <c r="F232" s="636">
        <f t="shared" si="47"/>
        <v>0</v>
      </c>
      <c r="G232" s="636">
        <f t="shared" si="47"/>
        <v>0</v>
      </c>
      <c r="H232" s="636">
        <f t="shared" si="47"/>
        <v>0</v>
      </c>
      <c r="I232" s="636">
        <f t="shared" si="47"/>
        <v>0</v>
      </c>
      <c r="J232" s="636">
        <f t="shared" si="47"/>
        <v>0</v>
      </c>
      <c r="K232" s="636">
        <f t="shared" si="47"/>
        <v>0</v>
      </c>
      <c r="L232" s="636">
        <f t="shared" si="47"/>
        <v>0</v>
      </c>
      <c r="M232" s="638">
        <f t="shared" si="47"/>
        <v>0</v>
      </c>
      <c r="N232" s="639">
        <f>SUM(B232:M232)/12</f>
        <v>-1.9691425340280304</v>
      </c>
    </row>
    <row r="233" spans="1:14">
      <c r="A233" s="243"/>
      <c r="B233" s="244"/>
      <c r="C233" s="244"/>
      <c r="D233" s="244"/>
      <c r="E233" s="244"/>
      <c r="F233" s="244"/>
      <c r="G233" s="244"/>
      <c r="H233" s="244"/>
      <c r="I233" s="244"/>
      <c r="J233" s="244"/>
      <c r="K233" s="244"/>
      <c r="L233" s="244"/>
      <c r="M233" s="244"/>
      <c r="N233" s="227"/>
    </row>
    <row r="234" spans="1:14">
      <c r="A234" s="258" t="s">
        <v>89</v>
      </c>
      <c r="B234" s="244"/>
      <c r="C234" s="244"/>
      <c r="D234" s="244"/>
      <c r="E234" s="244"/>
      <c r="F234" s="244"/>
      <c r="G234" s="244"/>
      <c r="H234" s="244"/>
      <c r="I234" s="244"/>
      <c r="J234" s="244"/>
      <c r="K234" s="244"/>
      <c r="L234" s="244"/>
      <c r="M234" s="244"/>
      <c r="N234" s="227"/>
    </row>
    <row r="235" spans="1:14">
      <c r="A235" s="231" t="s">
        <v>90</v>
      </c>
      <c r="B235" s="259">
        <v>12</v>
      </c>
      <c r="C235" s="259">
        <v>12</v>
      </c>
      <c r="D235" s="259">
        <v>12</v>
      </c>
      <c r="E235" s="259">
        <v>12</v>
      </c>
      <c r="F235" s="259">
        <f t="shared" ref="F235:N235" si="48">E238</f>
        <v>12</v>
      </c>
      <c r="G235" s="259">
        <f t="shared" si="48"/>
        <v>12</v>
      </c>
      <c r="H235" s="259">
        <f t="shared" si="48"/>
        <v>12</v>
      </c>
      <c r="I235" s="259">
        <f t="shared" si="48"/>
        <v>12</v>
      </c>
      <c r="J235" s="259">
        <f t="shared" si="48"/>
        <v>12</v>
      </c>
      <c r="K235" s="259">
        <f t="shared" si="48"/>
        <v>12</v>
      </c>
      <c r="L235" s="259">
        <f t="shared" si="48"/>
        <v>12</v>
      </c>
      <c r="M235" s="259">
        <f t="shared" si="48"/>
        <v>12</v>
      </c>
      <c r="N235" s="259">
        <f t="shared" si="48"/>
        <v>12</v>
      </c>
    </row>
    <row r="236" spans="1:14">
      <c r="A236" s="231" t="s">
        <v>91</v>
      </c>
      <c r="B236" s="259"/>
      <c r="C236" s="259"/>
      <c r="D236" s="259"/>
      <c r="E236" s="259"/>
      <c r="F236" s="259"/>
      <c r="G236" s="259"/>
      <c r="H236" s="259"/>
      <c r="I236" s="259"/>
      <c r="J236" s="259"/>
      <c r="K236" s="259"/>
      <c r="L236" s="259"/>
      <c r="M236" s="259"/>
      <c r="N236" s="259">
        <f>SUM(B236:M236)/12</f>
        <v>0</v>
      </c>
    </row>
    <row r="237" spans="1:14">
      <c r="A237" s="231" t="s">
        <v>92</v>
      </c>
      <c r="B237" s="259"/>
      <c r="C237" s="259"/>
      <c r="D237" s="259"/>
      <c r="E237" s="259"/>
      <c r="F237" s="259"/>
      <c r="G237" s="259"/>
      <c r="H237" s="259"/>
      <c r="I237" s="259"/>
      <c r="J237" s="259"/>
      <c r="K237" s="259"/>
      <c r="L237" s="259"/>
      <c r="M237" s="259"/>
      <c r="N237" s="259">
        <f>SUM(B236:M236)/12</f>
        <v>0</v>
      </c>
    </row>
    <row r="238" spans="1:14">
      <c r="A238" s="231" t="s">
        <v>89</v>
      </c>
      <c r="B238" s="259">
        <f t="shared" ref="B238:M238" si="49">SUM(B235+B236-B237)</f>
        <v>12</v>
      </c>
      <c r="C238" s="259">
        <f t="shared" si="49"/>
        <v>12</v>
      </c>
      <c r="D238" s="259">
        <f t="shared" si="49"/>
        <v>12</v>
      </c>
      <c r="E238" s="259">
        <f t="shared" si="49"/>
        <v>12</v>
      </c>
      <c r="F238" s="259">
        <f t="shared" si="49"/>
        <v>12</v>
      </c>
      <c r="G238" s="259">
        <f t="shared" si="49"/>
        <v>12</v>
      </c>
      <c r="H238" s="259">
        <f t="shared" si="49"/>
        <v>12</v>
      </c>
      <c r="I238" s="259">
        <f t="shared" si="49"/>
        <v>12</v>
      </c>
      <c r="J238" s="259">
        <f t="shared" si="49"/>
        <v>12</v>
      </c>
      <c r="K238" s="259">
        <f t="shared" si="49"/>
        <v>12</v>
      </c>
      <c r="L238" s="259">
        <f t="shared" si="49"/>
        <v>12</v>
      </c>
      <c r="M238" s="259">
        <f t="shared" si="49"/>
        <v>12</v>
      </c>
      <c r="N238" s="259">
        <f>SUM(B237:M237)/12</f>
        <v>0</v>
      </c>
    </row>
    <row r="239" spans="1:14">
      <c r="A239" s="231" t="s">
        <v>93</v>
      </c>
      <c r="B239" s="260">
        <f t="shared" ref="B239:M239" si="50">SUM(B238*100)/B235-100</f>
        <v>0</v>
      </c>
      <c r="C239" s="260">
        <f t="shared" si="50"/>
        <v>0</v>
      </c>
      <c r="D239" s="260">
        <f t="shared" si="50"/>
        <v>0</v>
      </c>
      <c r="E239" s="260">
        <f t="shared" si="50"/>
        <v>0</v>
      </c>
      <c r="F239" s="260">
        <f t="shared" si="50"/>
        <v>0</v>
      </c>
      <c r="G239" s="260">
        <f t="shared" si="50"/>
        <v>0</v>
      </c>
      <c r="H239" s="260">
        <f t="shared" si="50"/>
        <v>0</v>
      </c>
      <c r="I239" s="260">
        <f t="shared" si="50"/>
        <v>0</v>
      </c>
      <c r="J239" s="260">
        <f t="shared" si="50"/>
        <v>0</v>
      </c>
      <c r="K239" s="260">
        <f t="shared" si="50"/>
        <v>0</v>
      </c>
      <c r="L239" s="260">
        <f t="shared" si="50"/>
        <v>0</v>
      </c>
      <c r="M239" s="260">
        <f t="shared" si="50"/>
        <v>0</v>
      </c>
      <c r="N239" s="259"/>
    </row>
    <row r="240" spans="1:14">
      <c r="A240" s="243" t="s">
        <v>94</v>
      </c>
      <c r="B240" s="261"/>
      <c r="C240" s="261"/>
      <c r="D240" s="262">
        <f>SUM(B239:D239/3)</f>
        <v>0</v>
      </c>
      <c r="E240" s="261"/>
      <c r="F240" s="261"/>
      <c r="G240" s="262">
        <f>SUM(E239:G239)/3</f>
        <v>0</v>
      </c>
      <c r="H240" s="261"/>
      <c r="I240" s="261"/>
      <c r="J240" s="262">
        <f>SUM(H239:J239)/3</f>
        <v>0</v>
      </c>
      <c r="K240" s="261"/>
      <c r="L240" s="261"/>
      <c r="M240" s="262">
        <f>SUM(K239:M239)/3</f>
        <v>0</v>
      </c>
      <c r="N240" s="261"/>
    </row>
    <row r="241" spans="1:17">
      <c r="A241" s="243"/>
      <c r="B241" s="244"/>
      <c r="C241" s="244"/>
      <c r="D241" s="244"/>
      <c r="E241" s="244"/>
      <c r="F241" s="244"/>
      <c r="G241" s="244"/>
      <c r="H241" s="244"/>
      <c r="I241" s="244"/>
      <c r="J241" s="244"/>
      <c r="K241" s="244"/>
      <c r="L241" s="244"/>
      <c r="M241" s="244"/>
      <c r="N241" s="227"/>
    </row>
    <row r="242" spans="1:17" ht="15.75">
      <c r="E242" s="282"/>
      <c r="M242" s="244"/>
      <c r="N242" s="227"/>
    </row>
    <row r="243" spans="1:17">
      <c r="A243" s="299"/>
      <c r="B243" s="283" t="s">
        <v>160</v>
      </c>
      <c r="C243" s="377"/>
      <c r="D243" s="377"/>
      <c r="E243" s="377"/>
      <c r="F243" s="288"/>
      <c r="N243" s="227"/>
    </row>
    <row r="244" spans="1:17">
      <c r="A244" s="691"/>
      <c r="B244" s="455"/>
      <c r="C244" s="455" t="s">
        <v>161</v>
      </c>
      <c r="D244" s="510"/>
      <c r="E244" s="270" t="s">
        <v>162</v>
      </c>
      <c r="F244" s="487" t="s">
        <v>163</v>
      </c>
    </row>
    <row r="245" spans="1:17">
      <c r="A245" s="691"/>
      <c r="B245" s="286"/>
      <c r="C245" s="303"/>
      <c r="D245" s="289"/>
      <c r="E245" s="292"/>
      <c r="F245" s="311"/>
      <c r="H245" s="584" t="s">
        <v>164</v>
      </c>
      <c r="N245" s="227"/>
    </row>
    <row r="246" spans="1:17">
      <c r="A246" s="691"/>
      <c r="B246" s="286"/>
      <c r="C246" s="303"/>
      <c r="D246" s="289"/>
      <c r="E246" s="292"/>
      <c r="F246" s="290"/>
      <c r="N246" s="227"/>
    </row>
    <row r="247" spans="1:17" ht="13.5" thickBot="1">
      <c r="A247" s="691"/>
      <c r="B247" s="309" t="s">
        <v>165</v>
      </c>
      <c r="C247" s="528" t="s">
        <v>225</v>
      </c>
      <c r="D247" s="314"/>
      <c r="E247" s="312"/>
      <c r="F247" s="692">
        <f>'[9]Øvrige Kontrakter 2015'!$K$44</f>
        <v>2964528</v>
      </c>
      <c r="N247" s="300"/>
    </row>
    <row r="248" spans="1:17" ht="13.5" thickBot="1">
      <c r="A248" s="691"/>
      <c r="B248" s="382" t="s">
        <v>167</v>
      </c>
      <c r="C248" s="383"/>
      <c r="D248" s="384"/>
      <c r="E248" s="385"/>
      <c r="F248" s="488">
        <f>SUM(F245:F247)</f>
        <v>2964528</v>
      </c>
      <c r="N248" s="227"/>
    </row>
    <row r="249" spans="1:17">
      <c r="A249" s="691"/>
      <c r="B249" s="286" t="s">
        <v>168</v>
      </c>
      <c r="C249" s="284"/>
      <c r="D249" s="284"/>
      <c r="E249" s="386"/>
      <c r="F249" s="393">
        <f>F248/12</f>
        <v>247044</v>
      </c>
      <c r="N249" s="227"/>
    </row>
    <row r="250" spans="1:17">
      <c r="A250" s="299"/>
      <c r="B250" s="244"/>
      <c r="C250" s="244"/>
      <c r="D250" s="244"/>
      <c r="E250" s="320"/>
      <c r="F250" s="244"/>
      <c r="G250" s="244"/>
      <c r="H250" s="244"/>
      <c r="N250" s="227"/>
    </row>
    <row r="251" spans="1:17">
      <c r="A251" s="258" t="s">
        <v>113</v>
      </c>
      <c r="B251" s="244"/>
      <c r="C251" s="244"/>
      <c r="D251" s="244"/>
      <c r="E251" s="244"/>
      <c r="F251" s="244"/>
      <c r="G251" s="244"/>
      <c r="H251" s="244"/>
      <c r="I251" s="244"/>
      <c r="J251" s="244"/>
      <c r="K251" s="244"/>
      <c r="L251" s="244"/>
      <c r="M251" s="244"/>
      <c r="N251" s="227"/>
    </row>
    <row r="252" spans="1:17">
      <c r="A252" s="525" t="s">
        <v>112</v>
      </c>
      <c r="B252" s="328"/>
      <c r="C252" s="232" t="s">
        <v>44</v>
      </c>
      <c r="D252" s="232" t="s">
        <v>45</v>
      </c>
      <c r="E252" s="232" t="s">
        <v>46</v>
      </c>
      <c r="F252" s="232" t="s">
        <v>47</v>
      </c>
      <c r="G252" s="232" t="s">
        <v>48</v>
      </c>
      <c r="H252" s="232" t="s">
        <v>49</v>
      </c>
      <c r="I252" s="232" t="s">
        <v>38</v>
      </c>
      <c r="J252" s="232" t="s">
        <v>39</v>
      </c>
      <c r="K252" s="232" t="s">
        <v>40</v>
      </c>
      <c r="L252" s="232" t="s">
        <v>41</v>
      </c>
      <c r="M252" s="232" t="s">
        <v>42</v>
      </c>
      <c r="N252" s="232" t="s">
        <v>43</v>
      </c>
      <c r="O252" s="228"/>
    </row>
    <row r="253" spans="1:17" ht="13.5" thickBot="1">
      <c r="B253" s="247" t="s">
        <v>116</v>
      </c>
      <c r="C253" s="331">
        <f t="shared" ref="C253:N253" si="51">$F$249</f>
        <v>247044</v>
      </c>
      <c r="D253" s="331">
        <f t="shared" si="51"/>
        <v>247044</v>
      </c>
      <c r="E253" s="331">
        <f t="shared" si="51"/>
        <v>247044</v>
      </c>
      <c r="F253" s="331">
        <f t="shared" si="51"/>
        <v>247044</v>
      </c>
      <c r="G253" s="331">
        <f t="shared" si="51"/>
        <v>247044</v>
      </c>
      <c r="H253" s="331">
        <f t="shared" si="51"/>
        <v>247044</v>
      </c>
      <c r="I253" s="331">
        <f t="shared" si="51"/>
        <v>247044</v>
      </c>
      <c r="J253" s="331">
        <f t="shared" si="51"/>
        <v>247044</v>
      </c>
      <c r="K253" s="331">
        <f t="shared" si="51"/>
        <v>247044</v>
      </c>
      <c r="L253" s="331">
        <f t="shared" si="51"/>
        <v>247044</v>
      </c>
      <c r="M253" s="331">
        <f t="shared" si="51"/>
        <v>247044</v>
      </c>
      <c r="N253" s="331">
        <f t="shared" si="51"/>
        <v>247044</v>
      </c>
      <c r="O253" s="331">
        <f t="shared" ref="O253:O278" si="52">SUM(C253:N253)</f>
        <v>2964528</v>
      </c>
      <c r="P253" s="708"/>
    </row>
    <row r="254" spans="1:17" ht="13.5" thickBot="1">
      <c r="A254" s="226">
        <v>9845400000</v>
      </c>
      <c r="B254" s="333" t="s">
        <v>169</v>
      </c>
      <c r="C254" s="395">
        <f>C253</f>
        <v>247044</v>
      </c>
      <c r="D254" s="395">
        <f t="shared" ref="D254:N254" si="53">D253</f>
        <v>247044</v>
      </c>
      <c r="E254" s="395">
        <f t="shared" si="53"/>
        <v>247044</v>
      </c>
      <c r="F254" s="395">
        <f t="shared" si="53"/>
        <v>247044</v>
      </c>
      <c r="G254" s="395">
        <f t="shared" si="53"/>
        <v>247044</v>
      </c>
      <c r="H254" s="395">
        <f t="shared" si="53"/>
        <v>247044</v>
      </c>
      <c r="I254" s="395">
        <f t="shared" si="53"/>
        <v>247044</v>
      </c>
      <c r="J254" s="395">
        <f t="shared" si="53"/>
        <v>247044</v>
      </c>
      <c r="K254" s="395">
        <f t="shared" si="53"/>
        <v>247044</v>
      </c>
      <c r="L254" s="395">
        <f t="shared" si="53"/>
        <v>247044</v>
      </c>
      <c r="M254" s="395">
        <f t="shared" si="53"/>
        <v>247044</v>
      </c>
      <c r="N254" s="395">
        <f t="shared" si="53"/>
        <v>247044</v>
      </c>
      <c r="O254" s="395">
        <f t="shared" si="52"/>
        <v>2964528</v>
      </c>
      <c r="P254" s="708"/>
    </row>
    <row r="255" spans="1:17">
      <c r="A255" s="226">
        <v>9870000000</v>
      </c>
      <c r="B255" s="336" t="s">
        <v>170</v>
      </c>
      <c r="C255" s="365">
        <v>193166.7</v>
      </c>
      <c r="D255" s="365">
        <v>166187</v>
      </c>
      <c r="E255" s="365"/>
      <c r="F255" s="365"/>
      <c r="G255" s="365"/>
      <c r="H255" s="693"/>
      <c r="I255" s="365"/>
      <c r="J255" s="365"/>
      <c r="K255" s="365"/>
      <c r="L255" s="365"/>
      <c r="M255" s="365"/>
      <c r="N255" s="365"/>
      <c r="O255" s="365">
        <f t="shared" si="52"/>
        <v>359353.7</v>
      </c>
      <c r="P255" s="708">
        <v>1875000</v>
      </c>
      <c r="Q255" s="291"/>
    </row>
    <row r="256" spans="1:17">
      <c r="A256" s="226">
        <v>9840000000</v>
      </c>
      <c r="B256" s="336" t="s">
        <v>171</v>
      </c>
      <c r="C256" s="365">
        <v>0</v>
      </c>
      <c r="D256" s="365">
        <v>1679</v>
      </c>
      <c r="E256" s="365"/>
      <c r="F256" s="365"/>
      <c r="G256" s="365"/>
      <c r="H256" s="365"/>
      <c r="I256" s="365"/>
      <c r="J256" s="365"/>
      <c r="K256" s="365"/>
      <c r="L256" s="365"/>
      <c r="M256" s="365"/>
      <c r="N256" s="365"/>
      <c r="O256" s="365">
        <f t="shared" si="52"/>
        <v>1679</v>
      </c>
      <c r="P256" s="708">
        <v>125000</v>
      </c>
    </row>
    <row r="257" spans="1:18">
      <c r="A257" s="226">
        <v>7909900000</v>
      </c>
      <c r="B257" s="228" t="s">
        <v>121</v>
      </c>
      <c r="C257" s="329">
        <v>0</v>
      </c>
      <c r="D257" s="329">
        <v>29586</v>
      </c>
      <c r="E257" s="329"/>
      <c r="F257" s="329"/>
      <c r="G257" s="329"/>
      <c r="H257" s="358"/>
      <c r="I257" s="329"/>
      <c r="J257" s="329"/>
      <c r="K257" s="329"/>
      <c r="L257" s="329"/>
      <c r="M257" s="329"/>
      <c r="N257" s="329"/>
      <c r="O257" s="365">
        <f t="shared" si="52"/>
        <v>29586</v>
      </c>
      <c r="P257" s="708">
        <v>80000</v>
      </c>
    </row>
    <row r="258" spans="1:18">
      <c r="B258" s="349"/>
      <c r="C258" s="329"/>
      <c r="D258" s="329"/>
      <c r="E258" s="329"/>
      <c r="F258" s="329"/>
      <c r="G258" s="329"/>
      <c r="H258" s="358"/>
      <c r="I258" s="329"/>
      <c r="J258" s="329"/>
      <c r="K258" s="329"/>
      <c r="L258" s="329"/>
      <c r="M258" s="329"/>
      <c r="N258" s="329"/>
      <c r="O258" s="365">
        <f t="shared" si="52"/>
        <v>0</v>
      </c>
      <c r="P258" s="708"/>
    </row>
    <row r="259" spans="1:18" ht="13.5" thickBot="1">
      <c r="B259" s="228"/>
      <c r="C259" s="357"/>
      <c r="D259" s="357"/>
      <c r="E259" s="357"/>
      <c r="F259" s="357"/>
      <c r="G259" s="357"/>
      <c r="H259" s="694"/>
      <c r="I259" s="357"/>
      <c r="J259" s="357"/>
      <c r="K259" s="329"/>
      <c r="L259" s="357"/>
      <c r="M259" s="357"/>
      <c r="N259" s="357"/>
      <c r="O259" s="365">
        <f t="shared" si="52"/>
        <v>0</v>
      </c>
      <c r="P259" s="708"/>
    </row>
    <row r="260" spans="1:18" ht="13.5" thickBot="1">
      <c r="B260" s="361" t="s">
        <v>112</v>
      </c>
      <c r="C260" s="395">
        <f t="shared" ref="C260:N260" si="54">SUM(C255:C259)</f>
        <v>193166.7</v>
      </c>
      <c r="D260" s="395">
        <f t="shared" si="54"/>
        <v>197452</v>
      </c>
      <c r="E260" s="395">
        <f t="shared" si="54"/>
        <v>0</v>
      </c>
      <c r="F260" s="395">
        <f t="shared" si="54"/>
        <v>0</v>
      </c>
      <c r="G260" s="395">
        <f t="shared" si="54"/>
        <v>0</v>
      </c>
      <c r="H260" s="395">
        <f t="shared" si="54"/>
        <v>0</v>
      </c>
      <c r="I260" s="395">
        <f t="shared" si="54"/>
        <v>0</v>
      </c>
      <c r="J260" s="395">
        <f t="shared" si="54"/>
        <v>0</v>
      </c>
      <c r="K260" s="395">
        <f t="shared" si="54"/>
        <v>0</v>
      </c>
      <c r="L260" s="395">
        <f t="shared" si="54"/>
        <v>0</v>
      </c>
      <c r="M260" s="395">
        <f t="shared" si="54"/>
        <v>0</v>
      </c>
      <c r="N260" s="395">
        <f t="shared" si="54"/>
        <v>0</v>
      </c>
      <c r="O260" s="395">
        <f t="shared" si="52"/>
        <v>390618.7</v>
      </c>
      <c r="P260" s="708"/>
    </row>
    <row r="261" spans="1:18" ht="13.5" thickBot="1">
      <c r="B261" s="349" t="s">
        <v>127</v>
      </c>
      <c r="C261" s="332"/>
      <c r="D261" s="332"/>
      <c r="E261" s="332"/>
      <c r="F261" s="332"/>
      <c r="G261" s="332"/>
      <c r="H261" s="398"/>
      <c r="I261" s="332"/>
      <c r="J261" s="332"/>
      <c r="K261" s="332"/>
      <c r="L261" s="332"/>
      <c r="M261" s="332"/>
      <c r="N261" s="332"/>
      <c r="O261" s="331">
        <f t="shared" si="52"/>
        <v>0</v>
      </c>
      <c r="P261" s="708"/>
    </row>
    <row r="262" spans="1:18" ht="13.5" thickBot="1">
      <c r="B262" s="690" t="s">
        <v>129</v>
      </c>
      <c r="C262" s="334">
        <f t="shared" ref="C262:N262" si="55">SUM(C254,C260,C261)</f>
        <v>440210.7</v>
      </c>
      <c r="D262" s="334">
        <f t="shared" si="55"/>
        <v>444496</v>
      </c>
      <c r="E262" s="334">
        <f t="shared" si="55"/>
        <v>247044</v>
      </c>
      <c r="F262" s="334">
        <f t="shared" si="55"/>
        <v>247044</v>
      </c>
      <c r="G262" s="334">
        <f t="shared" si="55"/>
        <v>247044</v>
      </c>
      <c r="H262" s="334">
        <f t="shared" si="55"/>
        <v>247044</v>
      </c>
      <c r="I262" s="334">
        <f t="shared" si="55"/>
        <v>247044</v>
      </c>
      <c r="J262" s="334">
        <f t="shared" si="55"/>
        <v>247044</v>
      </c>
      <c r="K262" s="334">
        <f t="shared" si="55"/>
        <v>247044</v>
      </c>
      <c r="L262" s="334">
        <f t="shared" si="55"/>
        <v>247044</v>
      </c>
      <c r="M262" s="334">
        <f t="shared" si="55"/>
        <v>247044</v>
      </c>
      <c r="N262" s="334">
        <f t="shared" si="55"/>
        <v>247044</v>
      </c>
      <c r="O262" s="709">
        <f t="shared" si="52"/>
        <v>3355146.7</v>
      </c>
      <c r="P262" s="708"/>
    </row>
    <row r="263" spans="1:18">
      <c r="A263" s="525" t="s">
        <v>130</v>
      </c>
      <c r="B263" s="689" t="s">
        <v>172</v>
      </c>
      <c r="C263" s="357">
        <v>106174</v>
      </c>
      <c r="D263" s="357">
        <v>108429</v>
      </c>
      <c r="E263" s="357">
        <v>125000</v>
      </c>
      <c r="F263" s="357">
        <v>150000</v>
      </c>
      <c r="G263" s="357">
        <v>125000</v>
      </c>
      <c r="H263" s="357">
        <v>125000</v>
      </c>
      <c r="I263" s="357">
        <v>125000</v>
      </c>
      <c r="J263" s="357">
        <v>125000</v>
      </c>
      <c r="K263" s="357">
        <v>125000</v>
      </c>
      <c r="L263" s="357">
        <v>125000</v>
      </c>
      <c r="M263" s="357">
        <v>125000</v>
      </c>
      <c r="N263" s="357">
        <v>125000</v>
      </c>
      <c r="O263" s="329">
        <f t="shared" si="52"/>
        <v>1489603</v>
      </c>
      <c r="P263" s="708" t="s">
        <v>173</v>
      </c>
      <c r="Q263" s="291">
        <v>1574800</v>
      </c>
    </row>
    <row r="264" spans="1:18">
      <c r="A264" s="226">
        <v>9845000000</v>
      </c>
      <c r="B264" s="228" t="s">
        <v>174</v>
      </c>
      <c r="C264" s="331"/>
      <c r="D264" s="331"/>
      <c r="E264" s="331"/>
      <c r="F264" s="331"/>
      <c r="G264" s="331"/>
      <c r="H264" s="331"/>
      <c r="I264" s="331"/>
      <c r="J264" s="331"/>
      <c r="K264" s="331"/>
      <c r="L264" s="331"/>
      <c r="M264" s="331"/>
      <c r="N264" s="331"/>
      <c r="O264" s="365">
        <f t="shared" si="52"/>
        <v>0</v>
      </c>
      <c r="P264" s="708">
        <v>40000</v>
      </c>
    </row>
    <row r="265" spans="1:18">
      <c r="A265" s="226">
        <v>4009900000</v>
      </c>
      <c r="B265" s="228" t="s">
        <v>136</v>
      </c>
      <c r="C265" s="331">
        <v>5195</v>
      </c>
      <c r="D265" s="331">
        <v>337</v>
      </c>
      <c r="E265" s="331"/>
      <c r="F265" s="331"/>
      <c r="G265" s="331"/>
      <c r="H265" s="331"/>
      <c r="I265" s="331"/>
      <c r="J265" s="331"/>
      <c r="K265" s="331"/>
      <c r="L265" s="331"/>
      <c r="M265" s="331"/>
      <c r="N265" s="331"/>
      <c r="O265" s="365">
        <f t="shared" si="52"/>
        <v>5532</v>
      </c>
      <c r="P265" s="708">
        <v>40000</v>
      </c>
      <c r="Q265" s="525"/>
    </row>
    <row r="266" spans="1:18">
      <c r="A266" s="226">
        <v>2709900000</v>
      </c>
      <c r="B266" s="228" t="s">
        <v>175</v>
      </c>
      <c r="C266" s="331">
        <v>0</v>
      </c>
      <c r="D266" s="331">
        <v>0</v>
      </c>
      <c r="E266" s="331">
        <v>200000</v>
      </c>
      <c r="F266" s="331"/>
      <c r="G266" s="331"/>
      <c r="H266" s="331"/>
      <c r="I266" s="331"/>
      <c r="J266" s="331"/>
      <c r="K266" s="331"/>
      <c r="L266" s="331"/>
      <c r="M266" s="331"/>
      <c r="N266" s="331"/>
      <c r="O266" s="365">
        <f t="shared" si="52"/>
        <v>200000</v>
      </c>
      <c r="P266" s="708">
        <v>200000</v>
      </c>
      <c r="Q266" s="584" t="s">
        <v>176</v>
      </c>
    </row>
    <row r="267" spans="1:18">
      <c r="A267" s="388">
        <v>2911800000</v>
      </c>
      <c r="B267" s="228" t="s">
        <v>135</v>
      </c>
      <c r="C267" s="331">
        <v>0</v>
      </c>
      <c r="D267" s="331">
        <v>0</v>
      </c>
      <c r="E267" s="331">
        <v>40000</v>
      </c>
      <c r="F267" s="331"/>
      <c r="G267" s="331"/>
      <c r="H267" s="331"/>
      <c r="I267" s="331"/>
      <c r="J267" s="331"/>
      <c r="K267" s="331"/>
      <c r="L267" s="331"/>
      <c r="M267" s="331"/>
      <c r="N267" s="331"/>
      <c r="O267" s="365">
        <f t="shared" si="52"/>
        <v>40000</v>
      </c>
      <c r="P267" s="708"/>
      <c r="Q267" s="525"/>
    </row>
    <row r="268" spans="1:18">
      <c r="A268" s="226">
        <v>2310100000</v>
      </c>
      <c r="B268" s="228" t="s">
        <v>177</v>
      </c>
      <c r="C268" s="331">
        <v>0</v>
      </c>
      <c r="D268" s="331">
        <v>4178</v>
      </c>
      <c r="E268" s="331">
        <v>5000</v>
      </c>
      <c r="F268" s="331">
        <v>5000</v>
      </c>
      <c r="G268" s="331">
        <v>5000</v>
      </c>
      <c r="H268" s="331">
        <v>5000</v>
      </c>
      <c r="I268" s="331">
        <v>5000</v>
      </c>
      <c r="J268" s="331">
        <v>5000</v>
      </c>
      <c r="K268" s="331">
        <v>5000</v>
      </c>
      <c r="L268" s="331">
        <v>5000</v>
      </c>
      <c r="M268" s="331">
        <v>5000</v>
      </c>
      <c r="N268" s="331">
        <v>5000</v>
      </c>
      <c r="O268" s="365">
        <f t="shared" si="52"/>
        <v>54178</v>
      </c>
      <c r="P268" s="708">
        <v>60000</v>
      </c>
    </row>
    <row r="269" spans="1:18">
      <c r="A269" s="388">
        <v>9845500000</v>
      </c>
      <c r="B269" s="228" t="s">
        <v>178</v>
      </c>
      <c r="C269" s="331">
        <v>0</v>
      </c>
      <c r="D269" s="331">
        <v>14484</v>
      </c>
      <c r="E269" s="331"/>
      <c r="F269" s="331"/>
      <c r="G269" s="331"/>
      <c r="H269" s="331"/>
      <c r="I269" s="331"/>
      <c r="J269" s="331"/>
      <c r="K269" s="331"/>
      <c r="L269" s="331"/>
      <c r="M269" s="331"/>
      <c r="N269" s="331"/>
      <c r="O269" s="329">
        <f t="shared" si="52"/>
        <v>14484</v>
      </c>
      <c r="P269" s="708">
        <v>130000</v>
      </c>
    </row>
    <row r="270" spans="1:18">
      <c r="A270" s="226">
        <v>4909900000</v>
      </c>
      <c r="B270" s="228" t="s">
        <v>179</v>
      </c>
      <c r="C270" s="331">
        <v>1988</v>
      </c>
      <c r="D270" s="331">
        <v>6491</v>
      </c>
      <c r="E270" s="331"/>
      <c r="F270" s="331"/>
      <c r="G270" s="331"/>
      <c r="H270" s="331"/>
      <c r="I270" s="331"/>
      <c r="J270" s="331"/>
      <c r="K270" s="331"/>
      <c r="L270" s="331"/>
      <c r="M270" s="331"/>
      <c r="N270" s="331"/>
      <c r="O270" s="329">
        <f t="shared" si="52"/>
        <v>8479</v>
      </c>
      <c r="P270" s="708">
        <v>200000</v>
      </c>
    </row>
    <row r="271" spans="1:18">
      <c r="A271" s="226">
        <v>4516500000</v>
      </c>
      <c r="B271" s="228" t="s">
        <v>180</v>
      </c>
      <c r="C271" s="331">
        <v>49640</v>
      </c>
      <c r="D271" s="331">
        <v>46558</v>
      </c>
      <c r="E271" s="331"/>
      <c r="F271" s="331"/>
      <c r="G271" s="331"/>
      <c r="H271" s="331"/>
      <c r="I271" s="331"/>
      <c r="J271" s="331"/>
      <c r="K271" s="331"/>
      <c r="L271" s="331"/>
      <c r="M271" s="331"/>
      <c r="N271" s="331"/>
      <c r="O271" s="329">
        <f t="shared" si="52"/>
        <v>96198</v>
      </c>
      <c r="P271" s="708">
        <v>80000</v>
      </c>
      <c r="R271" s="525"/>
    </row>
    <row r="272" spans="1:18">
      <c r="A272" s="226">
        <v>2909900000</v>
      </c>
      <c r="B272" s="228" t="s">
        <v>181</v>
      </c>
      <c r="C272" s="331">
        <v>5794</v>
      </c>
      <c r="D272" s="331">
        <v>3157</v>
      </c>
      <c r="E272" s="331"/>
      <c r="F272" s="331"/>
      <c r="G272" s="331"/>
      <c r="H272" s="331"/>
      <c r="I272" s="331"/>
      <c r="J272" s="331"/>
      <c r="K272" s="331"/>
      <c r="L272" s="331"/>
      <c r="M272" s="331"/>
      <c r="N272" s="331"/>
      <c r="O272" s="329">
        <f t="shared" si="52"/>
        <v>8951</v>
      </c>
      <c r="P272" s="708">
        <v>60000</v>
      </c>
    </row>
    <row r="273" spans="1:17">
      <c r="A273" s="226">
        <v>4010400000</v>
      </c>
      <c r="B273" s="228" t="s">
        <v>182</v>
      </c>
      <c r="C273" s="331">
        <v>186317</v>
      </c>
      <c r="D273" s="331">
        <v>160908</v>
      </c>
      <c r="E273" s="331"/>
      <c r="F273" s="331"/>
      <c r="G273" s="331"/>
      <c r="H273" s="331"/>
      <c r="I273" s="331"/>
      <c r="J273" s="331"/>
      <c r="K273" s="331"/>
      <c r="L273" s="331"/>
      <c r="M273" s="331"/>
      <c r="N273" s="331"/>
      <c r="O273" s="329">
        <f t="shared" si="52"/>
        <v>347225</v>
      </c>
      <c r="P273" s="708">
        <v>1800000</v>
      </c>
      <c r="Q273" s="291"/>
    </row>
    <row r="274" spans="1:17">
      <c r="A274" s="226">
        <v>4910300000</v>
      </c>
      <c r="B274" s="228" t="s">
        <v>171</v>
      </c>
      <c r="C274" s="329">
        <v>4687</v>
      </c>
      <c r="D274" s="329">
        <v>3676</v>
      </c>
      <c r="E274" s="329"/>
      <c r="F274" s="329"/>
      <c r="G274" s="329"/>
      <c r="H274" s="329"/>
      <c r="I274" s="329"/>
      <c r="J274" s="329"/>
      <c r="K274" s="329"/>
      <c r="L274" s="329"/>
      <c r="M274" s="329"/>
      <c r="N274" s="329"/>
      <c r="O274" s="329">
        <f t="shared" si="52"/>
        <v>8363</v>
      </c>
      <c r="P274" s="708">
        <v>60000</v>
      </c>
    </row>
    <row r="275" spans="1:17">
      <c r="B275" s="349"/>
      <c r="C275" s="331"/>
      <c r="D275" s="331"/>
      <c r="E275" s="331"/>
      <c r="F275" s="331"/>
      <c r="G275" s="331"/>
      <c r="H275" s="331"/>
      <c r="I275" s="331"/>
      <c r="J275" s="331"/>
      <c r="K275" s="331"/>
      <c r="L275" s="331"/>
      <c r="M275" s="331"/>
      <c r="N275" s="331"/>
      <c r="O275" s="329">
        <f t="shared" si="52"/>
        <v>0</v>
      </c>
      <c r="P275" s="708"/>
    </row>
    <row r="276" spans="1:17" ht="13.5" thickBot="1">
      <c r="A276" s="226">
        <v>4911800000</v>
      </c>
      <c r="B276" s="349" t="s">
        <v>183</v>
      </c>
      <c r="C276" s="331">
        <v>465</v>
      </c>
      <c r="D276" s="331">
        <v>25024</v>
      </c>
      <c r="E276" s="331"/>
      <c r="F276" s="331"/>
      <c r="G276" s="331"/>
      <c r="H276" s="331"/>
      <c r="I276" s="331"/>
      <c r="J276" s="331"/>
      <c r="K276" s="331"/>
      <c r="L276" s="331"/>
      <c r="M276" s="331"/>
      <c r="N276" s="331"/>
      <c r="O276" s="329">
        <f t="shared" si="52"/>
        <v>25489</v>
      </c>
      <c r="P276" s="708">
        <v>120000</v>
      </c>
      <c r="Q276" s="525"/>
    </row>
    <row r="277" spans="1:17" ht="13.5" thickBot="1">
      <c r="B277" s="690" t="s">
        <v>145</v>
      </c>
      <c r="C277" s="334">
        <f>SUM(C263:C276)</f>
        <v>360260</v>
      </c>
      <c r="D277" s="334">
        <f t="shared" ref="D277:O277" si="56">SUM(D263:D276)</f>
        <v>373242</v>
      </c>
      <c r="E277" s="334">
        <f t="shared" si="56"/>
        <v>370000</v>
      </c>
      <c r="F277" s="334">
        <f t="shared" si="56"/>
        <v>155000</v>
      </c>
      <c r="G277" s="334">
        <f t="shared" si="56"/>
        <v>130000</v>
      </c>
      <c r="H277" s="334">
        <f t="shared" si="56"/>
        <v>130000</v>
      </c>
      <c r="I277" s="334">
        <f t="shared" si="56"/>
        <v>130000</v>
      </c>
      <c r="J277" s="334">
        <f t="shared" si="56"/>
        <v>130000</v>
      </c>
      <c r="K277" s="334">
        <f t="shared" si="56"/>
        <v>130000</v>
      </c>
      <c r="L277" s="334">
        <f t="shared" si="56"/>
        <v>130000</v>
      </c>
      <c r="M277" s="334">
        <f t="shared" si="56"/>
        <v>130000</v>
      </c>
      <c r="N277" s="334">
        <f t="shared" si="56"/>
        <v>130000</v>
      </c>
      <c r="O277" s="334">
        <f t="shared" si="56"/>
        <v>2298502</v>
      </c>
      <c r="P277" s="708"/>
    </row>
    <row r="278" spans="1:17" ht="13.5" thickBot="1">
      <c r="B278" s="695" t="s">
        <v>146</v>
      </c>
      <c r="C278" s="351">
        <f>C262-SUM(C263:C276)</f>
        <v>79950.700000000012</v>
      </c>
      <c r="D278" s="351">
        <f t="shared" ref="D278:N278" si="57">D262-SUM(D263:D276)</f>
        <v>71254</v>
      </c>
      <c r="E278" s="351">
        <f t="shared" si="57"/>
        <v>-122956</v>
      </c>
      <c r="F278" s="351">
        <f t="shared" si="57"/>
        <v>92044</v>
      </c>
      <c r="G278" s="351">
        <f t="shared" si="57"/>
        <v>117044</v>
      </c>
      <c r="H278" s="351">
        <f t="shared" si="57"/>
        <v>117044</v>
      </c>
      <c r="I278" s="351">
        <f t="shared" si="57"/>
        <v>117044</v>
      </c>
      <c r="J278" s="351">
        <f t="shared" si="57"/>
        <v>117044</v>
      </c>
      <c r="K278" s="351">
        <f t="shared" si="57"/>
        <v>117044</v>
      </c>
      <c r="L278" s="351">
        <f t="shared" si="57"/>
        <v>117044</v>
      </c>
      <c r="M278" s="351">
        <f t="shared" si="57"/>
        <v>117044</v>
      </c>
      <c r="N278" s="351">
        <f t="shared" si="57"/>
        <v>117044</v>
      </c>
      <c r="O278" s="351">
        <f t="shared" si="52"/>
        <v>1056644.7</v>
      </c>
    </row>
    <row r="279" spans="1:17" ht="15" customHeight="1">
      <c r="A279" s="406"/>
      <c r="B279" s="517"/>
      <c r="C279" s="517"/>
      <c r="D279" s="517"/>
      <c r="E279" s="517"/>
      <c r="F279" s="517"/>
      <c r="G279" s="517"/>
      <c r="H279" s="517"/>
      <c r="I279" s="517"/>
      <c r="J279" s="517"/>
      <c r="K279" s="517"/>
      <c r="L279" s="517"/>
      <c r="M279" s="517"/>
      <c r="N279" s="517"/>
    </row>
    <row r="280" spans="1:17" ht="15" customHeight="1" thickBot="1">
      <c r="A280" s="406"/>
      <c r="B280" s="517"/>
      <c r="C280" s="517"/>
      <c r="D280" s="517"/>
      <c r="E280" s="517"/>
      <c r="F280" s="517"/>
      <c r="G280" s="517"/>
      <c r="H280" s="517"/>
      <c r="I280" s="517"/>
      <c r="J280" s="517"/>
      <c r="K280" s="517"/>
      <c r="L280" s="517"/>
      <c r="M280" s="517"/>
      <c r="N280" s="517"/>
    </row>
    <row r="281" spans="1:17" ht="20.25">
      <c r="A281" s="826" t="s">
        <v>226</v>
      </c>
      <c r="B281" s="826"/>
      <c r="C281" s="826"/>
      <c r="D281" s="826"/>
      <c r="E281" s="826"/>
      <c r="F281" s="826"/>
      <c r="G281" s="826"/>
      <c r="H281" s="826"/>
      <c r="I281" s="826"/>
      <c r="J281" s="826"/>
      <c r="K281" s="826"/>
      <c r="L281" s="826"/>
      <c r="M281" s="826"/>
      <c r="N281" s="826"/>
    </row>
    <row r="282" spans="1:17">
      <c r="A282" s="227"/>
      <c r="B282" s="227"/>
      <c r="C282" s="227"/>
      <c r="D282" s="227"/>
      <c r="E282" s="227"/>
      <c r="F282" s="227"/>
      <c r="G282" s="227"/>
      <c r="H282" s="227"/>
      <c r="I282" s="227"/>
      <c r="J282" s="227"/>
      <c r="K282" s="227"/>
      <c r="L282" s="227"/>
      <c r="M282" s="227"/>
    </row>
    <row r="283" spans="1:17">
      <c r="A283" s="228"/>
      <c r="B283" s="229" t="s">
        <v>44</v>
      </c>
      <c r="C283" s="229" t="s">
        <v>45</v>
      </c>
      <c r="D283" s="230" t="s">
        <v>46</v>
      </c>
      <c r="E283" s="229" t="s">
        <v>47</v>
      </c>
      <c r="F283" s="229" t="s">
        <v>48</v>
      </c>
      <c r="G283" s="230" t="s">
        <v>49</v>
      </c>
      <c r="H283" s="229" t="s">
        <v>38</v>
      </c>
      <c r="I283" s="229" t="s">
        <v>39</v>
      </c>
      <c r="J283" s="229" t="s">
        <v>40</v>
      </c>
      <c r="K283" s="229" t="s">
        <v>41</v>
      </c>
      <c r="L283" s="229" t="s">
        <v>42</v>
      </c>
      <c r="M283" s="229" t="s">
        <v>43</v>
      </c>
      <c r="N283" s="228" t="s">
        <v>64</v>
      </c>
    </row>
    <row r="284" spans="1:17">
      <c r="A284" s="231" t="s">
        <v>65</v>
      </c>
      <c r="B284" s="620">
        <v>1924</v>
      </c>
      <c r="C284" s="620">
        <v>1924</v>
      </c>
      <c r="D284" s="620">
        <v>1924</v>
      </c>
      <c r="E284" s="620">
        <v>1924</v>
      </c>
      <c r="F284" s="620">
        <v>1924</v>
      </c>
      <c r="G284" s="620">
        <v>1924</v>
      </c>
      <c r="H284" s="620">
        <v>1924</v>
      </c>
      <c r="I284" s="620">
        <v>1924</v>
      </c>
      <c r="J284" s="620">
        <v>1924</v>
      </c>
      <c r="K284" s="620">
        <v>1924</v>
      </c>
      <c r="L284" s="620">
        <v>1924</v>
      </c>
      <c r="M284" s="620">
        <v>1924</v>
      </c>
      <c r="N284" s="620">
        <f t="shared" ref="N284:N294" si="58">SUM(B284:M284)</f>
        <v>23088</v>
      </c>
    </row>
    <row r="285" spans="1:17">
      <c r="A285" s="231" t="s">
        <v>66</v>
      </c>
      <c r="B285" s="620"/>
      <c r="C285" s="620"/>
      <c r="D285" s="620"/>
      <c r="E285" s="620"/>
      <c r="F285" s="620"/>
      <c r="G285" s="621"/>
      <c r="H285" s="620"/>
      <c r="I285" s="620"/>
      <c r="J285" s="622"/>
      <c r="K285" s="620"/>
      <c r="L285" s="620"/>
      <c r="M285" s="620"/>
      <c r="N285" s="620">
        <f t="shared" si="58"/>
        <v>0</v>
      </c>
    </row>
    <row r="286" spans="1:17">
      <c r="A286" s="231" t="s">
        <v>67</v>
      </c>
      <c r="B286" s="620"/>
      <c r="C286" s="620"/>
      <c r="D286" s="620"/>
      <c r="E286" s="620"/>
      <c r="F286" s="620"/>
      <c r="G286" s="621"/>
      <c r="H286" s="620"/>
      <c r="I286" s="620"/>
      <c r="J286" s="620"/>
      <c r="K286" s="620"/>
      <c r="L286" s="620"/>
      <c r="M286" s="620"/>
      <c r="N286" s="620">
        <f t="shared" si="58"/>
        <v>0</v>
      </c>
    </row>
    <row r="287" spans="1:17">
      <c r="A287" s="231" t="s">
        <v>69</v>
      </c>
      <c r="B287" s="620"/>
      <c r="C287" s="620"/>
      <c r="D287" s="620"/>
      <c r="E287" s="620"/>
      <c r="F287" s="620"/>
      <c r="G287" s="621"/>
      <c r="H287" s="620"/>
      <c r="I287" s="620"/>
      <c r="J287" s="620"/>
      <c r="K287" s="620"/>
      <c r="L287" s="620"/>
      <c r="M287" s="620"/>
      <c r="N287" s="620">
        <f t="shared" si="58"/>
        <v>0</v>
      </c>
    </row>
    <row r="288" spans="1:17">
      <c r="A288" s="231" t="s">
        <v>70</v>
      </c>
      <c r="B288" s="620"/>
      <c r="C288" s="620"/>
      <c r="D288" s="620"/>
      <c r="E288" s="620"/>
      <c r="F288" s="620"/>
      <c r="G288" s="621"/>
      <c r="H288" s="620"/>
      <c r="I288" s="620"/>
      <c r="J288" s="620"/>
      <c r="K288" s="620"/>
      <c r="L288" s="620"/>
      <c r="M288" s="620"/>
      <c r="N288" s="620">
        <f t="shared" si="58"/>
        <v>0</v>
      </c>
    </row>
    <row r="289" spans="1:14">
      <c r="A289" s="231" t="s">
        <v>71</v>
      </c>
      <c r="B289" s="620"/>
      <c r="C289" s="620"/>
      <c r="D289" s="620"/>
      <c r="E289" s="620"/>
      <c r="F289" s="620"/>
      <c r="G289" s="621"/>
      <c r="H289" s="620"/>
      <c r="I289" s="620"/>
      <c r="J289" s="620"/>
      <c r="K289" s="620"/>
      <c r="L289" s="620"/>
      <c r="M289" s="620"/>
      <c r="N289" s="620">
        <f t="shared" si="58"/>
        <v>0</v>
      </c>
    </row>
    <row r="290" spans="1:14">
      <c r="A290" s="231" t="s">
        <v>72</v>
      </c>
      <c r="B290" s="620"/>
      <c r="C290" s="620"/>
      <c r="D290" s="620"/>
      <c r="E290" s="620"/>
      <c r="F290" s="620"/>
      <c r="G290" s="621"/>
      <c r="H290" s="620"/>
      <c r="I290" s="620"/>
      <c r="J290" s="620"/>
      <c r="K290" s="620"/>
      <c r="L290" s="620"/>
      <c r="M290" s="620"/>
      <c r="N290" s="620">
        <f t="shared" si="58"/>
        <v>0</v>
      </c>
    </row>
    <row r="291" spans="1:14">
      <c r="A291" s="231" t="s">
        <v>73</v>
      </c>
      <c r="B291" s="620"/>
      <c r="C291" s="620"/>
      <c r="D291" s="620"/>
      <c r="E291" s="620"/>
      <c r="F291" s="620"/>
      <c r="G291" s="621"/>
      <c r="H291" s="620"/>
      <c r="I291" s="620"/>
      <c r="J291" s="620"/>
      <c r="K291" s="620"/>
      <c r="L291" s="620"/>
      <c r="M291" s="620"/>
      <c r="N291" s="620">
        <f t="shared" si="58"/>
        <v>0</v>
      </c>
    </row>
    <row r="292" spans="1:14">
      <c r="A292" s="231" t="s">
        <v>74</v>
      </c>
      <c r="B292" s="620"/>
      <c r="C292" s="620"/>
      <c r="D292" s="620"/>
      <c r="E292" s="620"/>
      <c r="F292" s="620"/>
      <c r="G292" s="621"/>
      <c r="H292" s="620"/>
      <c r="I292" s="620"/>
      <c r="J292" s="620"/>
      <c r="K292" s="620"/>
      <c r="L292" s="620"/>
      <c r="M292" s="620"/>
      <c r="N292" s="620">
        <f t="shared" si="58"/>
        <v>0</v>
      </c>
    </row>
    <row r="293" spans="1:14">
      <c r="A293" s="231" t="s">
        <v>75</v>
      </c>
      <c r="B293" s="620"/>
      <c r="C293" s="620"/>
      <c r="D293" s="620"/>
      <c r="E293" s="620"/>
      <c r="F293" s="620"/>
      <c r="G293" s="621"/>
      <c r="H293" s="620"/>
      <c r="I293" s="620"/>
      <c r="J293" s="620"/>
      <c r="K293" s="620"/>
      <c r="L293" s="620"/>
      <c r="M293" s="620"/>
      <c r="N293" s="620">
        <f t="shared" si="58"/>
        <v>0</v>
      </c>
    </row>
    <row r="294" spans="1:14" ht="13.5" thickBot="1">
      <c r="A294" s="235" t="s">
        <v>76</v>
      </c>
      <c r="B294" s="623"/>
      <c r="C294" s="623"/>
      <c r="D294" s="623"/>
      <c r="E294" s="623"/>
      <c r="F294" s="623"/>
      <c r="G294" s="624"/>
      <c r="H294" s="623"/>
      <c r="I294" s="623"/>
      <c r="J294" s="623"/>
      <c r="K294" s="623"/>
      <c r="L294" s="623"/>
      <c r="M294" s="623"/>
      <c r="N294" s="625">
        <f t="shared" si="58"/>
        <v>0</v>
      </c>
    </row>
    <row r="295" spans="1:14" ht="13.5" thickBot="1">
      <c r="A295" s="239" t="s">
        <v>77</v>
      </c>
      <c r="B295" s="626">
        <f>SUM(B284:B294)</f>
        <v>1924</v>
      </c>
      <c r="C295" s="626">
        <f t="shared" ref="C295:N295" si="59">SUM(C284:C294)</f>
        <v>1924</v>
      </c>
      <c r="D295" s="626">
        <f t="shared" si="59"/>
        <v>1924</v>
      </c>
      <c r="E295" s="626">
        <f t="shared" si="59"/>
        <v>1924</v>
      </c>
      <c r="F295" s="626">
        <f t="shared" si="59"/>
        <v>1924</v>
      </c>
      <c r="G295" s="626">
        <f t="shared" si="59"/>
        <v>1924</v>
      </c>
      <c r="H295" s="626">
        <f t="shared" si="59"/>
        <v>1924</v>
      </c>
      <c r="I295" s="626">
        <f t="shared" si="59"/>
        <v>1924</v>
      </c>
      <c r="J295" s="626">
        <f t="shared" si="59"/>
        <v>1924</v>
      </c>
      <c r="K295" s="626">
        <f t="shared" si="59"/>
        <v>1924</v>
      </c>
      <c r="L295" s="626">
        <f t="shared" si="59"/>
        <v>1924</v>
      </c>
      <c r="M295" s="626">
        <f t="shared" si="59"/>
        <v>1924</v>
      </c>
      <c r="N295" s="632">
        <f t="shared" si="59"/>
        <v>23088</v>
      </c>
    </row>
    <row r="296" spans="1:14">
      <c r="A296" s="243"/>
      <c r="B296" s="261"/>
      <c r="C296" s="261"/>
      <c r="D296" s="261"/>
      <c r="E296" s="261"/>
      <c r="F296" s="261"/>
      <c r="G296" s="261"/>
      <c r="H296" s="261"/>
      <c r="I296" s="261"/>
      <c r="J296" s="261"/>
      <c r="K296" s="261"/>
      <c r="L296" s="261"/>
      <c r="M296" s="261"/>
      <c r="N296" s="261"/>
    </row>
    <row r="297" spans="1:14">
      <c r="A297" s="243"/>
      <c r="B297" s="261"/>
      <c r="C297" s="261"/>
      <c r="D297" s="261"/>
      <c r="E297" s="261"/>
      <c r="F297" s="261"/>
      <c r="G297" s="261"/>
      <c r="H297" s="261"/>
      <c r="I297" s="261"/>
      <c r="J297" s="261"/>
      <c r="K297" s="261"/>
      <c r="L297" s="261"/>
      <c r="M297" s="261"/>
      <c r="N297" s="629" t="s">
        <v>78</v>
      </c>
    </row>
    <row r="298" spans="1:14">
      <c r="A298" s="231" t="s">
        <v>79</v>
      </c>
      <c r="B298" s="620">
        <f t="shared" ref="B298:M298" si="60">SUM(B285*100/B295)</f>
        <v>0</v>
      </c>
      <c r="C298" s="620">
        <f t="shared" si="60"/>
        <v>0</v>
      </c>
      <c r="D298" s="620">
        <f t="shared" si="60"/>
        <v>0</v>
      </c>
      <c r="E298" s="620">
        <f t="shared" si="60"/>
        <v>0</v>
      </c>
      <c r="F298" s="620">
        <f t="shared" si="60"/>
        <v>0</v>
      </c>
      <c r="G298" s="620">
        <f t="shared" si="60"/>
        <v>0</v>
      </c>
      <c r="H298" s="620">
        <f t="shared" si="60"/>
        <v>0</v>
      </c>
      <c r="I298" s="620">
        <f t="shared" si="60"/>
        <v>0</v>
      </c>
      <c r="J298" s="620">
        <f t="shared" si="60"/>
        <v>0</v>
      </c>
      <c r="K298" s="620">
        <f t="shared" si="60"/>
        <v>0</v>
      </c>
      <c r="L298" s="620">
        <f t="shared" si="60"/>
        <v>0</v>
      </c>
      <c r="M298" s="620">
        <f t="shared" si="60"/>
        <v>0</v>
      </c>
      <c r="N298" s="630">
        <f>SUM(B298:M298)/12</f>
        <v>0</v>
      </c>
    </row>
    <row r="299" spans="1:14">
      <c r="A299" s="243"/>
      <c r="B299" s="261"/>
      <c r="C299" s="261"/>
      <c r="D299" s="261"/>
      <c r="E299" s="261"/>
      <c r="F299" s="261"/>
      <c r="G299" s="261"/>
      <c r="H299" s="261"/>
      <c r="I299" s="261"/>
      <c r="J299" s="261"/>
      <c r="K299" s="261"/>
      <c r="L299" s="261"/>
      <c r="M299" s="261"/>
      <c r="N299" s="261"/>
    </row>
    <row r="300" spans="1:14">
      <c r="A300" s="231" t="s">
        <v>80</v>
      </c>
      <c r="B300" s="620">
        <f t="shared" ref="B300:M300" si="61">SUM(B289*100/B295)</f>
        <v>0</v>
      </c>
      <c r="C300" s="620">
        <f t="shared" si="61"/>
        <v>0</v>
      </c>
      <c r="D300" s="620">
        <f t="shared" si="61"/>
        <v>0</v>
      </c>
      <c r="E300" s="620">
        <f t="shared" si="61"/>
        <v>0</v>
      </c>
      <c r="F300" s="620">
        <f t="shared" si="61"/>
        <v>0</v>
      </c>
      <c r="G300" s="620">
        <f t="shared" si="61"/>
        <v>0</v>
      </c>
      <c r="H300" s="620">
        <f t="shared" si="61"/>
        <v>0</v>
      </c>
      <c r="I300" s="620">
        <f t="shared" si="61"/>
        <v>0</v>
      </c>
      <c r="J300" s="620">
        <f t="shared" si="61"/>
        <v>0</v>
      </c>
      <c r="K300" s="620">
        <f t="shared" si="61"/>
        <v>0</v>
      </c>
      <c r="L300" s="620">
        <f t="shared" si="61"/>
        <v>0</v>
      </c>
      <c r="M300" s="620">
        <f t="shared" si="61"/>
        <v>0</v>
      </c>
      <c r="N300" s="630">
        <f>SUM(B300:M300)/12</f>
        <v>0</v>
      </c>
    </row>
    <row r="301" spans="1:14" ht="13.5" thickBot="1">
      <c r="A301" s="247" t="s">
        <v>81</v>
      </c>
      <c r="B301" s="625">
        <f t="shared" ref="B301:M301" si="62">SUM(B290*100/B295)</f>
        <v>0</v>
      </c>
      <c r="C301" s="625">
        <f t="shared" si="62"/>
        <v>0</v>
      </c>
      <c r="D301" s="625">
        <f t="shared" si="62"/>
        <v>0</v>
      </c>
      <c r="E301" s="625">
        <f t="shared" si="62"/>
        <v>0</v>
      </c>
      <c r="F301" s="625">
        <f t="shared" si="62"/>
        <v>0</v>
      </c>
      <c r="G301" s="625">
        <f t="shared" si="62"/>
        <v>0</v>
      </c>
      <c r="H301" s="625">
        <f t="shared" si="62"/>
        <v>0</v>
      </c>
      <c r="I301" s="625">
        <f t="shared" si="62"/>
        <v>0</v>
      </c>
      <c r="J301" s="625">
        <f t="shared" si="62"/>
        <v>0</v>
      </c>
      <c r="K301" s="625">
        <f t="shared" si="62"/>
        <v>0</v>
      </c>
      <c r="L301" s="625">
        <f t="shared" si="62"/>
        <v>0</v>
      </c>
      <c r="M301" s="625">
        <f t="shared" si="62"/>
        <v>0</v>
      </c>
      <c r="N301" s="630">
        <f>SUM(B301:M301)/12</f>
        <v>0</v>
      </c>
    </row>
    <row r="302" spans="1:14" ht="13.5" thickBot="1">
      <c r="A302" s="249" t="s">
        <v>82</v>
      </c>
      <c r="B302" s="632">
        <f t="shared" ref="B302:M302" si="63">SUM(B300:B300)</f>
        <v>0</v>
      </c>
      <c r="C302" s="632">
        <f t="shared" si="63"/>
        <v>0</v>
      </c>
      <c r="D302" s="632">
        <f t="shared" si="63"/>
        <v>0</v>
      </c>
      <c r="E302" s="632">
        <f t="shared" si="63"/>
        <v>0</v>
      </c>
      <c r="F302" s="632">
        <f t="shared" si="63"/>
        <v>0</v>
      </c>
      <c r="G302" s="632">
        <f t="shared" si="63"/>
        <v>0</v>
      </c>
      <c r="H302" s="632">
        <f t="shared" si="63"/>
        <v>0</v>
      </c>
      <c r="I302" s="632">
        <f t="shared" si="63"/>
        <v>0</v>
      </c>
      <c r="J302" s="632">
        <f t="shared" si="63"/>
        <v>0</v>
      </c>
      <c r="K302" s="632">
        <f t="shared" si="63"/>
        <v>0</v>
      </c>
      <c r="L302" s="632">
        <f t="shared" si="63"/>
        <v>0</v>
      </c>
      <c r="M302" s="632">
        <f t="shared" si="63"/>
        <v>0</v>
      </c>
      <c r="N302" s="633">
        <f>SUM(N300:N301)</f>
        <v>0</v>
      </c>
    </row>
    <row r="303" spans="1:14">
      <c r="A303" s="243" t="s">
        <v>83</v>
      </c>
      <c r="B303" s="261"/>
      <c r="C303" s="261"/>
      <c r="D303" s="634">
        <f>SUM(B302:D302)/3</f>
        <v>0</v>
      </c>
      <c r="E303" s="261"/>
      <c r="F303" s="261"/>
      <c r="G303" s="634">
        <f>SUM(E302,F302,G302)/3</f>
        <v>0</v>
      </c>
      <c r="H303" s="261"/>
      <c r="I303" s="261"/>
      <c r="J303" s="634">
        <f>SUM(H302,I302,J302)/3</f>
        <v>0</v>
      </c>
      <c r="K303" s="261"/>
      <c r="L303" s="261"/>
      <c r="M303" s="634">
        <f>SUM(K302,L302,M302)/3</f>
        <v>0</v>
      </c>
      <c r="N303" s="635">
        <f>SUM(D303:M303)/4</f>
        <v>0</v>
      </c>
    </row>
    <row r="304" spans="1:14">
      <c r="A304" s="243" t="s">
        <v>84</v>
      </c>
      <c r="B304" s="261"/>
      <c r="C304" s="261"/>
      <c r="D304" s="262"/>
      <c r="E304" s="261"/>
      <c r="F304" s="261"/>
      <c r="G304" s="262"/>
      <c r="H304" s="261"/>
      <c r="I304" s="261"/>
      <c r="J304" s="262"/>
      <c r="K304" s="261"/>
      <c r="L304" s="261"/>
      <c r="M304" s="262"/>
      <c r="N304" s="630">
        <f>SUM(D304:G304,J304,M304)/4</f>
        <v>0</v>
      </c>
    </row>
    <row r="305" spans="1:14">
      <c r="A305" s="243"/>
      <c r="B305" s="261"/>
      <c r="C305" s="261"/>
      <c r="D305" s="261"/>
      <c r="E305" s="261"/>
      <c r="F305" s="261"/>
      <c r="G305" s="261"/>
      <c r="H305" s="261"/>
      <c r="I305" s="261"/>
      <c r="J305" s="261"/>
      <c r="K305" s="261"/>
      <c r="L305" s="261"/>
      <c r="M305" s="261"/>
      <c r="N305" s="261"/>
    </row>
    <row r="306" spans="1:14">
      <c r="A306" s="231" t="s">
        <v>85</v>
      </c>
      <c r="B306" s="620">
        <f t="shared" ref="B306:M306" si="64">B293*100/B295</f>
        <v>0</v>
      </c>
      <c r="C306" s="620">
        <f t="shared" si="64"/>
        <v>0</v>
      </c>
      <c r="D306" s="620">
        <f t="shared" si="64"/>
        <v>0</v>
      </c>
      <c r="E306" s="620">
        <f t="shared" si="64"/>
        <v>0</v>
      </c>
      <c r="F306" s="620">
        <f t="shared" si="64"/>
        <v>0</v>
      </c>
      <c r="G306" s="620">
        <f t="shared" si="64"/>
        <v>0</v>
      </c>
      <c r="H306" s="620">
        <f t="shared" si="64"/>
        <v>0</v>
      </c>
      <c r="I306" s="620">
        <f t="shared" si="64"/>
        <v>0</v>
      </c>
      <c r="J306" s="620">
        <f t="shared" si="64"/>
        <v>0</v>
      </c>
      <c r="K306" s="620">
        <f t="shared" si="64"/>
        <v>0</v>
      </c>
      <c r="L306" s="620">
        <f t="shared" si="64"/>
        <v>0</v>
      </c>
      <c r="M306" s="620">
        <f t="shared" si="64"/>
        <v>0</v>
      </c>
      <c r="N306" s="630">
        <f>SUM(B306:M306)/12</f>
        <v>0</v>
      </c>
    </row>
    <row r="307" spans="1:14">
      <c r="A307" s="231" t="s">
        <v>86</v>
      </c>
      <c r="B307" s="620">
        <f t="shared" ref="B307:M307" si="65">B291*100/B295</f>
        <v>0</v>
      </c>
      <c r="C307" s="620">
        <f t="shared" si="65"/>
        <v>0</v>
      </c>
      <c r="D307" s="620">
        <f t="shared" si="65"/>
        <v>0</v>
      </c>
      <c r="E307" s="620">
        <f t="shared" si="65"/>
        <v>0</v>
      </c>
      <c r="F307" s="620">
        <f t="shared" si="65"/>
        <v>0</v>
      </c>
      <c r="G307" s="620">
        <f t="shared" si="65"/>
        <v>0</v>
      </c>
      <c r="H307" s="620">
        <f t="shared" si="65"/>
        <v>0</v>
      </c>
      <c r="I307" s="620">
        <f t="shared" si="65"/>
        <v>0</v>
      </c>
      <c r="J307" s="620">
        <f t="shared" si="65"/>
        <v>0</v>
      </c>
      <c r="K307" s="620">
        <f t="shared" si="65"/>
        <v>0</v>
      </c>
      <c r="L307" s="620">
        <f t="shared" si="65"/>
        <v>0</v>
      </c>
      <c r="M307" s="620">
        <f t="shared" si="65"/>
        <v>0</v>
      </c>
      <c r="N307" s="630">
        <f>SUM(B307:M307)/12</f>
        <v>0</v>
      </c>
    </row>
    <row r="308" spans="1:14" ht="13.5" thickBot="1">
      <c r="A308" s="231" t="s">
        <v>87</v>
      </c>
      <c r="B308" s="620">
        <f t="shared" ref="B308:M308" si="66">B287*100/B295</f>
        <v>0</v>
      </c>
      <c r="C308" s="620">
        <f t="shared" si="66"/>
        <v>0</v>
      </c>
      <c r="D308" s="620">
        <f t="shared" si="66"/>
        <v>0</v>
      </c>
      <c r="E308" s="620">
        <f t="shared" si="66"/>
        <v>0</v>
      </c>
      <c r="F308" s="620">
        <f t="shared" si="66"/>
        <v>0</v>
      </c>
      <c r="G308" s="620">
        <f t="shared" si="66"/>
        <v>0</v>
      </c>
      <c r="H308" s="620">
        <f t="shared" si="66"/>
        <v>0</v>
      </c>
      <c r="I308" s="620">
        <f t="shared" si="66"/>
        <v>0</v>
      </c>
      <c r="J308" s="620">
        <f t="shared" si="66"/>
        <v>0</v>
      </c>
      <c r="K308" s="620">
        <f t="shared" si="66"/>
        <v>0</v>
      </c>
      <c r="L308" s="620">
        <f t="shared" si="66"/>
        <v>0</v>
      </c>
      <c r="M308" s="620">
        <f t="shared" si="66"/>
        <v>0</v>
      </c>
      <c r="N308" s="631">
        <f>SUM(B308:M308)/12</f>
        <v>0</v>
      </c>
    </row>
    <row r="309" spans="1:14" ht="13.5" thickBot="1">
      <c r="A309" s="255" t="s">
        <v>88</v>
      </c>
      <c r="B309" s="636">
        <f t="shared" ref="B309:M309" si="67">SUM(B284-B295)*100/B295</f>
        <v>0</v>
      </c>
      <c r="C309" s="636">
        <f t="shared" si="67"/>
        <v>0</v>
      </c>
      <c r="D309" s="636">
        <f t="shared" si="67"/>
        <v>0</v>
      </c>
      <c r="E309" s="636">
        <f t="shared" si="67"/>
        <v>0</v>
      </c>
      <c r="F309" s="636">
        <f t="shared" si="67"/>
        <v>0</v>
      </c>
      <c r="G309" s="636">
        <f t="shared" si="67"/>
        <v>0</v>
      </c>
      <c r="H309" s="636">
        <f t="shared" si="67"/>
        <v>0</v>
      </c>
      <c r="I309" s="636">
        <f t="shared" si="67"/>
        <v>0</v>
      </c>
      <c r="J309" s="636">
        <f t="shared" si="67"/>
        <v>0</v>
      </c>
      <c r="K309" s="636">
        <f t="shared" si="67"/>
        <v>0</v>
      </c>
      <c r="L309" s="636">
        <f t="shared" si="67"/>
        <v>0</v>
      </c>
      <c r="M309" s="638">
        <f t="shared" si="67"/>
        <v>0</v>
      </c>
      <c r="N309" s="639">
        <f>SUM(B309:M309)/12</f>
        <v>0</v>
      </c>
    </row>
    <row r="310" spans="1:14">
      <c r="A310" s="243"/>
      <c r="B310" s="244"/>
      <c r="C310" s="244"/>
      <c r="D310" s="244"/>
      <c r="E310" s="244"/>
      <c r="F310" s="244"/>
      <c r="G310" s="244"/>
      <c r="H310" s="244"/>
      <c r="I310" s="244"/>
      <c r="J310" s="244"/>
      <c r="K310" s="244"/>
      <c r="L310" s="244"/>
      <c r="M310" s="244"/>
      <c r="N310" s="227"/>
    </row>
    <row r="311" spans="1:14">
      <c r="A311" s="258" t="s">
        <v>89</v>
      </c>
      <c r="B311" s="244"/>
      <c r="C311" s="244"/>
      <c r="D311" s="244"/>
      <c r="E311" s="244"/>
      <c r="F311" s="244"/>
      <c r="G311" s="244"/>
      <c r="H311" s="244"/>
      <c r="I311" s="244"/>
      <c r="J311" s="244"/>
      <c r="K311" s="244"/>
      <c r="L311" s="244"/>
      <c r="M311" s="244"/>
      <c r="N311" s="227"/>
    </row>
    <row r="312" spans="1:14">
      <c r="A312" s="231" t="s">
        <v>90</v>
      </c>
      <c r="B312" s="259">
        <v>12</v>
      </c>
      <c r="C312" s="259">
        <v>12</v>
      </c>
      <c r="D312" s="259">
        <v>12</v>
      </c>
      <c r="E312" s="259">
        <v>12</v>
      </c>
      <c r="F312" s="259">
        <f t="shared" ref="F312:N312" si="68">E315</f>
        <v>12</v>
      </c>
      <c r="G312" s="259">
        <f t="shared" si="68"/>
        <v>12</v>
      </c>
      <c r="H312" s="259">
        <f t="shared" si="68"/>
        <v>12</v>
      </c>
      <c r="I312" s="259">
        <f t="shared" si="68"/>
        <v>12</v>
      </c>
      <c r="J312" s="259">
        <f t="shared" si="68"/>
        <v>12</v>
      </c>
      <c r="K312" s="259">
        <f t="shared" si="68"/>
        <v>12</v>
      </c>
      <c r="L312" s="259">
        <f t="shared" si="68"/>
        <v>12</v>
      </c>
      <c r="M312" s="259">
        <f t="shared" si="68"/>
        <v>12</v>
      </c>
      <c r="N312" s="259">
        <f t="shared" si="68"/>
        <v>12</v>
      </c>
    </row>
    <row r="313" spans="1:14">
      <c r="A313" s="231" t="s">
        <v>91</v>
      </c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59"/>
      <c r="N313" s="259">
        <f>SUM(B313:M313)/12</f>
        <v>0</v>
      </c>
    </row>
    <row r="314" spans="1:14">
      <c r="A314" s="231" t="s">
        <v>92</v>
      </c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59"/>
      <c r="N314" s="259">
        <f>SUM(B313:M313)/12</f>
        <v>0</v>
      </c>
    </row>
    <row r="315" spans="1:14">
      <c r="A315" s="231" t="s">
        <v>89</v>
      </c>
      <c r="B315" s="259">
        <f t="shared" ref="B315:M315" si="69">SUM(B312+B313-B314)</f>
        <v>12</v>
      </c>
      <c r="C315" s="259">
        <f t="shared" si="69"/>
        <v>12</v>
      </c>
      <c r="D315" s="259">
        <f t="shared" si="69"/>
        <v>12</v>
      </c>
      <c r="E315" s="259">
        <f t="shared" si="69"/>
        <v>12</v>
      </c>
      <c r="F315" s="259">
        <f t="shared" si="69"/>
        <v>12</v>
      </c>
      <c r="G315" s="259">
        <f t="shared" si="69"/>
        <v>12</v>
      </c>
      <c r="H315" s="259">
        <f t="shared" si="69"/>
        <v>12</v>
      </c>
      <c r="I315" s="259">
        <f t="shared" si="69"/>
        <v>12</v>
      </c>
      <c r="J315" s="259">
        <f t="shared" si="69"/>
        <v>12</v>
      </c>
      <c r="K315" s="259">
        <f t="shared" si="69"/>
        <v>12</v>
      </c>
      <c r="L315" s="259">
        <f t="shared" si="69"/>
        <v>12</v>
      </c>
      <c r="M315" s="259">
        <f t="shared" si="69"/>
        <v>12</v>
      </c>
      <c r="N315" s="259">
        <f>SUM(B314:M314)/12</f>
        <v>0</v>
      </c>
    </row>
    <row r="316" spans="1:14">
      <c r="A316" s="231" t="s">
        <v>93</v>
      </c>
      <c r="B316" s="260">
        <f t="shared" ref="B316:M316" si="70">SUM(B315*100)/B312-100</f>
        <v>0</v>
      </c>
      <c r="C316" s="260">
        <f t="shared" si="70"/>
        <v>0</v>
      </c>
      <c r="D316" s="260">
        <f t="shared" si="70"/>
        <v>0</v>
      </c>
      <c r="E316" s="260">
        <f t="shared" si="70"/>
        <v>0</v>
      </c>
      <c r="F316" s="260">
        <f t="shared" si="70"/>
        <v>0</v>
      </c>
      <c r="G316" s="260">
        <f t="shared" si="70"/>
        <v>0</v>
      </c>
      <c r="H316" s="260">
        <f t="shared" si="70"/>
        <v>0</v>
      </c>
      <c r="I316" s="260">
        <f t="shared" si="70"/>
        <v>0</v>
      </c>
      <c r="J316" s="260">
        <f t="shared" si="70"/>
        <v>0</v>
      </c>
      <c r="K316" s="260">
        <f t="shared" si="70"/>
        <v>0</v>
      </c>
      <c r="L316" s="260">
        <f t="shared" si="70"/>
        <v>0</v>
      </c>
      <c r="M316" s="260">
        <f t="shared" si="70"/>
        <v>0</v>
      </c>
      <c r="N316" s="259"/>
    </row>
    <row r="317" spans="1:14">
      <c r="A317" s="243" t="s">
        <v>94</v>
      </c>
      <c r="B317" s="261"/>
      <c r="C317" s="261"/>
      <c r="D317" s="262">
        <f>SUM(B316:D316/3)</f>
        <v>0</v>
      </c>
      <c r="E317" s="261"/>
      <c r="F317" s="261"/>
      <c r="G317" s="262">
        <f>SUM(E316:G316)/3</f>
        <v>0</v>
      </c>
      <c r="H317" s="261"/>
      <c r="I317" s="261"/>
      <c r="J317" s="262">
        <f>SUM(H316:J316)/3</f>
        <v>0</v>
      </c>
      <c r="K317" s="261"/>
      <c r="L317" s="261"/>
      <c r="M317" s="262">
        <f>SUM(K316:M316)/3</f>
        <v>0</v>
      </c>
      <c r="N317" s="261"/>
    </row>
    <row r="318" spans="1:14">
      <c r="A318" s="243"/>
      <c r="B318" s="244"/>
      <c r="C318" s="244"/>
      <c r="D318" s="244"/>
      <c r="E318" s="244"/>
      <c r="F318" s="244"/>
      <c r="G318" s="244"/>
      <c r="H318" s="244"/>
      <c r="I318" s="244"/>
      <c r="J318" s="244"/>
      <c r="K318" s="244"/>
      <c r="L318" s="244"/>
      <c r="M318" s="244"/>
      <c r="N318" s="227"/>
    </row>
    <row r="319" spans="1:14" ht="15" customHeight="1">
      <c r="A319" s="406"/>
      <c r="B319" s="517"/>
      <c r="C319" s="517"/>
      <c r="D319" s="517"/>
      <c r="E319" s="517"/>
      <c r="F319" s="517"/>
      <c r="G319" s="517"/>
      <c r="H319" s="517"/>
      <c r="I319" s="517"/>
      <c r="J319" s="517"/>
      <c r="K319" s="517"/>
      <c r="L319" s="517"/>
      <c r="M319" s="517"/>
      <c r="N319" s="517"/>
    </row>
    <row r="320" spans="1:14">
      <c r="A320" s="376" t="s">
        <v>185</v>
      </c>
      <c r="B320" s="377"/>
      <c r="C320" s="378"/>
      <c r="D320" s="292" t="s">
        <v>186</v>
      </c>
      <c r="F320" s="291"/>
      <c r="I320" s="299"/>
      <c r="M320" s="299"/>
      <c r="N320" s="227"/>
    </row>
    <row r="321" spans="1:16">
      <c r="A321" s="379" t="s">
        <v>187</v>
      </c>
      <c r="B321" s="380"/>
      <c r="C321" s="381"/>
      <c r="D321" s="290">
        <v>291144</v>
      </c>
      <c r="E321" s="291"/>
      <c r="I321" s="494"/>
      <c r="J321" s="494"/>
      <c r="K321" s="494"/>
      <c r="L321" s="494"/>
      <c r="M321" s="494"/>
    </row>
    <row r="322" spans="1:16">
      <c r="A322" s="379" t="s">
        <v>188</v>
      </c>
      <c r="B322" s="380"/>
      <c r="C322" s="289"/>
      <c r="D322" s="290">
        <v>370486</v>
      </c>
      <c r="E322" s="291"/>
      <c r="F322" s="291"/>
      <c r="J322" s="404"/>
      <c r="M322" s="291"/>
      <c r="N322" s="227"/>
    </row>
    <row r="323" spans="1:16">
      <c r="A323" s="379" t="s">
        <v>189</v>
      </c>
      <c r="B323" s="380"/>
      <c r="C323" s="289"/>
      <c r="D323" s="290">
        <v>346872</v>
      </c>
      <c r="E323" s="291"/>
      <c r="J323" s="404"/>
      <c r="M323" s="291"/>
      <c r="N323" s="227"/>
    </row>
    <row r="324" spans="1:16">
      <c r="A324" s="379" t="s">
        <v>190</v>
      </c>
      <c r="B324" s="380"/>
      <c r="C324" s="289"/>
      <c r="D324" s="290">
        <v>175000</v>
      </c>
      <c r="E324" s="291"/>
      <c r="J324" s="404"/>
      <c r="M324" s="291"/>
      <c r="N324" s="227"/>
    </row>
    <row r="325" spans="1:16">
      <c r="A325" s="379" t="s">
        <v>191</v>
      </c>
      <c r="B325" s="284"/>
      <c r="C325" s="289"/>
      <c r="D325" s="290">
        <v>432476</v>
      </c>
      <c r="E325" s="291"/>
      <c r="J325" s="688"/>
      <c r="L325" s="291"/>
      <c r="M325" s="300"/>
      <c r="N325" s="300"/>
    </row>
    <row r="326" spans="1:16">
      <c r="A326" s="379" t="s">
        <v>192</v>
      </c>
      <c r="B326" s="284"/>
      <c r="C326" s="289"/>
      <c r="D326" s="290">
        <v>433593</v>
      </c>
      <c r="E326" s="291"/>
      <c r="F326" s="291"/>
      <c r="M326" s="300"/>
      <c r="N326" s="227"/>
    </row>
    <row r="327" spans="1:16">
      <c r="A327" s="379" t="s">
        <v>193</v>
      </c>
      <c r="B327" s="284"/>
      <c r="C327" s="289"/>
      <c r="D327" s="290">
        <v>386336</v>
      </c>
      <c r="E327" s="291"/>
      <c r="F327" s="291"/>
      <c r="L327" s="394"/>
      <c r="M327" s="291"/>
      <c r="N327" s="227"/>
    </row>
    <row r="328" spans="1:16">
      <c r="A328" s="283" t="s">
        <v>194</v>
      </c>
      <c r="B328" s="284"/>
      <c r="C328" s="289"/>
      <c r="D328" s="290">
        <v>263550</v>
      </c>
      <c r="E328" s="291"/>
      <c r="G328" s="244"/>
      <c r="H328" s="244"/>
      <c r="I328" s="244"/>
      <c r="J328" s="244"/>
      <c r="K328" s="244"/>
      <c r="L328" s="320"/>
      <c r="M328" s="244"/>
      <c r="N328" s="227"/>
    </row>
    <row r="329" spans="1:16">
      <c r="A329" s="527" t="s">
        <v>195</v>
      </c>
      <c r="B329" s="286"/>
      <c r="C329" s="289"/>
      <c r="D329" s="290">
        <v>55220</v>
      </c>
      <c r="E329" s="291"/>
      <c r="G329" s="244"/>
      <c r="H329" s="244"/>
      <c r="I329" s="244"/>
      <c r="J329" s="244"/>
      <c r="K329" s="244"/>
      <c r="L329" s="320"/>
      <c r="M329" s="244"/>
      <c r="N329" s="227"/>
    </row>
    <row r="330" spans="1:16">
      <c r="A330" s="526" t="s">
        <v>196</v>
      </c>
      <c r="C330" s="388"/>
      <c r="D330" s="290">
        <v>26500</v>
      </c>
      <c r="E330" s="291"/>
      <c r="G330" s="244"/>
      <c r="H330" s="244"/>
      <c r="I330" s="244"/>
      <c r="J330" s="244"/>
      <c r="K330" s="244"/>
      <c r="L330" s="320"/>
      <c r="M330" s="244"/>
      <c r="N330" s="227"/>
    </row>
    <row r="331" spans="1:16" ht="13.5" thickBot="1">
      <c r="A331" s="299" t="s">
        <v>197</v>
      </c>
      <c r="D331" s="815">
        <v>644838</v>
      </c>
      <c r="E331" s="291"/>
      <c r="G331" s="244"/>
      <c r="H331" s="244"/>
      <c r="I331" s="244"/>
      <c r="J331" s="244"/>
      <c r="K331" s="244"/>
      <c r="L331" s="320"/>
      <c r="M331" s="244"/>
      <c r="N331" s="227"/>
    </row>
    <row r="332" spans="1:16" ht="13.5" thickBot="1">
      <c r="A332" s="294" t="s">
        <v>167</v>
      </c>
      <c r="B332" s="296"/>
      <c r="C332" s="389"/>
      <c r="D332" s="488">
        <f>SUM(D321:D331)</f>
        <v>3426015</v>
      </c>
      <c r="E332" s="291"/>
      <c r="G332" s="244"/>
      <c r="H332" s="244"/>
      <c r="I332" s="244"/>
      <c r="J332" s="244"/>
      <c r="K332" s="244"/>
      <c r="L332" s="517"/>
      <c r="M332" s="244"/>
      <c r="N332" s="227"/>
    </row>
    <row r="333" spans="1:16">
      <c r="A333" s="390" t="s">
        <v>168</v>
      </c>
      <c r="B333" s="391"/>
      <c r="C333" s="392"/>
      <c r="D333" s="393">
        <f>D332/12</f>
        <v>285501.25</v>
      </c>
      <c r="E333" s="291"/>
      <c r="G333" s="244"/>
      <c r="H333" s="244"/>
      <c r="I333" s="244"/>
      <c r="J333" s="244"/>
      <c r="K333" s="244"/>
      <c r="L333" s="517"/>
      <c r="M333" s="244"/>
      <c r="N333" s="227"/>
    </row>
    <row r="334" spans="1:16">
      <c r="C334" s="394"/>
      <c r="E334" s="291"/>
      <c r="G334" s="244"/>
      <c r="H334" s="244"/>
      <c r="I334" s="244"/>
      <c r="J334" s="244"/>
      <c r="K334" s="244"/>
      <c r="L334" s="517"/>
      <c r="M334" s="244"/>
      <c r="N334" s="227"/>
    </row>
    <row r="335" spans="1:16">
      <c r="B335" s="258" t="s">
        <v>113</v>
      </c>
      <c r="C335" s="244"/>
      <c r="D335" s="244"/>
      <c r="E335" s="244"/>
      <c r="F335" s="244"/>
      <c r="G335" s="244"/>
      <c r="H335" s="244"/>
      <c r="I335" s="244"/>
      <c r="J335" s="244"/>
      <c r="K335" s="244"/>
      <c r="L335" s="244"/>
      <c r="M335" s="244"/>
      <c r="N335" s="244"/>
      <c r="O335" s="227"/>
    </row>
    <row r="336" spans="1:16">
      <c r="A336" s="525" t="s">
        <v>112</v>
      </c>
      <c r="B336" s="328"/>
      <c r="C336" s="232" t="s">
        <v>44</v>
      </c>
      <c r="D336" s="232" t="s">
        <v>45</v>
      </c>
      <c r="E336" s="232" t="s">
        <v>46</v>
      </c>
      <c r="F336" s="232" t="s">
        <v>47</v>
      </c>
      <c r="G336" s="232" t="s">
        <v>48</v>
      </c>
      <c r="H336" s="232" t="s">
        <v>49</v>
      </c>
      <c r="I336" s="232" t="s">
        <v>38</v>
      </c>
      <c r="J336" s="232" t="s">
        <v>39</v>
      </c>
      <c r="K336" s="232" t="s">
        <v>40</v>
      </c>
      <c r="L336" s="232" t="s">
        <v>41</v>
      </c>
      <c r="M336" s="232" t="s">
        <v>42</v>
      </c>
      <c r="N336" s="232" t="s">
        <v>43</v>
      </c>
      <c r="O336" s="228"/>
      <c r="P336" s="708"/>
    </row>
    <row r="337" spans="1:17" ht="13.5" thickBot="1">
      <c r="B337" s="231" t="s">
        <v>115</v>
      </c>
      <c r="C337" s="329">
        <f t="shared" ref="C337:N337" si="71">$D$333</f>
        <v>285501.25</v>
      </c>
      <c r="D337" s="329">
        <f t="shared" si="71"/>
        <v>285501.25</v>
      </c>
      <c r="E337" s="329">
        <f t="shared" si="71"/>
        <v>285501.25</v>
      </c>
      <c r="F337" s="329">
        <f t="shared" si="71"/>
        <v>285501.25</v>
      </c>
      <c r="G337" s="329">
        <f t="shared" si="71"/>
        <v>285501.25</v>
      </c>
      <c r="H337" s="329">
        <f t="shared" si="71"/>
        <v>285501.25</v>
      </c>
      <c r="I337" s="329">
        <f t="shared" si="71"/>
        <v>285501.25</v>
      </c>
      <c r="J337" s="329">
        <f t="shared" si="71"/>
        <v>285501.25</v>
      </c>
      <c r="K337" s="329">
        <f t="shared" si="71"/>
        <v>285501.25</v>
      </c>
      <c r="L337" s="329">
        <f t="shared" si="71"/>
        <v>285501.25</v>
      </c>
      <c r="M337" s="329">
        <f t="shared" si="71"/>
        <v>285501.25</v>
      </c>
      <c r="N337" s="329">
        <f t="shared" si="71"/>
        <v>285501.25</v>
      </c>
      <c r="O337" s="329">
        <f t="shared" ref="O337:O345" si="72">SUM(C337:N337)</f>
        <v>3426015</v>
      </c>
      <c r="P337" s="708"/>
    </row>
    <row r="338" spans="1:17" ht="13.5" thickBot="1">
      <c r="B338" s="333" t="s">
        <v>169</v>
      </c>
      <c r="C338" s="395">
        <f>C337</f>
        <v>285501.25</v>
      </c>
      <c r="D338" s="395">
        <f t="shared" ref="D338:N338" si="73">D337</f>
        <v>285501.25</v>
      </c>
      <c r="E338" s="395">
        <f t="shared" si="73"/>
        <v>285501.25</v>
      </c>
      <c r="F338" s="395">
        <f t="shared" si="73"/>
        <v>285501.25</v>
      </c>
      <c r="G338" s="395">
        <f t="shared" si="73"/>
        <v>285501.25</v>
      </c>
      <c r="H338" s="395">
        <f t="shared" si="73"/>
        <v>285501.25</v>
      </c>
      <c r="I338" s="395">
        <f t="shared" si="73"/>
        <v>285501.25</v>
      </c>
      <c r="J338" s="395">
        <f t="shared" si="73"/>
        <v>285501.25</v>
      </c>
      <c r="K338" s="395">
        <f t="shared" si="73"/>
        <v>285501.25</v>
      </c>
      <c r="L338" s="395">
        <f t="shared" si="73"/>
        <v>285501.25</v>
      </c>
      <c r="M338" s="395">
        <f t="shared" si="73"/>
        <v>285501.25</v>
      </c>
      <c r="N338" s="395">
        <f t="shared" si="73"/>
        <v>285501.25</v>
      </c>
      <c r="O338" s="395">
        <f t="shared" si="72"/>
        <v>3426015</v>
      </c>
      <c r="P338" s="708"/>
    </row>
    <row r="339" spans="1:17">
      <c r="A339" s="226">
        <v>9840000000</v>
      </c>
      <c r="B339" s="336" t="s">
        <v>198</v>
      </c>
      <c r="C339" s="337"/>
      <c r="D339" s="337"/>
      <c r="E339" s="337"/>
      <c r="F339" s="337"/>
      <c r="G339" s="337"/>
      <c r="H339" s="338"/>
      <c r="I339" s="337"/>
      <c r="J339" s="337"/>
      <c r="K339" s="337"/>
      <c r="L339" s="337"/>
      <c r="M339" s="337"/>
      <c r="N339" s="337"/>
      <c r="O339" s="337">
        <f t="shared" si="72"/>
        <v>0</v>
      </c>
      <c r="P339" s="708"/>
    </row>
    <row r="340" spans="1:17">
      <c r="A340" s="226">
        <v>9840000000</v>
      </c>
      <c r="B340" s="336" t="s">
        <v>199</v>
      </c>
      <c r="C340" s="337"/>
      <c r="D340" s="337"/>
      <c r="E340" s="337"/>
      <c r="F340" s="337"/>
      <c r="G340" s="337"/>
      <c r="H340" s="338"/>
      <c r="I340" s="337"/>
      <c r="J340" s="337"/>
      <c r="K340" s="337"/>
      <c r="L340" s="337"/>
      <c r="M340" s="337"/>
      <c r="N340" s="337"/>
      <c r="O340" s="337">
        <f t="shared" si="72"/>
        <v>0</v>
      </c>
      <c r="P340" s="708"/>
    </row>
    <row r="341" spans="1:17" ht="13.5" thickBot="1">
      <c r="B341" s="349"/>
      <c r="C341" s="344"/>
      <c r="D341" s="344"/>
      <c r="E341" s="344"/>
      <c r="F341" s="344"/>
      <c r="G341" s="344"/>
      <c r="H341" s="518"/>
      <c r="I341" s="344"/>
      <c r="J341" s="344"/>
      <c r="K341" s="330"/>
      <c r="L341" s="344"/>
      <c r="M341" s="344"/>
      <c r="N341" s="344"/>
      <c r="O341" s="344">
        <f t="shared" si="72"/>
        <v>0</v>
      </c>
      <c r="P341" s="708"/>
    </row>
    <row r="342" spans="1:17" ht="13.5" thickBot="1">
      <c r="B342" s="360" t="s">
        <v>129</v>
      </c>
      <c r="C342" s="361">
        <f t="shared" ref="C342:N342" si="74">SUM(C339:C341)</f>
        <v>0</v>
      </c>
      <c r="D342" s="361">
        <f t="shared" si="74"/>
        <v>0</v>
      </c>
      <c r="E342" s="361">
        <f t="shared" si="74"/>
        <v>0</v>
      </c>
      <c r="F342" s="361">
        <f t="shared" si="74"/>
        <v>0</v>
      </c>
      <c r="G342" s="361">
        <f t="shared" si="74"/>
        <v>0</v>
      </c>
      <c r="H342" s="361">
        <f t="shared" si="74"/>
        <v>0</v>
      </c>
      <c r="I342" s="361">
        <f t="shared" si="74"/>
        <v>0</v>
      </c>
      <c r="J342" s="361">
        <f t="shared" si="74"/>
        <v>0</v>
      </c>
      <c r="K342" s="361">
        <f t="shared" si="74"/>
        <v>0</v>
      </c>
      <c r="L342" s="361">
        <f t="shared" si="74"/>
        <v>0</v>
      </c>
      <c r="M342" s="361">
        <f t="shared" si="74"/>
        <v>0</v>
      </c>
      <c r="N342" s="361">
        <f t="shared" si="74"/>
        <v>0</v>
      </c>
      <c r="O342" s="397">
        <f t="shared" si="72"/>
        <v>0</v>
      </c>
      <c r="P342" s="708"/>
    </row>
    <row r="343" spans="1:17">
      <c r="B343" s="228" t="s">
        <v>127</v>
      </c>
      <c r="C343" s="332"/>
      <c r="D343" s="332"/>
      <c r="E343" s="332"/>
      <c r="F343" s="332"/>
      <c r="G343" s="332"/>
      <c r="H343" s="398"/>
      <c r="I343" s="332"/>
      <c r="J343" s="332"/>
      <c r="K343" s="332"/>
      <c r="L343" s="332"/>
      <c r="M343" s="332"/>
      <c r="N343" s="332"/>
      <c r="O343" s="332">
        <f t="shared" si="72"/>
        <v>0</v>
      </c>
      <c r="P343" s="708"/>
    </row>
    <row r="344" spans="1:17">
      <c r="B344" s="363" t="s">
        <v>129</v>
      </c>
      <c r="C344" s="399">
        <f t="shared" ref="C344:N344" si="75">SUM(C338,C342,C343)</f>
        <v>285501.25</v>
      </c>
      <c r="D344" s="399">
        <f t="shared" si="75"/>
        <v>285501.25</v>
      </c>
      <c r="E344" s="399">
        <f t="shared" si="75"/>
        <v>285501.25</v>
      </c>
      <c r="F344" s="399">
        <f t="shared" si="75"/>
        <v>285501.25</v>
      </c>
      <c r="G344" s="399">
        <f t="shared" si="75"/>
        <v>285501.25</v>
      </c>
      <c r="H344" s="399">
        <f t="shared" si="75"/>
        <v>285501.25</v>
      </c>
      <c r="I344" s="399">
        <f t="shared" si="75"/>
        <v>285501.25</v>
      </c>
      <c r="J344" s="399">
        <f t="shared" si="75"/>
        <v>285501.25</v>
      </c>
      <c r="K344" s="399">
        <f t="shared" si="75"/>
        <v>285501.25</v>
      </c>
      <c r="L344" s="399">
        <f t="shared" si="75"/>
        <v>285501.25</v>
      </c>
      <c r="M344" s="399">
        <f t="shared" si="75"/>
        <v>285501.25</v>
      </c>
      <c r="N344" s="399">
        <f t="shared" si="75"/>
        <v>285501.25</v>
      </c>
      <c r="O344" s="399">
        <f t="shared" si="72"/>
        <v>3426015</v>
      </c>
      <c r="P344" s="708"/>
    </row>
    <row r="345" spans="1:17">
      <c r="A345" s="525" t="s">
        <v>130</v>
      </c>
      <c r="B345" s="400" t="s">
        <v>172</v>
      </c>
      <c r="C345" s="331">
        <v>196227</v>
      </c>
      <c r="D345" s="331">
        <v>178991</v>
      </c>
      <c r="E345" s="331">
        <v>117042</v>
      </c>
      <c r="F345" s="331">
        <v>260688</v>
      </c>
      <c r="G345" s="331">
        <v>192201</v>
      </c>
      <c r="H345" s="331">
        <v>178874</v>
      </c>
      <c r="I345" s="331">
        <v>180892</v>
      </c>
      <c r="J345" s="331">
        <v>260688</v>
      </c>
      <c r="K345" s="331">
        <v>260688</v>
      </c>
      <c r="L345" s="331">
        <v>260688</v>
      </c>
      <c r="M345" s="331">
        <v>260688</v>
      </c>
      <c r="N345" s="331">
        <v>260688</v>
      </c>
      <c r="O345" s="331">
        <f t="shared" si="72"/>
        <v>2608355</v>
      </c>
      <c r="P345" s="817">
        <v>2211400</v>
      </c>
    </row>
    <row r="346" spans="1:17">
      <c r="A346" s="226">
        <v>2911800000</v>
      </c>
      <c r="B346" s="228" t="s">
        <v>135</v>
      </c>
      <c r="C346" s="331"/>
      <c r="D346" s="331"/>
      <c r="E346" s="331"/>
      <c r="F346" s="331">
        <v>6750</v>
      </c>
      <c r="G346" s="331"/>
      <c r="H346" s="331"/>
      <c r="I346" s="331"/>
      <c r="J346" s="331"/>
      <c r="K346" s="331"/>
      <c r="L346" s="331"/>
      <c r="M346" s="331"/>
      <c r="N346" s="331"/>
      <c r="O346" s="331">
        <f t="shared" ref="O346:O354" si="76">SUM(C346:N346)</f>
        <v>6750</v>
      </c>
      <c r="P346" s="708"/>
    </row>
    <row r="347" spans="1:17">
      <c r="A347" s="226">
        <v>4909900000</v>
      </c>
      <c r="B347" s="228" t="s">
        <v>139</v>
      </c>
      <c r="C347" s="331"/>
      <c r="D347" s="331"/>
      <c r="E347" s="331"/>
      <c r="F347" s="331"/>
      <c r="G347" s="331"/>
      <c r="H347" s="331"/>
      <c r="I347" s="331"/>
      <c r="J347" s="331"/>
      <c r="K347" s="331"/>
      <c r="L347" s="331"/>
      <c r="M347" s="331"/>
      <c r="N347" s="331"/>
      <c r="O347" s="331">
        <f t="shared" si="76"/>
        <v>0</v>
      </c>
      <c r="P347" s="708"/>
      <c r="Q347" s="525"/>
    </row>
    <row r="348" spans="1:17">
      <c r="A348" s="226">
        <v>9845500000</v>
      </c>
      <c r="B348" s="228" t="s">
        <v>178</v>
      </c>
      <c r="C348" s="331"/>
      <c r="D348" s="331"/>
      <c r="E348" s="331"/>
      <c r="F348" s="331"/>
      <c r="G348" s="331"/>
      <c r="H348" s="331"/>
      <c r="I348" s="331"/>
      <c r="J348" s="331"/>
      <c r="K348" s="331"/>
      <c r="L348" s="331"/>
      <c r="M348" s="331"/>
      <c r="N348" s="331"/>
      <c r="O348" s="331">
        <f t="shared" si="76"/>
        <v>0</v>
      </c>
      <c r="P348" s="817">
        <v>110000</v>
      </c>
    </row>
    <row r="349" spans="1:17">
      <c r="A349" s="226">
        <v>4009900000</v>
      </c>
      <c r="B349" s="228" t="s">
        <v>136</v>
      </c>
      <c r="C349" s="331"/>
      <c r="D349" s="331"/>
      <c r="E349" s="331"/>
      <c r="F349" s="331"/>
      <c r="G349" s="331"/>
      <c r="H349" s="331"/>
      <c r="I349" s="331"/>
      <c r="J349" s="331"/>
      <c r="K349" s="331"/>
      <c r="L349" s="331"/>
      <c r="M349" s="331"/>
      <c r="N349" s="331"/>
      <c r="O349" s="331">
        <f t="shared" si="76"/>
        <v>0</v>
      </c>
      <c r="P349" s="708"/>
      <c r="Q349" s="525"/>
    </row>
    <row r="350" spans="1:17">
      <c r="A350" s="226">
        <v>4516500000</v>
      </c>
      <c r="B350" s="228" t="s">
        <v>180</v>
      </c>
      <c r="C350" s="331"/>
      <c r="D350" s="331"/>
      <c r="E350" s="331"/>
      <c r="F350" s="331"/>
      <c r="G350" s="331"/>
      <c r="H350" s="331"/>
      <c r="I350" s="331"/>
      <c r="J350" s="331"/>
      <c r="K350" s="331"/>
      <c r="L350" s="331"/>
      <c r="M350" s="331"/>
      <c r="N350" s="331"/>
      <c r="O350" s="331">
        <f t="shared" si="76"/>
        <v>0</v>
      </c>
      <c r="P350" s="817">
        <v>25000</v>
      </c>
    </row>
    <row r="351" spans="1:17">
      <c r="A351" s="226">
        <v>2909900000</v>
      </c>
      <c r="B351" s="228" t="s">
        <v>181</v>
      </c>
      <c r="C351" s="331"/>
      <c r="D351" s="331"/>
      <c r="E351" s="331"/>
      <c r="F351" s="331"/>
      <c r="G351" s="331"/>
      <c r="H351" s="331"/>
      <c r="I351" s="331"/>
      <c r="J351" s="331"/>
      <c r="K351" s="331"/>
      <c r="L351" s="331"/>
      <c r="M351" s="331"/>
      <c r="N351" s="331"/>
      <c r="O351" s="331">
        <f t="shared" si="76"/>
        <v>0</v>
      </c>
      <c r="P351" s="708"/>
    </row>
    <row r="352" spans="1:17">
      <c r="B352" s="228"/>
      <c r="C352" s="331"/>
      <c r="D352" s="331"/>
      <c r="E352" s="331"/>
      <c r="F352" s="331"/>
      <c r="G352" s="331"/>
      <c r="H352" s="331"/>
      <c r="I352" s="331"/>
      <c r="J352" s="331"/>
      <c r="K352" s="331"/>
      <c r="L352" s="331"/>
      <c r="M352" s="331"/>
      <c r="N352" s="331"/>
      <c r="O352" s="331">
        <f t="shared" si="76"/>
        <v>0</v>
      </c>
      <c r="P352" s="708"/>
    </row>
    <row r="353" spans="1:16">
      <c r="B353" s="228"/>
      <c r="C353" s="329"/>
      <c r="D353" s="329"/>
      <c r="E353" s="329"/>
      <c r="F353" s="329"/>
      <c r="G353" s="329"/>
      <c r="H353" s="329"/>
      <c r="I353" s="329"/>
      <c r="J353" s="329"/>
      <c r="K353" s="329"/>
      <c r="L353" s="329"/>
      <c r="M353" s="329"/>
      <c r="N353" s="329"/>
      <c r="O353" s="331">
        <f t="shared" si="76"/>
        <v>0</v>
      </c>
      <c r="P353" s="708"/>
    </row>
    <row r="354" spans="1:16" ht="13.5" thickBot="1">
      <c r="B354" s="349"/>
      <c r="C354" s="331"/>
      <c r="D354" s="331"/>
      <c r="E354" s="331"/>
      <c r="F354" s="331"/>
      <c r="G354" s="331"/>
      <c r="H354" s="331"/>
      <c r="I354" s="331"/>
      <c r="J354" s="331"/>
      <c r="K354" s="331"/>
      <c r="L354" s="331"/>
      <c r="M354" s="331"/>
      <c r="N354" s="331"/>
      <c r="O354" s="331">
        <f t="shared" si="76"/>
        <v>0</v>
      </c>
      <c r="P354" s="708"/>
    </row>
    <row r="355" spans="1:16" ht="13.5" thickBot="1">
      <c r="B355" s="690" t="s">
        <v>145</v>
      </c>
      <c r="C355" s="334">
        <f>SUM(C345:C354)</f>
        <v>196227</v>
      </c>
      <c r="D355" s="334">
        <f t="shared" ref="D355:O355" si="77">SUM(D345:D354)</f>
        <v>178991</v>
      </c>
      <c r="E355" s="334">
        <f t="shared" si="77"/>
        <v>117042</v>
      </c>
      <c r="F355" s="334">
        <f t="shared" si="77"/>
        <v>267438</v>
      </c>
      <c r="G355" s="334">
        <f t="shared" si="77"/>
        <v>192201</v>
      </c>
      <c r="H355" s="334">
        <f t="shared" si="77"/>
        <v>178874</v>
      </c>
      <c r="I355" s="334">
        <f t="shared" si="77"/>
        <v>180892</v>
      </c>
      <c r="J355" s="334">
        <f t="shared" si="77"/>
        <v>260688</v>
      </c>
      <c r="K355" s="334">
        <f t="shared" si="77"/>
        <v>260688</v>
      </c>
      <c r="L355" s="334">
        <f t="shared" si="77"/>
        <v>260688</v>
      </c>
      <c r="M355" s="334">
        <f t="shared" si="77"/>
        <v>260688</v>
      </c>
      <c r="N355" s="334">
        <f t="shared" si="77"/>
        <v>260688</v>
      </c>
      <c r="O355" s="334">
        <f t="shared" si="77"/>
        <v>2615105</v>
      </c>
      <c r="P355" s="708"/>
    </row>
    <row r="356" spans="1:16" ht="13.5" thickBot="1">
      <c r="B356" s="695" t="s">
        <v>146</v>
      </c>
      <c r="C356" s="351">
        <f t="shared" ref="C356:O356" si="78">C344-SUM(C345:C354)</f>
        <v>89274.25</v>
      </c>
      <c r="D356" s="351">
        <f t="shared" si="78"/>
        <v>106510.25</v>
      </c>
      <c r="E356" s="351">
        <f t="shared" si="78"/>
        <v>168459.25</v>
      </c>
      <c r="F356" s="351">
        <f t="shared" si="78"/>
        <v>18063.25</v>
      </c>
      <c r="G356" s="351">
        <f t="shared" si="78"/>
        <v>93300.25</v>
      </c>
      <c r="H356" s="351">
        <f t="shared" si="78"/>
        <v>106627.25</v>
      </c>
      <c r="I356" s="351">
        <f t="shared" si="78"/>
        <v>104609.25</v>
      </c>
      <c r="J356" s="351">
        <f t="shared" si="78"/>
        <v>24813.25</v>
      </c>
      <c r="K356" s="351">
        <f t="shared" si="78"/>
        <v>24813.25</v>
      </c>
      <c r="L356" s="351">
        <f t="shared" si="78"/>
        <v>24813.25</v>
      </c>
      <c r="M356" s="351">
        <f t="shared" si="78"/>
        <v>24813.25</v>
      </c>
      <c r="N356" s="351">
        <f t="shared" si="78"/>
        <v>24813.25</v>
      </c>
      <c r="O356" s="351">
        <f t="shared" si="78"/>
        <v>810910</v>
      </c>
      <c r="P356" s="708"/>
    </row>
    <row r="357" spans="1:16">
      <c r="A357" s="645"/>
      <c r="B357" s="646"/>
      <c r="C357" s="646"/>
      <c r="D357" s="646"/>
      <c r="E357" s="646"/>
      <c r="F357" s="646"/>
      <c r="G357" s="646"/>
      <c r="H357" s="646"/>
      <c r="I357" s="646"/>
      <c r="J357" s="646"/>
      <c r="K357" s="646"/>
      <c r="L357" s="646"/>
      <c r="M357" s="646"/>
      <c r="N357" s="647"/>
    </row>
    <row r="358" spans="1:16" ht="20.25">
      <c r="A358" s="827" t="s">
        <v>200</v>
      </c>
      <c r="B358" s="827"/>
      <c r="C358" s="827"/>
      <c r="D358" s="827"/>
      <c r="E358" s="827"/>
      <c r="F358" s="827"/>
      <c r="G358" s="827"/>
      <c r="H358" s="827"/>
      <c r="I358" s="827"/>
      <c r="J358" s="827"/>
      <c r="K358" s="827"/>
      <c r="L358" s="827"/>
      <c r="M358" s="827"/>
      <c r="N358" s="827"/>
    </row>
    <row r="359" spans="1:16">
      <c r="A359" s="645"/>
      <c r="B359" s="646"/>
      <c r="C359" s="646"/>
      <c r="D359" s="646"/>
      <c r="E359" s="646"/>
      <c r="F359" s="646"/>
      <c r="G359" s="646"/>
      <c r="H359" s="646"/>
      <c r="I359" s="646"/>
      <c r="J359" s="646"/>
      <c r="K359" s="646"/>
      <c r="L359" s="646"/>
      <c r="M359" s="646"/>
      <c r="N359" s="647"/>
    </row>
    <row r="360" spans="1:16">
      <c r="A360" s="649" t="s">
        <v>201</v>
      </c>
      <c r="B360" s="650">
        <f t="shared" ref="B360:N360" si="79">C143</f>
        <v>-24258.666666666511</v>
      </c>
      <c r="C360" s="650">
        <f t="shared" si="79"/>
        <v>88311.333333333489</v>
      </c>
      <c r="D360" s="650">
        <f t="shared" si="79"/>
        <v>190592.33333333349</v>
      </c>
      <c r="E360" s="650">
        <f t="shared" si="79"/>
        <v>-382652.66666666651</v>
      </c>
      <c r="F360" s="650">
        <f t="shared" si="79"/>
        <v>-20896.666666666511</v>
      </c>
      <c r="G360" s="650">
        <f t="shared" si="79"/>
        <v>-34419.666666666511</v>
      </c>
      <c r="H360" s="650">
        <f t="shared" si="79"/>
        <v>-76396.666666666511</v>
      </c>
      <c r="I360" s="650">
        <f t="shared" si="79"/>
        <v>-38371.666666666511</v>
      </c>
      <c r="J360" s="650">
        <f t="shared" si="79"/>
        <v>-5746.6666666665114</v>
      </c>
      <c r="K360" s="650">
        <f t="shared" si="79"/>
        <v>-15721.666666666511</v>
      </c>
      <c r="L360" s="650">
        <f t="shared" si="79"/>
        <v>3987.3333333334886</v>
      </c>
      <c r="M360" s="650">
        <f t="shared" si="79"/>
        <v>-48996.666666666511</v>
      </c>
      <c r="N360" s="650">
        <f t="shared" si="79"/>
        <v>-364569.99999999814</v>
      </c>
    </row>
    <row r="361" spans="1:16">
      <c r="A361" s="649" t="s">
        <v>202</v>
      </c>
      <c r="B361" s="650">
        <f>B201</f>
        <v>-131431.5</v>
      </c>
      <c r="C361" s="650">
        <f t="shared" ref="C361:N361" si="80">C201</f>
        <v>-511689</v>
      </c>
      <c r="D361" s="650">
        <f t="shared" si="80"/>
        <v>-511689</v>
      </c>
      <c r="E361" s="650">
        <f t="shared" si="80"/>
        <v>-511689</v>
      </c>
      <c r="F361" s="650">
        <f t="shared" si="80"/>
        <v>-511689</v>
      </c>
      <c r="G361" s="650">
        <f t="shared" si="80"/>
        <v>-511689</v>
      </c>
      <c r="H361" s="650">
        <f t="shared" si="80"/>
        <v>-511689</v>
      </c>
      <c r="I361" s="650">
        <f t="shared" si="80"/>
        <v>-511689</v>
      </c>
      <c r="J361" s="650">
        <f t="shared" si="80"/>
        <v>-511689</v>
      </c>
      <c r="K361" s="650">
        <f t="shared" si="80"/>
        <v>-511689</v>
      </c>
      <c r="L361" s="650">
        <f t="shared" si="80"/>
        <v>-511689</v>
      </c>
      <c r="M361" s="650">
        <f t="shared" si="80"/>
        <v>-511689</v>
      </c>
      <c r="N361" s="650">
        <f t="shared" si="80"/>
        <v>-5760010.5</v>
      </c>
    </row>
    <row r="362" spans="1:16">
      <c r="A362" s="686" t="s">
        <v>203</v>
      </c>
      <c r="B362" s="687">
        <f t="shared" ref="B362:N362" si="81">C278</f>
        <v>79950.700000000012</v>
      </c>
      <c r="C362" s="687">
        <f t="shared" si="81"/>
        <v>71254</v>
      </c>
      <c r="D362" s="687">
        <f t="shared" si="81"/>
        <v>-122956</v>
      </c>
      <c r="E362" s="687">
        <f t="shared" si="81"/>
        <v>92044</v>
      </c>
      <c r="F362" s="687">
        <f t="shared" si="81"/>
        <v>117044</v>
      </c>
      <c r="G362" s="687">
        <f t="shared" si="81"/>
        <v>117044</v>
      </c>
      <c r="H362" s="687">
        <f t="shared" si="81"/>
        <v>117044</v>
      </c>
      <c r="I362" s="687">
        <f t="shared" si="81"/>
        <v>117044</v>
      </c>
      <c r="J362" s="687">
        <f t="shared" si="81"/>
        <v>117044</v>
      </c>
      <c r="K362" s="687">
        <f t="shared" si="81"/>
        <v>117044</v>
      </c>
      <c r="L362" s="687">
        <f t="shared" si="81"/>
        <v>117044</v>
      </c>
      <c r="M362" s="687">
        <f t="shared" si="81"/>
        <v>117044</v>
      </c>
      <c r="N362" s="687">
        <f t="shared" si="81"/>
        <v>1056644.7</v>
      </c>
    </row>
    <row r="363" spans="1:16" ht="13.5" thickBot="1">
      <c r="A363" s="653" t="s">
        <v>204</v>
      </c>
      <c r="B363" s="654">
        <f t="shared" ref="B363:N363" si="82">C356</f>
        <v>89274.25</v>
      </c>
      <c r="C363" s="654">
        <f t="shared" si="82"/>
        <v>106510.25</v>
      </c>
      <c r="D363" s="654">
        <f t="shared" si="82"/>
        <v>168459.25</v>
      </c>
      <c r="E363" s="654">
        <f t="shared" si="82"/>
        <v>18063.25</v>
      </c>
      <c r="F363" s="654">
        <f t="shared" si="82"/>
        <v>93300.25</v>
      </c>
      <c r="G363" s="654">
        <f t="shared" si="82"/>
        <v>106627.25</v>
      </c>
      <c r="H363" s="654">
        <f t="shared" si="82"/>
        <v>104609.25</v>
      </c>
      <c r="I363" s="654">
        <f t="shared" si="82"/>
        <v>24813.25</v>
      </c>
      <c r="J363" s="654">
        <f t="shared" si="82"/>
        <v>24813.25</v>
      </c>
      <c r="K363" s="654">
        <f t="shared" si="82"/>
        <v>24813.25</v>
      </c>
      <c r="L363" s="654">
        <f t="shared" si="82"/>
        <v>24813.25</v>
      </c>
      <c r="M363" s="654">
        <f t="shared" si="82"/>
        <v>24813.25</v>
      </c>
      <c r="N363" s="654">
        <f t="shared" si="82"/>
        <v>810910</v>
      </c>
    </row>
    <row r="364" spans="1:16" ht="13.5" thickBot="1">
      <c r="A364" s="651" t="s">
        <v>205</v>
      </c>
      <c r="B364" s="652">
        <f>SUM(B360:B363)</f>
        <v>13534.7833333335</v>
      </c>
      <c r="C364" s="652">
        <f t="shared" ref="C364:N364" si="83">SUM(C360:C363)</f>
        <v>-245613.41666666651</v>
      </c>
      <c r="D364" s="652">
        <f t="shared" si="83"/>
        <v>-275593.41666666651</v>
      </c>
      <c r="E364" s="652">
        <f t="shared" si="83"/>
        <v>-784234.41666666651</v>
      </c>
      <c r="F364" s="652">
        <f t="shared" si="83"/>
        <v>-322241.41666666651</v>
      </c>
      <c r="G364" s="652">
        <f t="shared" si="83"/>
        <v>-322437.41666666651</v>
      </c>
      <c r="H364" s="652">
        <f t="shared" si="83"/>
        <v>-366432.41666666651</v>
      </c>
      <c r="I364" s="652">
        <f t="shared" si="83"/>
        <v>-408203.41666666651</v>
      </c>
      <c r="J364" s="652">
        <f t="shared" si="83"/>
        <v>-375578.41666666651</v>
      </c>
      <c r="K364" s="652">
        <f t="shared" si="83"/>
        <v>-385553.41666666651</v>
      </c>
      <c r="L364" s="652">
        <f t="shared" si="83"/>
        <v>-365844.41666666651</v>
      </c>
      <c r="M364" s="652">
        <f t="shared" si="83"/>
        <v>-418828.41666666651</v>
      </c>
      <c r="N364" s="652">
        <f t="shared" si="83"/>
        <v>-4257025.799999998</v>
      </c>
    </row>
    <row r="365" spans="1:16">
      <c r="A365" s="645"/>
      <c r="B365" s="646"/>
      <c r="C365" s="646"/>
      <c r="D365" s="646"/>
      <c r="E365" s="646"/>
      <c r="F365" s="646"/>
      <c r="G365" s="646"/>
      <c r="H365" s="646"/>
      <c r="I365" s="646"/>
      <c r="J365" s="646"/>
      <c r="K365" s="646"/>
      <c r="L365" s="646"/>
      <c r="M365" s="646"/>
      <c r="N365" s="647"/>
    </row>
    <row r="366" spans="1:16">
      <c r="A366" s="645"/>
      <c r="B366" s="646"/>
      <c r="C366" s="646"/>
      <c r="D366" s="646"/>
      <c r="E366" s="646"/>
      <c r="F366" s="646"/>
      <c r="G366" s="646"/>
      <c r="H366" s="646"/>
      <c r="I366" s="646"/>
      <c r="J366" s="646"/>
      <c r="K366" s="646"/>
      <c r="L366" s="646"/>
      <c r="M366" s="646"/>
      <c r="N366" s="647"/>
    </row>
    <row r="367" spans="1:16">
      <c r="A367" s="645"/>
      <c r="B367" s="646"/>
      <c r="C367" s="646"/>
      <c r="D367" s="646"/>
      <c r="E367" s="646"/>
      <c r="F367" s="646"/>
      <c r="G367" s="646"/>
      <c r="H367" s="646"/>
      <c r="I367" s="646"/>
      <c r="J367" s="646"/>
      <c r="K367" s="646"/>
      <c r="L367" s="646"/>
      <c r="M367" s="646"/>
      <c r="N367" s="647"/>
    </row>
    <row r="368" spans="1:16">
      <c r="A368" s="645"/>
      <c r="B368" s="646"/>
      <c r="C368" s="646"/>
      <c r="D368" s="646"/>
      <c r="E368" s="646"/>
      <c r="F368" s="646"/>
      <c r="G368" s="646"/>
      <c r="H368" s="646"/>
      <c r="I368" s="646"/>
      <c r="J368" s="646"/>
      <c r="K368" s="646"/>
      <c r="L368" s="646"/>
      <c r="M368" s="646"/>
      <c r="N368" s="647"/>
    </row>
    <row r="369" spans="1:14">
      <c r="A369" s="645"/>
      <c r="B369" s="646"/>
      <c r="C369" s="646"/>
      <c r="D369" s="646"/>
      <c r="E369" s="646"/>
      <c r="F369" s="646"/>
      <c r="G369" s="646"/>
      <c r="H369" s="646"/>
      <c r="I369" s="646"/>
      <c r="J369" s="646"/>
      <c r="K369" s="646"/>
      <c r="L369" s="646"/>
      <c r="M369" s="646"/>
      <c r="N369" s="647"/>
    </row>
    <row r="370" spans="1:14">
      <c r="A370" s="645"/>
      <c r="B370" s="646"/>
      <c r="C370" s="646"/>
      <c r="D370" s="646"/>
      <c r="E370" s="646"/>
      <c r="F370" s="646"/>
      <c r="G370" s="646"/>
      <c r="H370" s="646"/>
      <c r="I370" s="646"/>
      <c r="J370" s="646"/>
      <c r="K370" s="646"/>
      <c r="L370" s="646"/>
      <c r="M370" s="646"/>
      <c r="N370" s="647"/>
    </row>
    <row r="371" spans="1:14">
      <c r="A371" s="645"/>
      <c r="B371" s="646"/>
      <c r="C371" s="646"/>
      <c r="D371" s="646"/>
      <c r="E371" s="646"/>
      <c r="F371" s="646"/>
      <c r="G371" s="646"/>
      <c r="H371" s="646"/>
      <c r="I371" s="646"/>
      <c r="J371" s="646"/>
      <c r="K371" s="646"/>
      <c r="L371" s="646"/>
      <c r="M371" s="646"/>
      <c r="N371" s="647"/>
    </row>
    <row r="372" spans="1:14">
      <c r="A372" s="645"/>
      <c r="B372" s="646"/>
      <c r="C372" s="646"/>
      <c r="D372" s="646"/>
      <c r="E372" s="646"/>
      <c r="F372" s="646"/>
      <c r="G372" s="646"/>
      <c r="H372" s="646"/>
      <c r="I372" s="646"/>
      <c r="J372" s="646"/>
      <c r="K372" s="646"/>
      <c r="L372" s="646"/>
      <c r="M372" s="646"/>
      <c r="N372" s="647"/>
    </row>
    <row r="373" spans="1:14">
      <c r="A373" s="645"/>
      <c r="B373" s="646"/>
      <c r="C373" s="646"/>
      <c r="D373" s="646"/>
      <c r="E373" s="646"/>
      <c r="F373" s="646"/>
      <c r="G373" s="646"/>
      <c r="H373" s="646"/>
      <c r="I373" s="646"/>
      <c r="J373" s="646"/>
      <c r="K373" s="646"/>
      <c r="L373" s="646"/>
      <c r="M373" s="646"/>
      <c r="N373" s="647"/>
    </row>
    <row r="374" spans="1:14" ht="14.25" customHeight="1">
      <c r="A374" s="645"/>
      <c r="B374" s="648"/>
      <c r="C374" s="648"/>
      <c r="D374" s="648"/>
      <c r="E374" s="648"/>
      <c r="F374" s="648"/>
      <c r="G374" s="648"/>
      <c r="H374" s="648"/>
      <c r="I374" s="648"/>
      <c r="J374" s="648"/>
      <c r="K374" s="648"/>
      <c r="L374" s="648"/>
      <c r="M374" s="648"/>
      <c r="N374" s="648"/>
    </row>
    <row r="375" spans="1:14">
      <c r="A375" s="645"/>
      <c r="B375" s="648"/>
      <c r="C375" s="648"/>
      <c r="D375" s="648"/>
      <c r="E375" s="648"/>
      <c r="F375" s="648"/>
      <c r="G375" s="648"/>
      <c r="H375" s="648"/>
      <c r="I375" s="648"/>
      <c r="J375" s="648"/>
      <c r="K375" s="648"/>
      <c r="L375" s="648"/>
      <c r="M375" s="648"/>
      <c r="N375" s="648"/>
    </row>
    <row r="376" spans="1:14" ht="13.5" thickBot="1">
      <c r="A376" s="281"/>
      <c r="B376" s="281"/>
      <c r="C376" s="281"/>
      <c r="D376" s="281"/>
      <c r="E376" s="281"/>
      <c r="F376" s="281"/>
      <c r="G376" s="281"/>
      <c r="H376" s="281"/>
      <c r="I376" s="281"/>
      <c r="J376" s="281"/>
      <c r="K376" s="281"/>
      <c r="L376" s="281"/>
      <c r="M376" s="281"/>
      <c r="N376" s="281"/>
    </row>
    <row r="377" spans="1:14" ht="20.25">
      <c r="A377" s="820" t="s">
        <v>227</v>
      </c>
      <c r="B377" s="820"/>
      <c r="C377" s="820"/>
      <c r="D377" s="820"/>
      <c r="E377" s="820"/>
      <c r="F377" s="820"/>
      <c r="G377" s="820"/>
      <c r="H377" s="820"/>
      <c r="I377" s="820"/>
      <c r="J377" s="820"/>
      <c r="K377" s="820"/>
      <c r="L377" s="820"/>
      <c r="M377" s="820"/>
      <c r="N377" s="820"/>
    </row>
    <row r="378" spans="1:14">
      <c r="A378" s="227"/>
      <c r="B378" s="227"/>
      <c r="C378" s="227"/>
      <c r="D378" s="227"/>
      <c r="E378" s="227"/>
      <c r="F378" s="227"/>
      <c r="G378" s="227"/>
      <c r="H378" s="227"/>
      <c r="I378" s="227"/>
      <c r="J378" s="227"/>
      <c r="K378" s="227"/>
      <c r="L378" s="227"/>
      <c r="M378" s="227"/>
    </row>
    <row r="379" spans="1:14">
      <c r="A379" s="228"/>
      <c r="B379" s="229" t="s">
        <v>44</v>
      </c>
      <c r="C379" s="229" t="s">
        <v>45</v>
      </c>
      <c r="D379" s="230" t="s">
        <v>46</v>
      </c>
      <c r="E379" s="229" t="s">
        <v>47</v>
      </c>
      <c r="F379" s="229" t="s">
        <v>48</v>
      </c>
      <c r="G379" s="230" t="s">
        <v>49</v>
      </c>
      <c r="H379" s="229" t="s">
        <v>38</v>
      </c>
      <c r="I379" s="229" t="s">
        <v>39</v>
      </c>
      <c r="J379" s="229" t="s">
        <v>40</v>
      </c>
      <c r="K379" s="229" t="s">
        <v>41</v>
      </c>
      <c r="L379" s="229" t="s">
        <v>42</v>
      </c>
      <c r="M379" s="229" t="s">
        <v>43</v>
      </c>
      <c r="N379" s="228" t="s">
        <v>64</v>
      </c>
    </row>
    <row r="380" spans="1:14">
      <c r="A380" s="231" t="s">
        <v>65</v>
      </c>
      <c r="B380" s="620">
        <v>2083</v>
      </c>
      <c r="C380" s="620">
        <v>2083</v>
      </c>
      <c r="D380" s="620">
        <v>2083</v>
      </c>
      <c r="E380" s="620">
        <v>2083</v>
      </c>
      <c r="F380" s="620">
        <v>2083</v>
      </c>
      <c r="G380" s="620">
        <v>2083</v>
      </c>
      <c r="H380" s="620">
        <v>2083</v>
      </c>
      <c r="I380" s="620">
        <v>2083</v>
      </c>
      <c r="J380" s="620">
        <v>2083</v>
      </c>
      <c r="K380" s="620">
        <v>2083</v>
      </c>
      <c r="L380" s="620">
        <v>2083</v>
      </c>
      <c r="M380" s="620">
        <v>2083</v>
      </c>
      <c r="N380" s="620">
        <f t="shared" ref="N380:N390" si="84">SUM(B380:M380)</f>
        <v>24996</v>
      </c>
    </row>
    <row r="381" spans="1:14">
      <c r="A381" s="231" t="s">
        <v>66</v>
      </c>
      <c r="B381" s="620"/>
      <c r="C381" s="620"/>
      <c r="D381" s="620"/>
      <c r="E381" s="620"/>
      <c r="F381" s="620"/>
      <c r="G381" s="621"/>
      <c r="H381" s="620"/>
      <c r="I381" s="620"/>
      <c r="J381" s="622"/>
      <c r="K381" s="620"/>
      <c r="L381" s="620"/>
      <c r="M381" s="620"/>
      <c r="N381" s="620">
        <f t="shared" si="84"/>
        <v>0</v>
      </c>
    </row>
    <row r="382" spans="1:14">
      <c r="A382" s="231" t="s">
        <v>67</v>
      </c>
      <c r="B382" s="620"/>
      <c r="C382" s="620"/>
      <c r="D382" s="620"/>
      <c r="E382" s="620"/>
      <c r="F382" s="620"/>
      <c r="G382" s="621"/>
      <c r="H382" s="620"/>
      <c r="I382" s="620"/>
      <c r="J382" s="620"/>
      <c r="K382" s="620"/>
      <c r="L382" s="620"/>
      <c r="M382" s="620"/>
      <c r="N382" s="620">
        <f t="shared" si="84"/>
        <v>0</v>
      </c>
    </row>
    <row r="383" spans="1:14">
      <c r="A383" s="231" t="s">
        <v>69</v>
      </c>
      <c r="B383" s="620">
        <v>19.75</v>
      </c>
      <c r="C383" s="620">
        <v>59.25</v>
      </c>
      <c r="D383" s="620"/>
      <c r="E383" s="620"/>
      <c r="F383" s="620"/>
      <c r="G383" s="621"/>
      <c r="H383" s="620"/>
      <c r="I383" s="620"/>
      <c r="J383" s="620"/>
      <c r="K383" s="620"/>
      <c r="L383" s="620"/>
      <c r="M383" s="620"/>
      <c r="N383" s="620">
        <f t="shared" si="84"/>
        <v>79</v>
      </c>
    </row>
    <row r="384" spans="1:14">
      <c r="A384" s="231" t="s">
        <v>70</v>
      </c>
      <c r="B384" s="620"/>
      <c r="C384" s="620">
        <v>37</v>
      </c>
      <c r="D384" s="620"/>
      <c r="E384" s="620"/>
      <c r="F384" s="620"/>
      <c r="G384" s="621"/>
      <c r="H384" s="620"/>
      <c r="I384" s="620"/>
      <c r="J384" s="620"/>
      <c r="K384" s="620"/>
      <c r="L384" s="620"/>
      <c r="M384" s="620"/>
      <c r="N384" s="620">
        <f t="shared" si="84"/>
        <v>37</v>
      </c>
    </row>
    <row r="385" spans="1:14">
      <c r="A385" s="231" t="s">
        <v>71</v>
      </c>
      <c r="B385" s="620">
        <v>216</v>
      </c>
      <c r="C385" s="620">
        <v>15.5</v>
      </c>
      <c r="D385" s="620"/>
      <c r="E385" s="620"/>
      <c r="F385" s="620"/>
      <c r="G385" s="621"/>
      <c r="H385" s="620"/>
      <c r="I385" s="620"/>
      <c r="J385" s="620"/>
      <c r="K385" s="620"/>
      <c r="L385" s="620"/>
      <c r="M385" s="620"/>
      <c r="N385" s="620">
        <f t="shared" si="84"/>
        <v>231.5</v>
      </c>
    </row>
    <row r="386" spans="1:14">
      <c r="A386" s="231" t="s">
        <v>72</v>
      </c>
      <c r="B386" s="620"/>
      <c r="C386" s="620"/>
      <c r="D386" s="620"/>
      <c r="E386" s="620"/>
      <c r="F386" s="620"/>
      <c r="G386" s="621"/>
      <c r="H386" s="620"/>
      <c r="I386" s="620"/>
      <c r="J386" s="620"/>
      <c r="K386" s="620"/>
      <c r="L386" s="620"/>
      <c r="M386" s="620"/>
      <c r="N386" s="620">
        <f t="shared" si="84"/>
        <v>0</v>
      </c>
    </row>
    <row r="387" spans="1:14">
      <c r="A387" s="231" t="s">
        <v>73</v>
      </c>
      <c r="B387" s="620"/>
      <c r="C387" s="620"/>
      <c r="D387" s="620"/>
      <c r="E387" s="620"/>
      <c r="F387" s="620"/>
      <c r="G387" s="621"/>
      <c r="H387" s="620"/>
      <c r="I387" s="620"/>
      <c r="J387" s="620"/>
      <c r="K387" s="620"/>
      <c r="L387" s="620"/>
      <c r="M387" s="620"/>
      <c r="N387" s="620">
        <f t="shared" si="84"/>
        <v>0</v>
      </c>
    </row>
    <row r="388" spans="1:14">
      <c r="A388" s="231" t="s">
        <v>74</v>
      </c>
      <c r="B388" s="620"/>
      <c r="C388" s="620"/>
      <c r="D388" s="620"/>
      <c r="E388" s="620"/>
      <c r="F388" s="620"/>
      <c r="G388" s="621"/>
      <c r="H388" s="620"/>
      <c r="I388" s="620"/>
      <c r="J388" s="620"/>
      <c r="K388" s="620"/>
      <c r="L388" s="620"/>
      <c r="M388" s="620"/>
      <c r="N388" s="620">
        <f t="shared" si="84"/>
        <v>0</v>
      </c>
    </row>
    <row r="389" spans="1:14">
      <c r="A389" s="231" t="s">
        <v>75</v>
      </c>
      <c r="B389" s="620"/>
      <c r="C389" s="620"/>
      <c r="D389" s="620"/>
      <c r="E389" s="620"/>
      <c r="F389" s="620"/>
      <c r="G389" s="621"/>
      <c r="H389" s="620"/>
      <c r="I389" s="620"/>
      <c r="J389" s="620"/>
      <c r="K389" s="620"/>
      <c r="L389" s="620"/>
      <c r="M389" s="620"/>
      <c r="N389" s="620">
        <f t="shared" si="84"/>
        <v>0</v>
      </c>
    </row>
    <row r="390" spans="1:14" ht="13.5" thickBot="1">
      <c r="A390" s="235" t="s">
        <v>76</v>
      </c>
      <c r="B390" s="623">
        <v>19.75</v>
      </c>
      <c r="C390" s="623">
        <v>15.5</v>
      </c>
      <c r="D390" s="623"/>
      <c r="E390" s="623"/>
      <c r="F390" s="623"/>
      <c r="G390" s="624"/>
      <c r="H390" s="623"/>
      <c r="I390" s="623"/>
      <c r="J390" s="623"/>
      <c r="K390" s="623"/>
      <c r="L390" s="623"/>
      <c r="M390" s="623"/>
      <c r="N390" s="625">
        <f t="shared" si="84"/>
        <v>35.25</v>
      </c>
    </row>
    <row r="391" spans="1:14" ht="13.5" thickBot="1">
      <c r="A391" s="239" t="s">
        <v>77</v>
      </c>
      <c r="B391" s="626">
        <f>SUM(B380:B382)-SUM(B383:B390)</f>
        <v>1827.5</v>
      </c>
      <c r="C391" s="626">
        <f t="shared" ref="C391:N391" si="85">SUM(C380:C382)-SUM(C383:C390)</f>
        <v>1955.75</v>
      </c>
      <c r="D391" s="626">
        <f t="shared" si="85"/>
        <v>2083</v>
      </c>
      <c r="E391" s="626">
        <f t="shared" si="85"/>
        <v>2083</v>
      </c>
      <c r="F391" s="626">
        <f t="shared" si="85"/>
        <v>2083</v>
      </c>
      <c r="G391" s="626">
        <f t="shared" si="85"/>
        <v>2083</v>
      </c>
      <c r="H391" s="626">
        <f t="shared" si="85"/>
        <v>2083</v>
      </c>
      <c r="I391" s="626">
        <f t="shared" si="85"/>
        <v>2083</v>
      </c>
      <c r="J391" s="626">
        <f t="shared" si="85"/>
        <v>2083</v>
      </c>
      <c r="K391" s="626">
        <f t="shared" si="85"/>
        <v>2083</v>
      </c>
      <c r="L391" s="626">
        <f t="shared" si="85"/>
        <v>2083</v>
      </c>
      <c r="M391" s="626">
        <f t="shared" si="85"/>
        <v>2083</v>
      </c>
      <c r="N391" s="626">
        <f t="shared" si="85"/>
        <v>24613.25</v>
      </c>
    </row>
    <row r="392" spans="1:14">
      <c r="A392" s="243"/>
      <c r="B392" s="261"/>
      <c r="C392" s="261"/>
      <c r="D392" s="261"/>
      <c r="E392" s="261"/>
      <c r="F392" s="261"/>
      <c r="G392" s="261"/>
      <c r="H392" s="261"/>
      <c r="I392" s="261"/>
      <c r="J392" s="261"/>
      <c r="K392" s="261"/>
      <c r="L392" s="261"/>
      <c r="M392" s="261"/>
      <c r="N392" s="261"/>
    </row>
    <row r="393" spans="1:14">
      <c r="A393" s="243"/>
      <c r="B393" s="261"/>
      <c r="C393" s="261"/>
      <c r="D393" s="261"/>
      <c r="E393" s="261"/>
      <c r="F393" s="261"/>
      <c r="G393" s="261"/>
      <c r="H393" s="261"/>
      <c r="I393" s="261"/>
      <c r="J393" s="261"/>
      <c r="K393" s="261"/>
      <c r="L393" s="261"/>
      <c r="M393" s="261"/>
      <c r="N393" s="629" t="s">
        <v>78</v>
      </c>
    </row>
    <row r="394" spans="1:14">
      <c r="A394" s="231" t="s">
        <v>79</v>
      </c>
      <c r="B394" s="620">
        <f t="shared" ref="B394:M394" si="86">SUM(B381*100/B391)</f>
        <v>0</v>
      </c>
      <c r="C394" s="620">
        <f t="shared" si="86"/>
        <v>0</v>
      </c>
      <c r="D394" s="620">
        <f t="shared" si="86"/>
        <v>0</v>
      </c>
      <c r="E394" s="620">
        <f t="shared" si="86"/>
        <v>0</v>
      </c>
      <c r="F394" s="620">
        <f t="shared" si="86"/>
        <v>0</v>
      </c>
      <c r="G394" s="620">
        <f t="shared" si="86"/>
        <v>0</v>
      </c>
      <c r="H394" s="620">
        <f t="shared" si="86"/>
        <v>0</v>
      </c>
      <c r="I394" s="620">
        <f t="shared" si="86"/>
        <v>0</v>
      </c>
      <c r="J394" s="620">
        <f t="shared" si="86"/>
        <v>0</v>
      </c>
      <c r="K394" s="620">
        <f t="shared" si="86"/>
        <v>0</v>
      </c>
      <c r="L394" s="620">
        <f t="shared" si="86"/>
        <v>0</v>
      </c>
      <c r="M394" s="620">
        <f t="shared" si="86"/>
        <v>0</v>
      </c>
      <c r="N394" s="630">
        <f>SUM(B394:M394)/12</f>
        <v>0</v>
      </c>
    </row>
    <row r="395" spans="1:14">
      <c r="A395" s="243"/>
      <c r="B395" s="261"/>
      <c r="C395" s="261"/>
      <c r="D395" s="261"/>
      <c r="E395" s="261"/>
      <c r="F395" s="261"/>
      <c r="G395" s="261"/>
      <c r="H395" s="261"/>
      <c r="I395" s="261"/>
      <c r="J395" s="261"/>
      <c r="K395" s="261"/>
      <c r="L395" s="261"/>
      <c r="M395" s="261"/>
      <c r="N395" s="261"/>
    </row>
    <row r="396" spans="1:14">
      <c r="A396" s="231" t="s">
        <v>80</v>
      </c>
      <c r="B396" s="620">
        <f t="shared" ref="B396:M396" si="87">SUM(B385*100/B391)</f>
        <v>11.819425444596444</v>
      </c>
      <c r="C396" s="620">
        <f t="shared" si="87"/>
        <v>0.79253483318420048</v>
      </c>
      <c r="D396" s="620">
        <f t="shared" si="87"/>
        <v>0</v>
      </c>
      <c r="E396" s="620">
        <f t="shared" si="87"/>
        <v>0</v>
      </c>
      <c r="F396" s="620">
        <f t="shared" si="87"/>
        <v>0</v>
      </c>
      <c r="G396" s="620">
        <f t="shared" si="87"/>
        <v>0</v>
      </c>
      <c r="H396" s="620">
        <f t="shared" si="87"/>
        <v>0</v>
      </c>
      <c r="I396" s="620">
        <f t="shared" si="87"/>
        <v>0</v>
      </c>
      <c r="J396" s="620">
        <f t="shared" si="87"/>
        <v>0</v>
      </c>
      <c r="K396" s="620">
        <f t="shared" si="87"/>
        <v>0</v>
      </c>
      <c r="L396" s="620">
        <f t="shared" si="87"/>
        <v>0</v>
      </c>
      <c r="M396" s="620">
        <f t="shared" si="87"/>
        <v>0</v>
      </c>
      <c r="N396" s="630">
        <f>SUM(B396:M396)/12</f>
        <v>1.0509966898150538</v>
      </c>
    </row>
    <row r="397" spans="1:14" ht="13.5" thickBot="1">
      <c r="A397" s="247" t="s">
        <v>81</v>
      </c>
      <c r="B397" s="625">
        <f t="shared" ref="B397:M397" si="88">SUM(B386*100/B391)</f>
        <v>0</v>
      </c>
      <c r="C397" s="625">
        <f t="shared" si="88"/>
        <v>0</v>
      </c>
      <c r="D397" s="625">
        <f t="shared" si="88"/>
        <v>0</v>
      </c>
      <c r="E397" s="625">
        <f t="shared" si="88"/>
        <v>0</v>
      </c>
      <c r="F397" s="625">
        <f t="shared" si="88"/>
        <v>0</v>
      </c>
      <c r="G397" s="625">
        <f t="shared" si="88"/>
        <v>0</v>
      </c>
      <c r="H397" s="625">
        <f t="shared" si="88"/>
        <v>0</v>
      </c>
      <c r="I397" s="625">
        <f t="shared" si="88"/>
        <v>0</v>
      </c>
      <c r="J397" s="625">
        <f t="shared" si="88"/>
        <v>0</v>
      </c>
      <c r="K397" s="625">
        <f t="shared" si="88"/>
        <v>0</v>
      </c>
      <c r="L397" s="625">
        <f t="shared" si="88"/>
        <v>0</v>
      </c>
      <c r="M397" s="625">
        <f t="shared" si="88"/>
        <v>0</v>
      </c>
      <c r="N397" s="631">
        <f>SUM(B397:M397)/12</f>
        <v>0</v>
      </c>
    </row>
    <row r="398" spans="1:14" ht="13.5" thickBot="1">
      <c r="A398" s="249" t="s">
        <v>82</v>
      </c>
      <c r="B398" s="632">
        <f t="shared" ref="B398:M398" si="89">SUM(B396:B396)</f>
        <v>11.819425444596444</v>
      </c>
      <c r="C398" s="632">
        <f t="shared" si="89"/>
        <v>0.79253483318420048</v>
      </c>
      <c r="D398" s="632">
        <f t="shared" si="89"/>
        <v>0</v>
      </c>
      <c r="E398" s="632">
        <f t="shared" si="89"/>
        <v>0</v>
      </c>
      <c r="F398" s="632">
        <f t="shared" si="89"/>
        <v>0</v>
      </c>
      <c r="G398" s="632">
        <f t="shared" si="89"/>
        <v>0</v>
      </c>
      <c r="H398" s="632">
        <f t="shared" si="89"/>
        <v>0</v>
      </c>
      <c r="I398" s="632">
        <f t="shared" si="89"/>
        <v>0</v>
      </c>
      <c r="J398" s="632">
        <f t="shared" si="89"/>
        <v>0</v>
      </c>
      <c r="K398" s="632">
        <f t="shared" si="89"/>
        <v>0</v>
      </c>
      <c r="L398" s="632">
        <f t="shared" si="89"/>
        <v>0</v>
      </c>
      <c r="M398" s="632">
        <f t="shared" si="89"/>
        <v>0</v>
      </c>
      <c r="N398" s="633">
        <f>SUM(N396:N397)</f>
        <v>1.0509966898150538</v>
      </c>
    </row>
    <row r="399" spans="1:14">
      <c r="A399" s="243" t="s">
        <v>83</v>
      </c>
      <c r="B399" s="261"/>
      <c r="C399" s="261"/>
      <c r="D399" s="634">
        <f>SUM(B398:D398)/4</f>
        <v>3.1529900694451611</v>
      </c>
      <c r="E399" s="261"/>
      <c r="F399" s="261"/>
      <c r="G399" s="634">
        <f>SUM(E398,F398,G398)/4</f>
        <v>0</v>
      </c>
      <c r="H399" s="261"/>
      <c r="I399" s="261"/>
      <c r="J399" s="634">
        <f>SUM(H398,I398,J398)/3</f>
        <v>0</v>
      </c>
      <c r="K399" s="261"/>
      <c r="L399" s="261"/>
      <c r="M399" s="634">
        <f>SUM(K398,L398,M398)/3</f>
        <v>0</v>
      </c>
      <c r="N399" s="635">
        <f>SUM(D399:M399)/4</f>
        <v>0.78824751736129028</v>
      </c>
    </row>
    <row r="400" spans="1:14">
      <c r="A400" s="243" t="s">
        <v>84</v>
      </c>
      <c r="B400" s="261"/>
      <c r="C400" s="261"/>
      <c r="D400" s="262"/>
      <c r="E400" s="261"/>
      <c r="F400" s="261"/>
      <c r="G400" s="262"/>
      <c r="H400" s="261"/>
      <c r="I400" s="261"/>
      <c r="J400" s="262"/>
      <c r="K400" s="261"/>
      <c r="L400" s="261"/>
      <c r="M400" s="262"/>
      <c r="N400" s="630">
        <f>SUM(D400:G400,J400,M400)/4</f>
        <v>0</v>
      </c>
    </row>
    <row r="401" spans="1:14">
      <c r="A401" s="243"/>
      <c r="B401" s="261"/>
      <c r="C401" s="261"/>
      <c r="D401" s="261"/>
      <c r="E401" s="261"/>
      <c r="F401" s="261"/>
      <c r="G401" s="261"/>
      <c r="H401" s="261"/>
      <c r="I401" s="261"/>
      <c r="J401" s="261"/>
      <c r="K401" s="261"/>
      <c r="L401" s="261"/>
      <c r="M401" s="261"/>
      <c r="N401" s="261"/>
    </row>
    <row r="402" spans="1:14">
      <c r="A402" s="231" t="s">
        <v>85</v>
      </c>
      <c r="B402" s="620">
        <f t="shared" ref="B402:M402" si="90">B389*100/B391</f>
        <v>0</v>
      </c>
      <c r="C402" s="620">
        <f t="shared" si="90"/>
        <v>0</v>
      </c>
      <c r="D402" s="620">
        <f t="shared" si="90"/>
        <v>0</v>
      </c>
      <c r="E402" s="620">
        <f t="shared" si="90"/>
        <v>0</v>
      </c>
      <c r="F402" s="620">
        <f t="shared" si="90"/>
        <v>0</v>
      </c>
      <c r="G402" s="620">
        <f t="shared" si="90"/>
        <v>0</v>
      </c>
      <c r="H402" s="620">
        <f t="shared" si="90"/>
        <v>0</v>
      </c>
      <c r="I402" s="620">
        <f t="shared" si="90"/>
        <v>0</v>
      </c>
      <c r="J402" s="620">
        <f t="shared" si="90"/>
        <v>0</v>
      </c>
      <c r="K402" s="620">
        <f t="shared" si="90"/>
        <v>0</v>
      </c>
      <c r="L402" s="620">
        <f t="shared" si="90"/>
        <v>0</v>
      </c>
      <c r="M402" s="620">
        <f t="shared" si="90"/>
        <v>0</v>
      </c>
      <c r="N402" s="630">
        <f>SUM(B402:M402)/12</f>
        <v>0</v>
      </c>
    </row>
    <row r="403" spans="1:14">
      <c r="A403" s="231" t="s">
        <v>86</v>
      </c>
      <c r="B403" s="620">
        <f t="shared" ref="B403:M403" si="91">B387*100/B391</f>
        <v>0</v>
      </c>
      <c r="C403" s="620">
        <f t="shared" si="91"/>
        <v>0</v>
      </c>
      <c r="D403" s="620">
        <f t="shared" si="91"/>
        <v>0</v>
      </c>
      <c r="E403" s="620">
        <f t="shared" si="91"/>
        <v>0</v>
      </c>
      <c r="F403" s="620">
        <f t="shared" si="91"/>
        <v>0</v>
      </c>
      <c r="G403" s="620">
        <f t="shared" si="91"/>
        <v>0</v>
      </c>
      <c r="H403" s="620">
        <f t="shared" si="91"/>
        <v>0</v>
      </c>
      <c r="I403" s="620">
        <f t="shared" si="91"/>
        <v>0</v>
      </c>
      <c r="J403" s="620">
        <f t="shared" si="91"/>
        <v>0</v>
      </c>
      <c r="K403" s="620">
        <f t="shared" si="91"/>
        <v>0</v>
      </c>
      <c r="L403" s="620">
        <f t="shared" si="91"/>
        <v>0</v>
      </c>
      <c r="M403" s="620">
        <f t="shared" si="91"/>
        <v>0</v>
      </c>
      <c r="N403" s="630">
        <f>SUM(B403:M403)/12</f>
        <v>0</v>
      </c>
    </row>
    <row r="404" spans="1:14" ht="13.5" thickBot="1">
      <c r="A404" s="231" t="s">
        <v>87</v>
      </c>
      <c r="B404" s="620">
        <f t="shared" ref="B404:M404" si="92">B383*100/B391</f>
        <v>1.0807113543091655</v>
      </c>
      <c r="C404" s="620">
        <f t="shared" si="92"/>
        <v>3.0295283139460567</v>
      </c>
      <c r="D404" s="620">
        <f t="shared" si="92"/>
        <v>0</v>
      </c>
      <c r="E404" s="620">
        <f t="shared" si="92"/>
        <v>0</v>
      </c>
      <c r="F404" s="620">
        <f t="shared" si="92"/>
        <v>0</v>
      </c>
      <c r="G404" s="620">
        <f t="shared" si="92"/>
        <v>0</v>
      </c>
      <c r="H404" s="620">
        <f t="shared" si="92"/>
        <v>0</v>
      </c>
      <c r="I404" s="620">
        <f t="shared" si="92"/>
        <v>0</v>
      </c>
      <c r="J404" s="620">
        <f t="shared" si="92"/>
        <v>0</v>
      </c>
      <c r="K404" s="620">
        <f t="shared" si="92"/>
        <v>0</v>
      </c>
      <c r="L404" s="620">
        <f t="shared" si="92"/>
        <v>0</v>
      </c>
      <c r="M404" s="620">
        <f t="shared" si="92"/>
        <v>0</v>
      </c>
      <c r="N404" s="630">
        <f>SUM(B404:M404)/12</f>
        <v>0.3425199723546018</v>
      </c>
    </row>
    <row r="405" spans="1:14" ht="13.5" thickBot="1">
      <c r="A405" s="255" t="s">
        <v>88</v>
      </c>
      <c r="B405" s="636">
        <f t="shared" ref="B405:M405" si="93">SUM(B380-B391)*100/B391</f>
        <v>13.980848153214774</v>
      </c>
      <c r="C405" s="636">
        <f t="shared" si="93"/>
        <v>6.5064553240444845</v>
      </c>
      <c r="D405" s="636">
        <f t="shared" si="93"/>
        <v>0</v>
      </c>
      <c r="E405" s="636">
        <f t="shared" si="93"/>
        <v>0</v>
      </c>
      <c r="F405" s="636">
        <f t="shared" si="93"/>
        <v>0</v>
      </c>
      <c r="G405" s="636">
        <f t="shared" si="93"/>
        <v>0</v>
      </c>
      <c r="H405" s="636">
        <f t="shared" si="93"/>
        <v>0</v>
      </c>
      <c r="I405" s="636">
        <f t="shared" si="93"/>
        <v>0</v>
      </c>
      <c r="J405" s="636">
        <f t="shared" si="93"/>
        <v>0</v>
      </c>
      <c r="K405" s="636">
        <f t="shared" si="93"/>
        <v>0</v>
      </c>
      <c r="L405" s="636">
        <f t="shared" si="93"/>
        <v>0</v>
      </c>
      <c r="M405" s="636">
        <f t="shared" si="93"/>
        <v>0</v>
      </c>
      <c r="N405" s="637">
        <f>SUM(B405:M405)/12</f>
        <v>1.707275289771605</v>
      </c>
    </row>
    <row r="406" spans="1:14">
      <c r="A406" s="243"/>
      <c r="B406" s="244"/>
      <c r="C406" s="244"/>
      <c r="D406" s="244"/>
      <c r="E406" s="244"/>
      <c r="F406" s="244"/>
      <c r="G406" s="244"/>
      <c r="H406" s="244"/>
      <c r="I406" s="244"/>
      <c r="J406" s="244"/>
      <c r="K406" s="244"/>
      <c r="L406" s="244"/>
      <c r="M406" s="244"/>
      <c r="N406" s="227"/>
    </row>
    <row r="407" spans="1:14">
      <c r="A407" s="258" t="s">
        <v>89</v>
      </c>
      <c r="B407" s="244"/>
      <c r="C407" s="244"/>
      <c r="D407" s="244"/>
      <c r="E407" s="244"/>
      <c r="F407" s="244"/>
      <c r="G407" s="244"/>
      <c r="H407" s="244"/>
      <c r="I407" s="244"/>
      <c r="J407" s="244"/>
      <c r="K407" s="244"/>
      <c r="L407" s="244"/>
      <c r="M407" s="244"/>
      <c r="N407" s="227"/>
    </row>
    <row r="408" spans="1:14">
      <c r="A408" s="231" t="s">
        <v>90</v>
      </c>
      <c r="B408" s="259">
        <v>13</v>
      </c>
      <c r="C408" s="259">
        <v>13</v>
      </c>
      <c r="D408" s="259">
        <v>13</v>
      </c>
      <c r="E408" s="259">
        <v>13</v>
      </c>
      <c r="F408" s="259">
        <v>13</v>
      </c>
      <c r="G408" s="259">
        <v>13</v>
      </c>
      <c r="H408" s="259">
        <v>13</v>
      </c>
      <c r="I408" s="259">
        <v>13</v>
      </c>
      <c r="J408" s="259">
        <f>I411</f>
        <v>13</v>
      </c>
      <c r="K408" s="259">
        <f>J411</f>
        <v>13</v>
      </c>
      <c r="L408" s="259">
        <f>K411</f>
        <v>13</v>
      </c>
      <c r="M408" s="259">
        <f>L411</f>
        <v>13</v>
      </c>
      <c r="N408" s="259">
        <f>M411</f>
        <v>13</v>
      </c>
    </row>
    <row r="409" spans="1:14">
      <c r="A409" s="231" t="s">
        <v>91</v>
      </c>
      <c r="B409" s="259"/>
      <c r="C409" s="259"/>
      <c r="D409" s="259"/>
      <c r="E409" s="259"/>
      <c r="F409" s="259"/>
      <c r="G409" s="259"/>
      <c r="H409" s="259"/>
      <c r="I409" s="259"/>
      <c r="J409" s="259"/>
      <c r="K409" s="259"/>
      <c r="L409" s="259"/>
      <c r="M409" s="259"/>
      <c r="N409" s="259">
        <f>SUM(B409:M409)/12</f>
        <v>0</v>
      </c>
    </row>
    <row r="410" spans="1:14">
      <c r="A410" s="231" t="s">
        <v>92</v>
      </c>
      <c r="B410" s="259"/>
      <c r="C410" s="259"/>
      <c r="D410" s="259"/>
      <c r="E410" s="259"/>
      <c r="F410" s="259"/>
      <c r="G410" s="259"/>
      <c r="H410" s="259"/>
      <c r="I410" s="259"/>
      <c r="J410" s="259"/>
      <c r="K410" s="259"/>
      <c r="L410" s="259"/>
      <c r="M410" s="259"/>
      <c r="N410" s="259">
        <f>SUM(B409:M409)/12</f>
        <v>0</v>
      </c>
    </row>
    <row r="411" spans="1:14">
      <c r="A411" s="231" t="s">
        <v>89</v>
      </c>
      <c r="B411" s="259">
        <f t="shared" ref="B411:M411" si="94">SUM(B408+B409-B410)</f>
        <v>13</v>
      </c>
      <c r="C411" s="259">
        <f t="shared" si="94"/>
        <v>13</v>
      </c>
      <c r="D411" s="259">
        <f t="shared" si="94"/>
        <v>13</v>
      </c>
      <c r="E411" s="259">
        <f t="shared" si="94"/>
        <v>13</v>
      </c>
      <c r="F411" s="259">
        <f t="shared" si="94"/>
        <v>13</v>
      </c>
      <c r="G411" s="259">
        <f t="shared" si="94"/>
        <v>13</v>
      </c>
      <c r="H411" s="259">
        <f t="shared" si="94"/>
        <v>13</v>
      </c>
      <c r="I411" s="259">
        <f t="shared" si="94"/>
        <v>13</v>
      </c>
      <c r="J411" s="259">
        <f t="shared" si="94"/>
        <v>13</v>
      </c>
      <c r="K411" s="259">
        <f t="shared" si="94"/>
        <v>13</v>
      </c>
      <c r="L411" s="259">
        <f t="shared" si="94"/>
        <v>13</v>
      </c>
      <c r="M411" s="259">
        <f t="shared" si="94"/>
        <v>13</v>
      </c>
      <c r="N411" s="259">
        <f>SUM(B410:M410)/12</f>
        <v>0</v>
      </c>
    </row>
    <row r="412" spans="1:14">
      <c r="A412" s="231" t="s">
        <v>93</v>
      </c>
      <c r="B412" s="260">
        <f t="shared" ref="B412:M412" si="95">SUM(B411*100)/B408-100</f>
        <v>0</v>
      </c>
      <c r="C412" s="260">
        <f t="shared" si="95"/>
        <v>0</v>
      </c>
      <c r="D412" s="260">
        <f t="shared" si="95"/>
        <v>0</v>
      </c>
      <c r="E412" s="260">
        <f t="shared" si="95"/>
        <v>0</v>
      </c>
      <c r="F412" s="260">
        <f t="shared" si="95"/>
        <v>0</v>
      </c>
      <c r="G412" s="260">
        <f t="shared" si="95"/>
        <v>0</v>
      </c>
      <c r="H412" s="260">
        <f t="shared" si="95"/>
        <v>0</v>
      </c>
      <c r="I412" s="260">
        <f t="shared" si="95"/>
        <v>0</v>
      </c>
      <c r="J412" s="260">
        <f t="shared" si="95"/>
        <v>0</v>
      </c>
      <c r="K412" s="260">
        <f t="shared" si="95"/>
        <v>0</v>
      </c>
      <c r="L412" s="260">
        <f t="shared" si="95"/>
        <v>0</v>
      </c>
      <c r="M412" s="260">
        <f t="shared" si="95"/>
        <v>0</v>
      </c>
      <c r="N412" s="259"/>
    </row>
    <row r="413" spans="1:14">
      <c r="A413" s="243" t="s">
        <v>94</v>
      </c>
      <c r="B413" s="261"/>
      <c r="C413" s="261"/>
      <c r="D413" s="262">
        <f>SUM(B412:D412/3)</f>
        <v>0</v>
      </c>
      <c r="E413" s="261"/>
      <c r="F413" s="261"/>
      <c r="G413" s="262">
        <f>SUM(E412:G412)/3</f>
        <v>0</v>
      </c>
      <c r="H413" s="261"/>
      <c r="I413" s="261"/>
      <c r="J413" s="262">
        <f>SUM(H412:J412)/3</f>
        <v>0</v>
      </c>
      <c r="K413" s="261"/>
      <c r="L413" s="261"/>
      <c r="M413" s="262">
        <f>SUM(K412:M412)/3</f>
        <v>0</v>
      </c>
      <c r="N413" s="261"/>
    </row>
    <row r="414" spans="1:14" ht="13.5" thickBot="1">
      <c r="A414" s="372"/>
      <c r="B414" s="373"/>
      <c r="C414" s="373"/>
      <c r="D414" s="373"/>
      <c r="E414" s="373"/>
      <c r="F414" s="373"/>
      <c r="G414" s="373"/>
      <c r="H414" s="373"/>
      <c r="I414" s="373"/>
      <c r="J414" s="373"/>
      <c r="K414" s="373"/>
      <c r="L414" s="373"/>
      <c r="M414" s="373"/>
      <c r="N414" s="374"/>
    </row>
    <row r="415" spans="1:14">
      <c r="A415" s="243"/>
      <c r="B415" s="244"/>
      <c r="C415" s="244"/>
      <c r="D415" s="244"/>
      <c r="E415" s="244"/>
      <c r="F415" s="244"/>
      <c r="G415" s="244"/>
      <c r="H415" s="244"/>
      <c r="I415" s="244"/>
      <c r="J415" s="244"/>
      <c r="K415" s="244"/>
      <c r="L415" s="244"/>
      <c r="M415" s="244"/>
      <c r="N415" s="227"/>
    </row>
    <row r="416" spans="1:14" ht="15.75">
      <c r="A416" s="403" t="s">
        <v>228</v>
      </c>
      <c r="B416" s="403"/>
      <c r="C416" s="403"/>
      <c r="D416" s="403"/>
      <c r="E416" s="403"/>
      <c r="F416" s="403"/>
      <c r="G416" s="403"/>
      <c r="H416" s="403"/>
      <c r="I416" s="403"/>
      <c r="J416" s="403"/>
      <c r="K416" s="403"/>
      <c r="L416" s="403"/>
      <c r="M416" s="403"/>
      <c r="N416" s="403"/>
    </row>
    <row r="417" spans="1:14" ht="15.75">
      <c r="E417" s="282"/>
      <c r="M417" s="244"/>
      <c r="N417" s="227"/>
    </row>
    <row r="418" spans="1:14">
      <c r="A418" s="376" t="s">
        <v>185</v>
      </c>
      <c r="B418" s="377"/>
      <c r="C418" s="378"/>
      <c r="D418" s="292" t="s">
        <v>186</v>
      </c>
      <c r="G418" s="299"/>
      <c r="K418" s="299"/>
      <c r="M418" s="244"/>
      <c r="N418" s="227"/>
    </row>
    <row r="419" spans="1:14">
      <c r="A419" s="379"/>
      <c r="B419" s="380"/>
      <c r="C419" s="381"/>
      <c r="D419" s="290"/>
      <c r="E419" s="291"/>
      <c r="G419" s="494"/>
      <c r="H419" s="494"/>
      <c r="I419" s="494"/>
      <c r="J419" s="494"/>
      <c r="K419" s="494"/>
      <c r="M419" s="244"/>
      <c r="N419" s="227"/>
    </row>
    <row r="420" spans="1:14" ht="13.5" thickBot="1">
      <c r="A420" s="387"/>
      <c r="C420" s="388"/>
      <c r="D420" s="290"/>
      <c r="E420" s="291"/>
      <c r="H420" s="404"/>
      <c r="K420" s="291"/>
      <c r="L420" s="320"/>
      <c r="M420" s="244"/>
      <c r="N420" s="227"/>
    </row>
    <row r="421" spans="1:14" ht="13.5" thickBot="1">
      <c r="A421" s="294" t="s">
        <v>167</v>
      </c>
      <c r="B421" s="296"/>
      <c r="C421" s="389"/>
      <c r="D421" s="488">
        <v>5649000</v>
      </c>
      <c r="E421" s="291"/>
      <c r="H421" s="404"/>
      <c r="K421" s="291"/>
      <c r="L421" s="320"/>
      <c r="M421" s="244"/>
      <c r="N421" s="227"/>
    </row>
    <row r="422" spans="1:14">
      <c r="A422" s="390" t="s">
        <v>168</v>
      </c>
      <c r="B422" s="391"/>
      <c r="C422" s="392"/>
      <c r="D422" s="393">
        <f>D421/12</f>
        <v>470750</v>
      </c>
      <c r="E422" s="291"/>
      <c r="K422" s="300"/>
      <c r="L422" s="320"/>
      <c r="M422" s="244"/>
      <c r="N422" s="227"/>
    </row>
    <row r="423" spans="1:14">
      <c r="C423" s="394"/>
      <c r="E423" s="291"/>
      <c r="J423" s="394"/>
      <c r="K423" s="300"/>
      <c r="L423" s="517"/>
      <c r="M423" s="244"/>
      <c r="N423" s="227"/>
    </row>
    <row r="424" spans="1:14">
      <c r="A424" s="258" t="s">
        <v>113</v>
      </c>
      <c r="B424" s="244"/>
      <c r="C424" s="244"/>
      <c r="D424" s="244"/>
      <c r="E424" s="244"/>
      <c r="F424" s="244"/>
      <c r="G424" s="244"/>
      <c r="H424" s="244"/>
      <c r="I424" s="244"/>
      <c r="J424" s="244"/>
      <c r="K424" s="244"/>
      <c r="L424" s="244"/>
      <c r="M424" s="244"/>
      <c r="N424" s="227"/>
    </row>
    <row r="425" spans="1:14">
      <c r="A425" s="328"/>
      <c r="B425" s="232" t="s">
        <v>44</v>
      </c>
      <c r="C425" s="232" t="s">
        <v>45</v>
      </c>
      <c r="D425" s="232" t="s">
        <v>46</v>
      </c>
      <c r="E425" s="232" t="s">
        <v>47</v>
      </c>
      <c r="F425" s="232" t="s">
        <v>48</v>
      </c>
      <c r="G425" s="232" t="s">
        <v>49</v>
      </c>
      <c r="H425" s="232" t="s">
        <v>38</v>
      </c>
      <c r="I425" s="232" t="s">
        <v>39</v>
      </c>
      <c r="J425" s="232" t="s">
        <v>40</v>
      </c>
      <c r="K425" s="232" t="s">
        <v>41</v>
      </c>
      <c r="L425" s="232" t="s">
        <v>42</v>
      </c>
      <c r="M425" s="232" t="s">
        <v>43</v>
      </c>
      <c r="N425" s="228"/>
    </row>
    <row r="426" spans="1:14">
      <c r="A426" s="231" t="s">
        <v>208</v>
      </c>
      <c r="B426" s="329">
        <f t="shared" ref="B426:M426" si="96">$D$422</f>
        <v>470750</v>
      </c>
      <c r="C426" s="329">
        <f t="shared" si="96"/>
        <v>470750</v>
      </c>
      <c r="D426" s="329">
        <f t="shared" si="96"/>
        <v>470750</v>
      </c>
      <c r="E426" s="329">
        <f t="shared" si="96"/>
        <v>470750</v>
      </c>
      <c r="F426" s="329">
        <f t="shared" si="96"/>
        <v>470750</v>
      </c>
      <c r="G426" s="329">
        <f t="shared" si="96"/>
        <v>470750</v>
      </c>
      <c r="H426" s="329">
        <f t="shared" si="96"/>
        <v>470750</v>
      </c>
      <c r="I426" s="329">
        <f t="shared" si="96"/>
        <v>470750</v>
      </c>
      <c r="J426" s="329">
        <f t="shared" si="96"/>
        <v>470750</v>
      </c>
      <c r="K426" s="329">
        <f t="shared" si="96"/>
        <v>470750</v>
      </c>
      <c r="L426" s="329">
        <f t="shared" si="96"/>
        <v>470750</v>
      </c>
      <c r="M426" s="329">
        <f t="shared" si="96"/>
        <v>470750</v>
      </c>
      <c r="N426" s="329">
        <f t="shared" ref="N426:N438" si="97">SUM(B426:M426)</f>
        <v>5649000</v>
      </c>
    </row>
    <row r="427" spans="1:14" ht="13.5" thickBot="1">
      <c r="A427" s="231"/>
      <c r="B427" s="329">
        <v>0</v>
      </c>
      <c r="C427" s="329">
        <v>0</v>
      </c>
      <c r="D427" s="329"/>
      <c r="E427" s="329"/>
      <c r="F427" s="329"/>
      <c r="G427" s="358"/>
      <c r="H427" s="329"/>
      <c r="I427" s="329"/>
      <c r="J427" s="329"/>
      <c r="K427" s="329"/>
      <c r="L427" s="329"/>
      <c r="M427" s="329"/>
      <c r="N427" s="329">
        <f t="shared" si="97"/>
        <v>0</v>
      </c>
    </row>
    <row r="428" spans="1:14" ht="13.5" thickBot="1">
      <c r="A428" s="333" t="s">
        <v>208</v>
      </c>
      <c r="B428" s="395">
        <f t="shared" ref="B428:M428" si="98">SUM(B426,B427)</f>
        <v>470750</v>
      </c>
      <c r="C428" s="395">
        <f t="shared" si="98"/>
        <v>470750</v>
      </c>
      <c r="D428" s="395">
        <f t="shared" si="98"/>
        <v>470750</v>
      </c>
      <c r="E428" s="395">
        <f t="shared" si="98"/>
        <v>470750</v>
      </c>
      <c r="F428" s="395">
        <f t="shared" si="98"/>
        <v>470750</v>
      </c>
      <c r="G428" s="395">
        <f t="shared" si="98"/>
        <v>470750</v>
      </c>
      <c r="H428" s="395">
        <f t="shared" si="98"/>
        <v>470750</v>
      </c>
      <c r="I428" s="395">
        <f t="shared" si="98"/>
        <v>470750</v>
      </c>
      <c r="J428" s="395">
        <f t="shared" si="98"/>
        <v>470750</v>
      </c>
      <c r="K428" s="395">
        <f t="shared" si="98"/>
        <v>470750</v>
      </c>
      <c r="L428" s="395">
        <f t="shared" si="98"/>
        <v>470750</v>
      </c>
      <c r="M428" s="395">
        <f t="shared" si="98"/>
        <v>470750</v>
      </c>
      <c r="N428" s="706">
        <f t="shared" si="97"/>
        <v>5649000</v>
      </c>
    </row>
    <row r="429" spans="1:14">
      <c r="A429" s="228" t="s">
        <v>209</v>
      </c>
      <c r="B429" s="329"/>
      <c r="C429" s="329"/>
      <c r="D429" s="329"/>
      <c r="E429" s="329"/>
      <c r="F429" s="329"/>
      <c r="G429" s="329"/>
      <c r="H429" s="329"/>
      <c r="I429" s="329"/>
      <c r="J429" s="329"/>
      <c r="K429" s="329"/>
      <c r="L429" s="329"/>
      <c r="M429" s="329"/>
      <c r="N429" s="329">
        <f t="shared" si="97"/>
        <v>0</v>
      </c>
    </row>
    <row r="430" spans="1:14">
      <c r="A430" s="349" t="s">
        <v>210</v>
      </c>
      <c r="B430" s="329"/>
      <c r="C430" s="329"/>
      <c r="D430" s="329"/>
      <c r="E430" s="329"/>
      <c r="F430" s="329"/>
      <c r="G430" s="329"/>
      <c r="H430" s="329"/>
      <c r="I430" s="329"/>
      <c r="J430" s="329"/>
      <c r="K430" s="329"/>
      <c r="L430" s="329"/>
      <c r="M430" s="329"/>
      <c r="N430" s="329">
        <f t="shared" si="97"/>
        <v>0</v>
      </c>
    </row>
    <row r="431" spans="1:14">
      <c r="A431" s="349" t="s">
        <v>211</v>
      </c>
      <c r="B431" s="329">
        <v>66300</v>
      </c>
      <c r="C431" s="329"/>
      <c r="D431" s="329"/>
      <c r="E431" s="329"/>
      <c r="F431" s="329"/>
      <c r="G431" s="329"/>
      <c r="H431" s="329"/>
      <c r="I431" s="329"/>
      <c r="J431" s="329"/>
      <c r="K431" s="329"/>
      <c r="L431" s="329"/>
      <c r="M431" s="329"/>
      <c r="N431" s="329">
        <f t="shared" si="97"/>
        <v>66300</v>
      </c>
    </row>
    <row r="432" spans="1:14" ht="13.5" thickBot="1">
      <c r="A432" s="359" t="s">
        <v>208</v>
      </c>
      <c r="B432" s="357"/>
      <c r="C432" s="357"/>
      <c r="D432" s="357">
        <v>10000</v>
      </c>
      <c r="E432" s="357"/>
      <c r="F432" s="357"/>
      <c r="G432" s="357"/>
      <c r="H432" s="357"/>
      <c r="I432" s="357"/>
      <c r="J432" s="357"/>
      <c r="K432" s="357"/>
      <c r="L432" s="357"/>
      <c r="M432" s="357"/>
      <c r="N432" s="329">
        <f t="shared" si="97"/>
        <v>10000</v>
      </c>
    </row>
    <row r="433" spans="1:14" ht="13.5" thickBot="1">
      <c r="A433" s="360" t="s">
        <v>126</v>
      </c>
      <c r="B433" s="334">
        <f t="shared" ref="B433:M433" si="99">SUM(B429:B432)</f>
        <v>66300</v>
      </c>
      <c r="C433" s="334">
        <f t="shared" si="99"/>
        <v>0</v>
      </c>
      <c r="D433" s="334">
        <f t="shared" si="99"/>
        <v>10000</v>
      </c>
      <c r="E433" s="334">
        <f t="shared" si="99"/>
        <v>0</v>
      </c>
      <c r="F433" s="334">
        <f t="shared" si="99"/>
        <v>0</v>
      </c>
      <c r="G433" s="334">
        <f t="shared" si="99"/>
        <v>0</v>
      </c>
      <c r="H433" s="334">
        <f t="shared" si="99"/>
        <v>0</v>
      </c>
      <c r="I433" s="334">
        <f t="shared" si="99"/>
        <v>0</v>
      </c>
      <c r="J433" s="334">
        <f t="shared" si="99"/>
        <v>0</v>
      </c>
      <c r="K433" s="334">
        <f t="shared" si="99"/>
        <v>0</v>
      </c>
      <c r="L433" s="334">
        <f t="shared" si="99"/>
        <v>0</v>
      </c>
      <c r="M433" s="334">
        <f t="shared" si="99"/>
        <v>0</v>
      </c>
      <c r="N433" s="334">
        <f t="shared" si="97"/>
        <v>76300</v>
      </c>
    </row>
    <row r="434" spans="1:14">
      <c r="A434" s="228" t="s">
        <v>127</v>
      </c>
      <c r="B434" s="331"/>
      <c r="C434" s="331"/>
      <c r="D434" s="331"/>
      <c r="E434" s="331"/>
      <c r="F434" s="331"/>
      <c r="G434" s="707"/>
      <c r="H434" s="331"/>
      <c r="I434" s="331"/>
      <c r="J434" s="331"/>
      <c r="K434" s="331"/>
      <c r="L434" s="331"/>
      <c r="M434" s="331"/>
      <c r="N434" s="329">
        <f t="shared" si="97"/>
        <v>0</v>
      </c>
    </row>
    <row r="435" spans="1:14">
      <c r="A435" s="363" t="s">
        <v>129</v>
      </c>
      <c r="B435" s="399">
        <f t="shared" ref="B435:M435" si="100">SUM(B428+B433)</f>
        <v>537050</v>
      </c>
      <c r="C435" s="399">
        <f t="shared" si="100"/>
        <v>470750</v>
      </c>
      <c r="D435" s="399">
        <f t="shared" si="100"/>
        <v>480750</v>
      </c>
      <c r="E435" s="399">
        <f t="shared" si="100"/>
        <v>470750</v>
      </c>
      <c r="F435" s="399">
        <f t="shared" si="100"/>
        <v>470750</v>
      </c>
      <c r="G435" s="399">
        <f t="shared" si="100"/>
        <v>470750</v>
      </c>
      <c r="H435" s="399">
        <f t="shared" si="100"/>
        <v>470750</v>
      </c>
      <c r="I435" s="399">
        <f t="shared" si="100"/>
        <v>470750</v>
      </c>
      <c r="J435" s="399">
        <f t="shared" si="100"/>
        <v>470750</v>
      </c>
      <c r="K435" s="399">
        <f t="shared" si="100"/>
        <v>470750</v>
      </c>
      <c r="L435" s="399">
        <f t="shared" si="100"/>
        <v>470750</v>
      </c>
      <c r="M435" s="399">
        <f t="shared" si="100"/>
        <v>470750</v>
      </c>
      <c r="N435" s="399">
        <f t="shared" si="97"/>
        <v>5725300</v>
      </c>
    </row>
    <row r="436" spans="1:14">
      <c r="A436" s="400" t="s">
        <v>131</v>
      </c>
      <c r="B436" s="331">
        <v>471518</v>
      </c>
      <c r="C436" s="331">
        <v>495676</v>
      </c>
      <c r="D436" s="331">
        <v>480123</v>
      </c>
      <c r="E436" s="331">
        <v>563595</v>
      </c>
      <c r="F436" s="331">
        <v>493160</v>
      </c>
      <c r="G436" s="331">
        <v>250000</v>
      </c>
      <c r="H436" s="331">
        <v>776280</v>
      </c>
      <c r="I436" s="331">
        <v>475479</v>
      </c>
      <c r="J436" s="331">
        <v>500000</v>
      </c>
      <c r="K436" s="331">
        <v>500000</v>
      </c>
      <c r="L436" s="331">
        <v>500000</v>
      </c>
      <c r="M436" s="331">
        <v>500000</v>
      </c>
      <c r="N436" s="331">
        <f t="shared" si="97"/>
        <v>6005831</v>
      </c>
    </row>
    <row r="437" spans="1:14">
      <c r="A437" s="228" t="s">
        <v>130</v>
      </c>
      <c r="B437" s="329">
        <v>75000</v>
      </c>
      <c r="C437" s="329">
        <v>75000</v>
      </c>
      <c r="D437" s="329">
        <v>75000</v>
      </c>
      <c r="E437" s="329">
        <v>75000</v>
      </c>
      <c r="F437" s="329">
        <v>75000</v>
      </c>
      <c r="G437" s="329">
        <v>75000</v>
      </c>
      <c r="H437" s="329">
        <v>75000</v>
      </c>
      <c r="I437" s="329">
        <v>75000</v>
      </c>
      <c r="J437" s="329">
        <v>75000</v>
      </c>
      <c r="K437" s="329">
        <v>75000</v>
      </c>
      <c r="L437" s="329">
        <v>75000</v>
      </c>
      <c r="M437" s="329">
        <v>75000</v>
      </c>
      <c r="N437" s="331">
        <f t="shared" si="97"/>
        <v>900000</v>
      </c>
    </row>
    <row r="438" spans="1:14">
      <c r="A438" s="228" t="s">
        <v>212</v>
      </c>
      <c r="B438" s="329"/>
      <c r="C438" s="329"/>
      <c r="D438" s="329"/>
      <c r="E438" s="329"/>
      <c r="F438" s="329"/>
      <c r="G438" s="329"/>
      <c r="H438" s="329"/>
      <c r="I438" s="329"/>
      <c r="J438" s="329"/>
      <c r="K438" s="329"/>
      <c r="L438" s="329"/>
      <c r="M438" s="329"/>
      <c r="N438" s="331">
        <f t="shared" si="97"/>
        <v>0</v>
      </c>
    </row>
    <row r="439" spans="1:14">
      <c r="A439" s="367" t="s">
        <v>146</v>
      </c>
      <c r="B439" s="368">
        <f>B435-SUM(B436:B438)</f>
        <v>-9468</v>
      </c>
      <c r="C439" s="368">
        <f t="shared" ref="C439:N439" si="101">C435-SUM(C436:C438)</f>
        <v>-99926</v>
      </c>
      <c r="D439" s="368">
        <f t="shared" si="101"/>
        <v>-74373</v>
      </c>
      <c r="E439" s="368">
        <f t="shared" si="101"/>
        <v>-167845</v>
      </c>
      <c r="F439" s="368">
        <f t="shared" si="101"/>
        <v>-97410</v>
      </c>
      <c r="G439" s="368">
        <f t="shared" si="101"/>
        <v>145750</v>
      </c>
      <c r="H439" s="368">
        <f t="shared" si="101"/>
        <v>-380530</v>
      </c>
      <c r="I439" s="368">
        <f t="shared" si="101"/>
        <v>-79729</v>
      </c>
      <c r="J439" s="368">
        <f t="shared" si="101"/>
        <v>-104250</v>
      </c>
      <c r="K439" s="368">
        <f t="shared" si="101"/>
        <v>-104250</v>
      </c>
      <c r="L439" s="368">
        <f t="shared" si="101"/>
        <v>-104250</v>
      </c>
      <c r="M439" s="368">
        <f t="shared" si="101"/>
        <v>-104250</v>
      </c>
      <c r="N439" s="368">
        <f t="shared" si="101"/>
        <v>-1180531</v>
      </c>
    </row>
    <row r="440" spans="1:14">
      <c r="A440" s="406"/>
      <c r="B440" s="407"/>
      <c r="C440" s="407"/>
      <c r="D440" s="407"/>
      <c r="E440" s="407"/>
      <c r="F440" s="407"/>
      <c r="G440" s="407"/>
      <c r="H440" s="407"/>
      <c r="I440" s="407"/>
      <c r="J440" s="407"/>
      <c r="K440" s="407"/>
      <c r="L440" s="407"/>
      <c r="M440" s="407"/>
      <c r="N440" s="407"/>
    </row>
    <row r="442" spans="1:14">
      <c r="A442" s="525" t="s">
        <v>213</v>
      </c>
      <c r="B442" s="226">
        <v>2405</v>
      </c>
    </row>
  </sheetData>
  <mergeCells count="7">
    <mergeCell ref="A377:N377"/>
    <mergeCell ref="A1:N1"/>
    <mergeCell ref="A58:N58"/>
    <mergeCell ref="A145:N145"/>
    <mergeCell ref="A204:N204"/>
    <mergeCell ref="A281:N281"/>
    <mergeCell ref="A358:N358"/>
  </mergeCells>
  <pageMargins left="0.19685039370078741" right="0" top="0.19685039370078741" bottom="0.19685039370078741" header="0.51181102362204722" footer="0.51181102362204722"/>
  <pageSetup paperSize="9" scale="1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47">
    <tabColor indexed="39"/>
    <pageSetUpPr fitToPage="1"/>
  </sheetPr>
  <dimension ref="A1:R440"/>
  <sheetViews>
    <sheetView topLeftCell="A43" zoomScale="77" zoomScaleNormal="77" workbookViewId="0" xr3:uid="{7BE570AB-09E9-518F-B8F7-3F91B7162CA9}">
      <selection activeCell="B191" sqref="B191"/>
    </sheetView>
  </sheetViews>
  <sheetFormatPr defaultColWidth="9.140625" defaultRowHeight="12.75"/>
  <cols>
    <col min="1" max="1" width="18.7109375" style="226" customWidth="1"/>
    <col min="2" max="2" width="14.28515625" style="226" customWidth="1"/>
    <col min="3" max="3" width="11.7109375" style="226" customWidth="1"/>
    <col min="4" max="4" width="14.140625" style="226" customWidth="1"/>
    <col min="5" max="5" width="11.7109375" style="226" customWidth="1"/>
    <col min="6" max="6" width="14" style="226" customWidth="1"/>
    <col min="7" max="7" width="11.140625" style="226" customWidth="1"/>
    <col min="8" max="8" width="12.28515625" style="226" customWidth="1"/>
    <col min="9" max="9" width="13" style="226" customWidth="1"/>
    <col min="10" max="10" width="12.5703125" style="226" customWidth="1"/>
    <col min="11" max="11" width="12.140625" style="226" customWidth="1"/>
    <col min="12" max="12" width="13" style="226" customWidth="1"/>
    <col min="13" max="13" width="15.42578125" style="226" customWidth="1"/>
    <col min="14" max="14" width="15.5703125" style="226" customWidth="1"/>
    <col min="15" max="15" width="11.42578125" style="226" bestFit="1" customWidth="1"/>
    <col min="16" max="16" width="14.140625" style="226" customWidth="1"/>
    <col min="17" max="17" width="9.85546875" style="226" bestFit="1" customWidth="1"/>
    <col min="18" max="16384" width="9.140625" style="226"/>
  </cols>
  <sheetData>
    <row r="1" spans="1:14" ht="20.25">
      <c r="A1" s="822" t="s">
        <v>229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</row>
    <row r="2" spans="1:14">
      <c r="A2" s="227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</row>
    <row r="3" spans="1:14">
      <c r="A3" s="228"/>
      <c r="B3" s="229" t="s">
        <v>44</v>
      </c>
      <c r="C3" s="229" t="s">
        <v>45</v>
      </c>
      <c r="D3" s="230" t="s">
        <v>46</v>
      </c>
      <c r="E3" s="229" t="s">
        <v>47</v>
      </c>
      <c r="F3" s="229" t="s">
        <v>48</v>
      </c>
      <c r="G3" s="230" t="s">
        <v>49</v>
      </c>
      <c r="H3" s="229" t="s">
        <v>38</v>
      </c>
      <c r="I3" s="229" t="s">
        <v>39</v>
      </c>
      <c r="J3" s="229" t="s">
        <v>40</v>
      </c>
      <c r="K3" s="229" t="s">
        <v>41</v>
      </c>
      <c r="L3" s="229" t="s">
        <v>42</v>
      </c>
      <c r="M3" s="229" t="s">
        <v>43</v>
      </c>
      <c r="N3" s="228" t="s">
        <v>64</v>
      </c>
    </row>
    <row r="4" spans="1:14">
      <c r="A4" s="231" t="s">
        <v>65</v>
      </c>
      <c r="B4" s="620">
        <v>8818.15</v>
      </c>
      <c r="C4" s="620">
        <v>8497.49</v>
      </c>
      <c r="D4" s="620">
        <v>8818.15</v>
      </c>
      <c r="E4" s="620">
        <v>8818.15</v>
      </c>
      <c r="F4" s="620">
        <v>8978.48</v>
      </c>
      <c r="G4" s="620">
        <v>9138.81</v>
      </c>
      <c r="H4" s="620">
        <v>8978.48</v>
      </c>
      <c r="I4" s="620">
        <v>8978.48</v>
      </c>
      <c r="J4" s="620">
        <v>8657.82</v>
      </c>
      <c r="K4" s="620">
        <v>8818.15</v>
      </c>
      <c r="L4" s="620">
        <v>6894</v>
      </c>
      <c r="M4" s="620">
        <v>6894</v>
      </c>
      <c r="N4" s="620">
        <f t="shared" ref="N4:N16" si="0">SUM(B4:M4)</f>
        <v>102290.15999999997</v>
      </c>
    </row>
    <row r="5" spans="1:14">
      <c r="A5" s="231" t="s">
        <v>66</v>
      </c>
      <c r="B5" s="620">
        <v>70.75</v>
      </c>
      <c r="C5" s="620">
        <v>109</v>
      </c>
      <c r="D5" s="620">
        <v>383.75</v>
      </c>
      <c r="E5" s="620">
        <v>382.75</v>
      </c>
      <c r="F5" s="620">
        <v>124.5</v>
      </c>
      <c r="G5" s="621">
        <v>125.5</v>
      </c>
      <c r="H5" s="620">
        <v>89.5</v>
      </c>
      <c r="I5" s="620">
        <v>160</v>
      </c>
      <c r="J5" s="622">
        <v>85.5</v>
      </c>
      <c r="K5" s="620">
        <v>54</v>
      </c>
      <c r="L5" s="620">
        <v>30</v>
      </c>
      <c r="M5" s="620">
        <v>79</v>
      </c>
      <c r="N5" s="620">
        <f t="shared" si="0"/>
        <v>1694.25</v>
      </c>
    </row>
    <row r="6" spans="1:14">
      <c r="A6" s="231" t="s">
        <v>67</v>
      </c>
      <c r="B6" s="620"/>
      <c r="C6" s="620"/>
      <c r="D6" s="620"/>
      <c r="E6" s="620"/>
      <c r="F6" s="620"/>
      <c r="G6" s="621"/>
      <c r="H6" s="620"/>
      <c r="I6" s="620"/>
      <c r="J6" s="620"/>
      <c r="K6" s="620"/>
      <c r="L6" s="620"/>
      <c r="M6" s="620"/>
      <c r="N6" s="620">
        <f t="shared" si="0"/>
        <v>0</v>
      </c>
    </row>
    <row r="7" spans="1:14">
      <c r="A7" s="231" t="s">
        <v>68</v>
      </c>
      <c r="B7" s="620"/>
      <c r="C7" s="620"/>
      <c r="D7" s="620"/>
      <c r="E7" s="620"/>
      <c r="F7" s="620"/>
      <c r="G7" s="621"/>
      <c r="H7" s="620"/>
      <c r="I7" s="620"/>
      <c r="J7" s="620"/>
      <c r="K7" s="620"/>
      <c r="L7" s="620"/>
      <c r="M7" s="620"/>
      <c r="N7" s="620">
        <f t="shared" si="0"/>
        <v>0</v>
      </c>
    </row>
    <row r="8" spans="1:14">
      <c r="A8" s="231" t="s">
        <v>69</v>
      </c>
      <c r="B8" s="620">
        <v>672</v>
      </c>
      <c r="C8" s="620">
        <v>716.5</v>
      </c>
      <c r="D8" s="620">
        <v>897</v>
      </c>
      <c r="E8" s="620">
        <v>785.75</v>
      </c>
      <c r="F8" s="620">
        <v>264</v>
      </c>
      <c r="G8" s="621">
        <v>1120.5</v>
      </c>
      <c r="H8" s="620">
        <v>2371.75</v>
      </c>
      <c r="I8" s="620">
        <v>2278.5</v>
      </c>
      <c r="J8" s="620">
        <v>1083.75</v>
      </c>
      <c r="K8" s="620">
        <v>735.25</v>
      </c>
      <c r="L8" s="620">
        <v>747.25</v>
      </c>
      <c r="M8" s="620">
        <v>670.75</v>
      </c>
      <c r="N8" s="620">
        <f t="shared" si="0"/>
        <v>12343</v>
      </c>
    </row>
    <row r="9" spans="1:14">
      <c r="A9" s="231" t="s">
        <v>70</v>
      </c>
      <c r="B9" s="620">
        <v>77.5</v>
      </c>
      <c r="C9" s="620">
        <v>72</v>
      </c>
      <c r="D9" s="620">
        <v>227.5</v>
      </c>
      <c r="E9" s="620">
        <v>357.5</v>
      </c>
      <c r="F9" s="620">
        <v>12.75</v>
      </c>
      <c r="G9" s="621">
        <v>39.5</v>
      </c>
      <c r="H9" s="620">
        <v>78.25</v>
      </c>
      <c r="I9" s="620">
        <v>30.5</v>
      </c>
      <c r="J9" s="620">
        <v>130.5</v>
      </c>
      <c r="K9" s="620">
        <v>24.75</v>
      </c>
      <c r="L9" s="620">
        <v>69.75</v>
      </c>
      <c r="M9" s="620"/>
      <c r="N9" s="620">
        <f t="shared" si="0"/>
        <v>1120.5</v>
      </c>
    </row>
    <row r="10" spans="1:14">
      <c r="A10" s="231" t="s">
        <v>71</v>
      </c>
      <c r="B10" s="620">
        <v>543.5</v>
      </c>
      <c r="C10" s="620">
        <v>492</v>
      </c>
      <c r="D10" s="620">
        <v>301.25</v>
      </c>
      <c r="E10" s="620">
        <v>447.5</v>
      </c>
      <c r="F10" s="620">
        <v>306</v>
      </c>
      <c r="G10" s="621">
        <v>543</v>
      </c>
      <c r="H10" s="620">
        <v>391</v>
      </c>
      <c r="I10" s="620">
        <v>197.25</v>
      </c>
      <c r="J10" s="620">
        <v>422.75</v>
      </c>
      <c r="K10" s="620">
        <v>263.75</v>
      </c>
      <c r="L10" s="620">
        <v>306</v>
      </c>
      <c r="M10" s="620">
        <v>586.5</v>
      </c>
      <c r="N10" s="620">
        <f t="shared" si="0"/>
        <v>4800.5</v>
      </c>
    </row>
    <row r="11" spans="1:14">
      <c r="A11" s="231" t="s">
        <v>72</v>
      </c>
      <c r="B11" s="620"/>
      <c r="C11" s="620"/>
      <c r="D11" s="620"/>
      <c r="E11" s="620"/>
      <c r="F11" s="620"/>
      <c r="G11" s="621"/>
      <c r="H11" s="620"/>
      <c r="I11" s="620"/>
      <c r="J11" s="620"/>
      <c r="K11" s="620"/>
      <c r="L11" s="620">
        <v>7.5</v>
      </c>
      <c r="M11" s="620"/>
      <c r="N11" s="620">
        <f t="shared" si="0"/>
        <v>7.5</v>
      </c>
    </row>
    <row r="12" spans="1:14">
      <c r="A12" s="231" t="s">
        <v>73</v>
      </c>
      <c r="B12" s="620">
        <v>355.75</v>
      </c>
      <c r="C12" s="620">
        <v>179.5</v>
      </c>
      <c r="D12" s="620">
        <v>328.25</v>
      </c>
      <c r="E12" s="620">
        <v>404.25</v>
      </c>
      <c r="F12" s="620">
        <v>360.75</v>
      </c>
      <c r="G12" s="621">
        <v>296.75</v>
      </c>
      <c r="H12" s="620">
        <v>297</v>
      </c>
      <c r="I12" s="620">
        <v>271.25</v>
      </c>
      <c r="J12" s="620">
        <v>413</v>
      </c>
      <c r="K12" s="620">
        <v>664.5</v>
      </c>
      <c r="L12" s="620">
        <v>225.5</v>
      </c>
      <c r="M12" s="620">
        <v>288.25</v>
      </c>
      <c r="N12" s="620">
        <f t="shared" si="0"/>
        <v>4084.75</v>
      </c>
    </row>
    <row r="13" spans="1:14">
      <c r="A13" s="231" t="s">
        <v>74</v>
      </c>
      <c r="B13" s="620"/>
      <c r="C13" s="620"/>
      <c r="D13" s="620"/>
      <c r="E13" s="620">
        <v>67.25</v>
      </c>
      <c r="F13" s="620">
        <v>41.75</v>
      </c>
      <c r="G13" s="621"/>
      <c r="H13" s="620">
        <v>100.25</v>
      </c>
      <c r="I13" s="620">
        <v>117</v>
      </c>
      <c r="J13" s="620">
        <v>161.5</v>
      </c>
      <c r="K13" s="620">
        <v>161.5</v>
      </c>
      <c r="L13" s="620">
        <v>154.25</v>
      </c>
      <c r="M13" s="620">
        <v>168.75</v>
      </c>
      <c r="N13" s="620">
        <f t="shared" si="0"/>
        <v>972.25</v>
      </c>
    </row>
    <row r="14" spans="1:14">
      <c r="A14" s="231" t="s">
        <v>75</v>
      </c>
      <c r="B14" s="620">
        <v>7</v>
      </c>
      <c r="C14" s="620"/>
      <c r="D14" s="620">
        <v>236.5</v>
      </c>
      <c r="E14" s="620"/>
      <c r="F14" s="620">
        <v>27.75</v>
      </c>
      <c r="G14" s="621">
        <v>7.75</v>
      </c>
      <c r="H14" s="620"/>
      <c r="I14" s="620">
        <v>37</v>
      </c>
      <c r="J14" s="620">
        <v>69</v>
      </c>
      <c r="K14" s="620">
        <v>108</v>
      </c>
      <c r="L14" s="620">
        <v>239</v>
      </c>
      <c r="M14" s="620">
        <v>16</v>
      </c>
      <c r="N14" s="620">
        <f t="shared" si="0"/>
        <v>748</v>
      </c>
    </row>
    <row r="15" spans="1:14" ht="13.5" thickBot="1">
      <c r="A15" s="235" t="s">
        <v>76</v>
      </c>
      <c r="B15" s="623">
        <v>7.75</v>
      </c>
      <c r="C15" s="623"/>
      <c r="D15" s="623"/>
      <c r="E15" s="623"/>
      <c r="F15" s="623">
        <v>25.75</v>
      </c>
      <c r="G15" s="624">
        <v>6</v>
      </c>
      <c r="H15" s="623"/>
      <c r="I15" s="623"/>
      <c r="J15" s="623">
        <v>39.25</v>
      </c>
      <c r="K15" s="623">
        <v>20.5</v>
      </c>
      <c r="L15" s="623">
        <v>36.75</v>
      </c>
      <c r="M15" s="623">
        <v>32.75</v>
      </c>
      <c r="N15" s="625">
        <f t="shared" si="0"/>
        <v>168.75</v>
      </c>
    </row>
    <row r="16" spans="1:14" ht="13.5" thickBot="1">
      <c r="A16" s="239" t="s">
        <v>77</v>
      </c>
      <c r="B16" s="626">
        <f>SUM(B4+B5+B6-B7-B8-B9-B10-B12-B13-B14-B15)</f>
        <v>7225.4</v>
      </c>
      <c r="C16" s="626">
        <f t="shared" ref="C16:M16" si="1">SUM(C4+C5+C6+C7-C8-C9-C10-C12-C13-C14-C15)</f>
        <v>7146.49</v>
      </c>
      <c r="D16" s="626">
        <f t="shared" si="1"/>
        <v>7211.4</v>
      </c>
      <c r="E16" s="626">
        <f t="shared" si="1"/>
        <v>7138.65</v>
      </c>
      <c r="F16" s="626">
        <f t="shared" si="1"/>
        <v>8064.23</v>
      </c>
      <c r="G16" s="626">
        <f t="shared" si="1"/>
        <v>7250.8099999999995</v>
      </c>
      <c r="H16" s="626">
        <f t="shared" si="1"/>
        <v>5829.73</v>
      </c>
      <c r="I16" s="626">
        <f t="shared" si="1"/>
        <v>6206.98</v>
      </c>
      <c r="J16" s="626">
        <f t="shared" si="1"/>
        <v>6423.57</v>
      </c>
      <c r="K16" s="626">
        <f t="shared" si="1"/>
        <v>6893.9</v>
      </c>
      <c r="L16" s="626">
        <f t="shared" si="1"/>
        <v>5145.5</v>
      </c>
      <c r="M16" s="627">
        <f t="shared" si="1"/>
        <v>5210</v>
      </c>
      <c r="N16" s="628">
        <f t="shared" si="0"/>
        <v>79746.659999999989</v>
      </c>
    </row>
    <row r="17" spans="1:14">
      <c r="A17" s="243"/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</row>
    <row r="18" spans="1:14">
      <c r="A18" s="243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629" t="s">
        <v>78</v>
      </c>
    </row>
    <row r="19" spans="1:14">
      <c r="A19" s="231" t="s">
        <v>79</v>
      </c>
      <c r="B19" s="620">
        <f t="shared" ref="B19:M19" si="2">SUM(B5*100/B16)</f>
        <v>0.97918454341628147</v>
      </c>
      <c r="C19" s="620">
        <f t="shared" si="2"/>
        <v>1.5252242709358022</v>
      </c>
      <c r="D19" s="620">
        <f t="shared" si="2"/>
        <v>5.3214355048950273</v>
      </c>
      <c r="E19" s="620">
        <f t="shared" si="2"/>
        <v>5.3616580165717611</v>
      </c>
      <c r="F19" s="620">
        <f t="shared" si="2"/>
        <v>1.5438547759674515</v>
      </c>
      <c r="G19" s="620">
        <f t="shared" si="2"/>
        <v>1.7308411060281541</v>
      </c>
      <c r="H19" s="620">
        <f t="shared" si="2"/>
        <v>1.5352340502904938</v>
      </c>
      <c r="I19" s="620">
        <f t="shared" si="2"/>
        <v>2.5777431214535897</v>
      </c>
      <c r="J19" s="620">
        <f t="shared" si="2"/>
        <v>1.3310355456545193</v>
      </c>
      <c r="K19" s="620">
        <f t="shared" si="2"/>
        <v>0.78330117930344223</v>
      </c>
      <c r="L19" s="620">
        <f t="shared" si="2"/>
        <v>0.58303371878340293</v>
      </c>
      <c r="M19" s="620">
        <f t="shared" si="2"/>
        <v>1.5163147792706333</v>
      </c>
      <c r="N19" s="630">
        <f>SUM(B19:M19)/12</f>
        <v>2.0657383843808801</v>
      </c>
    </row>
    <row r="20" spans="1:14">
      <c r="A20" s="243"/>
      <c r="B20" s="261"/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261"/>
      <c r="N20" s="261"/>
    </row>
    <row r="21" spans="1:14">
      <c r="A21" s="231" t="s">
        <v>80</v>
      </c>
      <c r="B21" s="620">
        <f t="shared" ref="B21:M21" si="3">SUM(B10*100/B16)</f>
        <v>7.5220749024275477</v>
      </c>
      <c r="C21" s="620">
        <f t="shared" si="3"/>
        <v>6.8844985440405013</v>
      </c>
      <c r="D21" s="620">
        <f t="shared" si="3"/>
        <v>4.177413539673295</v>
      </c>
      <c r="E21" s="620">
        <f t="shared" si="3"/>
        <v>6.2686922597409875</v>
      </c>
      <c r="F21" s="620">
        <f t="shared" si="3"/>
        <v>3.7945346300886755</v>
      </c>
      <c r="G21" s="620">
        <f t="shared" si="3"/>
        <v>7.4888184906238067</v>
      </c>
      <c r="H21" s="620">
        <f t="shared" si="3"/>
        <v>6.7070001526657332</v>
      </c>
      <c r="I21" s="620">
        <f t="shared" si="3"/>
        <v>3.1778739419170035</v>
      </c>
      <c r="J21" s="620">
        <f t="shared" si="3"/>
        <v>6.5812313090695671</v>
      </c>
      <c r="K21" s="620">
        <f t="shared" si="3"/>
        <v>3.8258460378015351</v>
      </c>
      <c r="L21" s="620">
        <f t="shared" si="3"/>
        <v>5.9469439315907104</v>
      </c>
      <c r="M21" s="620">
        <f t="shared" si="3"/>
        <v>11.257197696737045</v>
      </c>
      <c r="N21" s="630">
        <f>SUM(B21:M21)/12</f>
        <v>6.1360104530313677</v>
      </c>
    </row>
    <row r="22" spans="1:14" ht="13.5" thickBot="1">
      <c r="A22" s="247" t="s">
        <v>81</v>
      </c>
      <c r="B22" s="625">
        <f t="shared" ref="B22:M22" si="4">SUM(B11*100/B16)</f>
        <v>0</v>
      </c>
      <c r="C22" s="625">
        <f t="shared" si="4"/>
        <v>0</v>
      </c>
      <c r="D22" s="625">
        <f t="shared" si="4"/>
        <v>0</v>
      </c>
      <c r="E22" s="625">
        <f t="shared" si="4"/>
        <v>0</v>
      </c>
      <c r="F22" s="625">
        <f t="shared" si="4"/>
        <v>0</v>
      </c>
      <c r="G22" s="625">
        <f t="shared" si="4"/>
        <v>0</v>
      </c>
      <c r="H22" s="625">
        <f t="shared" si="4"/>
        <v>0</v>
      </c>
      <c r="I22" s="625">
        <f t="shared" si="4"/>
        <v>0</v>
      </c>
      <c r="J22" s="625">
        <f t="shared" si="4"/>
        <v>0</v>
      </c>
      <c r="K22" s="625">
        <f t="shared" si="4"/>
        <v>0</v>
      </c>
      <c r="L22" s="625">
        <f t="shared" si="4"/>
        <v>0.14575842969585073</v>
      </c>
      <c r="M22" s="625">
        <f t="shared" si="4"/>
        <v>0</v>
      </c>
      <c r="N22" s="631">
        <f>SUM(B22:M22)/12</f>
        <v>1.2146535807987561E-2</v>
      </c>
    </row>
    <row r="23" spans="1:14" ht="13.5" thickBot="1">
      <c r="A23" s="249" t="s">
        <v>82</v>
      </c>
      <c r="B23" s="632">
        <f t="shared" ref="B23:M23" si="5">SUM(B21:B21)</f>
        <v>7.5220749024275477</v>
      </c>
      <c r="C23" s="632">
        <f t="shared" si="5"/>
        <v>6.8844985440405013</v>
      </c>
      <c r="D23" s="632">
        <f t="shared" si="5"/>
        <v>4.177413539673295</v>
      </c>
      <c r="E23" s="632">
        <f t="shared" si="5"/>
        <v>6.2686922597409875</v>
      </c>
      <c r="F23" s="632">
        <f t="shared" si="5"/>
        <v>3.7945346300886755</v>
      </c>
      <c r="G23" s="632">
        <f t="shared" si="5"/>
        <v>7.4888184906238067</v>
      </c>
      <c r="H23" s="632">
        <f t="shared" si="5"/>
        <v>6.7070001526657332</v>
      </c>
      <c r="I23" s="632">
        <f t="shared" si="5"/>
        <v>3.1778739419170035</v>
      </c>
      <c r="J23" s="632">
        <f t="shared" si="5"/>
        <v>6.5812313090695671</v>
      </c>
      <c r="K23" s="632">
        <f t="shared" si="5"/>
        <v>3.8258460378015351</v>
      </c>
      <c r="L23" s="632">
        <f t="shared" si="5"/>
        <v>5.9469439315907104</v>
      </c>
      <c r="M23" s="632">
        <f t="shared" si="5"/>
        <v>11.257197696737045</v>
      </c>
      <c r="N23" s="633">
        <f>SUM(N21:N22)</f>
        <v>6.1481569888393555</v>
      </c>
    </row>
    <row r="24" spans="1:14">
      <c r="A24" s="243" t="s">
        <v>83</v>
      </c>
      <c r="B24" s="261"/>
      <c r="C24" s="261"/>
      <c r="D24" s="634">
        <f>SUM(B23:D23)/3</f>
        <v>6.1946623287137816</v>
      </c>
      <c r="E24" s="261"/>
      <c r="F24" s="261"/>
      <c r="G24" s="634">
        <f>SUM(E23,F23,G23)/3</f>
        <v>5.8506817934844904</v>
      </c>
      <c r="H24" s="261"/>
      <c r="I24" s="261"/>
      <c r="J24" s="634">
        <f>SUM(H23,I23,J23)/3</f>
        <v>5.4887018012174345</v>
      </c>
      <c r="K24" s="261"/>
      <c r="L24" s="261"/>
      <c r="M24" s="634">
        <f>SUM(K23,L23,M23)/3</f>
        <v>7.0099958887097635</v>
      </c>
      <c r="N24" s="635">
        <f>SUM(D24:M24)/4</f>
        <v>6.1360104530313677</v>
      </c>
    </row>
    <row r="25" spans="1:14">
      <c r="A25" s="243" t="s">
        <v>84</v>
      </c>
      <c r="B25" s="261"/>
      <c r="C25" s="261"/>
      <c r="D25" s="262"/>
      <c r="E25" s="261"/>
      <c r="F25" s="261"/>
      <c r="G25" s="262"/>
      <c r="H25" s="261"/>
      <c r="I25" s="261"/>
      <c r="J25" s="262"/>
      <c r="K25" s="261"/>
      <c r="L25" s="261"/>
      <c r="M25" s="262"/>
      <c r="N25" s="630">
        <f>SUM(D25:G25,J25,M25)/4</f>
        <v>0</v>
      </c>
    </row>
    <row r="26" spans="1:14">
      <c r="A26" s="243"/>
      <c r="B26" s="261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</row>
    <row r="27" spans="1:14">
      <c r="A27" s="231" t="s">
        <v>85</v>
      </c>
      <c r="B27" s="620">
        <f t="shared" ref="B27:M27" si="6">B14*100/B16</f>
        <v>9.6880449525285808E-2</v>
      </c>
      <c r="C27" s="620">
        <f t="shared" si="6"/>
        <v>0</v>
      </c>
      <c r="D27" s="620">
        <f t="shared" si="6"/>
        <v>3.2795296336356325</v>
      </c>
      <c r="E27" s="620">
        <f t="shared" si="6"/>
        <v>0</v>
      </c>
      <c r="F27" s="620">
        <f t="shared" si="6"/>
        <v>0.3441122091011789</v>
      </c>
      <c r="G27" s="620">
        <f t="shared" si="6"/>
        <v>0.10688461013321271</v>
      </c>
      <c r="H27" s="620">
        <f t="shared" si="6"/>
        <v>0</v>
      </c>
      <c r="I27" s="620">
        <f t="shared" si="6"/>
        <v>0.5961030968361426</v>
      </c>
      <c r="J27" s="620">
        <f t="shared" si="6"/>
        <v>1.074169036843998</v>
      </c>
      <c r="K27" s="620">
        <f t="shared" si="6"/>
        <v>1.5666023586068845</v>
      </c>
      <c r="L27" s="620">
        <f t="shared" si="6"/>
        <v>4.6448352929744434</v>
      </c>
      <c r="M27" s="620">
        <f t="shared" si="6"/>
        <v>0.30710172744721687</v>
      </c>
      <c r="N27" s="630">
        <f>SUM(B27:M27)/12</f>
        <v>1.0013515345919997</v>
      </c>
    </row>
    <row r="28" spans="1:14">
      <c r="A28" s="231" t="s">
        <v>86</v>
      </c>
      <c r="B28" s="620">
        <f t="shared" ref="B28:M28" si="7">B12*100/B16</f>
        <v>4.9236028455172036</v>
      </c>
      <c r="C28" s="620">
        <f t="shared" si="7"/>
        <v>2.5117225379172154</v>
      </c>
      <c r="D28" s="620">
        <f t="shared" si="7"/>
        <v>4.5518207282913163</v>
      </c>
      <c r="E28" s="620">
        <f t="shared" si="7"/>
        <v>5.6628354100565232</v>
      </c>
      <c r="F28" s="620">
        <f t="shared" si="7"/>
        <v>4.4734587183153263</v>
      </c>
      <c r="G28" s="620">
        <f t="shared" si="7"/>
        <v>4.0926462009072093</v>
      </c>
      <c r="H28" s="620">
        <f t="shared" si="7"/>
        <v>5.0945755635338177</v>
      </c>
      <c r="I28" s="620">
        <f t="shared" si="7"/>
        <v>4.3700801355892889</v>
      </c>
      <c r="J28" s="620">
        <f t="shared" si="7"/>
        <v>6.4294465538633503</v>
      </c>
      <c r="K28" s="620">
        <f t="shared" si="7"/>
        <v>9.638956178650691</v>
      </c>
      <c r="L28" s="620">
        <f t="shared" si="7"/>
        <v>4.382470119521912</v>
      </c>
      <c r="M28" s="620">
        <f t="shared" si="7"/>
        <v>5.5326295585412666</v>
      </c>
      <c r="N28" s="630">
        <f>SUM(B28:M28)/12</f>
        <v>5.1386870458920937</v>
      </c>
    </row>
    <row r="29" spans="1:14" ht="13.5" thickBot="1">
      <c r="A29" s="231" t="s">
        <v>87</v>
      </c>
      <c r="B29" s="620">
        <f t="shared" ref="B29:M29" si="8">B8*100/B16</f>
        <v>9.3005231544274363</v>
      </c>
      <c r="C29" s="620">
        <f t="shared" si="8"/>
        <v>10.02590082683947</v>
      </c>
      <c r="D29" s="620">
        <f t="shared" si="8"/>
        <v>12.43863882186538</v>
      </c>
      <c r="E29" s="620">
        <f t="shared" si="8"/>
        <v>11.00698311305359</v>
      </c>
      <c r="F29" s="620">
        <f t="shared" si="8"/>
        <v>3.2737161514490536</v>
      </c>
      <c r="G29" s="620">
        <f t="shared" si="8"/>
        <v>15.453445890872883</v>
      </c>
      <c r="H29" s="620">
        <f t="shared" si="8"/>
        <v>40.68370233269809</v>
      </c>
      <c r="I29" s="620">
        <f t="shared" si="8"/>
        <v>36.708673138950026</v>
      </c>
      <c r="J29" s="620">
        <f t="shared" si="8"/>
        <v>16.871459328691056</v>
      </c>
      <c r="K29" s="620">
        <f t="shared" si="8"/>
        <v>10.665225779312147</v>
      </c>
      <c r="L29" s="620">
        <f t="shared" si="8"/>
        <v>14.522398212029929</v>
      </c>
      <c r="M29" s="620">
        <f t="shared" si="8"/>
        <v>12.874280230326296</v>
      </c>
      <c r="N29" s="630">
        <f>SUM(B29:M29)/12</f>
        <v>16.152078915042946</v>
      </c>
    </row>
    <row r="30" spans="1:14" ht="13.5" thickBot="1">
      <c r="A30" s="255" t="s">
        <v>88</v>
      </c>
      <c r="B30" s="636">
        <f t="shared" ref="B30:M30" si="9">SUM(B4-B16)*100/B16</f>
        <v>22.043762283056996</v>
      </c>
      <c r="C30" s="636">
        <f t="shared" si="9"/>
        <v>18.90438522967219</v>
      </c>
      <c r="D30" s="636">
        <f t="shared" si="9"/>
        <v>22.280694456000223</v>
      </c>
      <c r="E30" s="636">
        <f t="shared" si="9"/>
        <v>23.526857318960868</v>
      </c>
      <c r="F30" s="636">
        <f t="shared" si="9"/>
        <v>11.337102240387489</v>
      </c>
      <c r="G30" s="636">
        <f t="shared" si="9"/>
        <v>26.038470184710398</v>
      </c>
      <c r="H30" s="636">
        <f t="shared" si="9"/>
        <v>54.011935372650193</v>
      </c>
      <c r="I30" s="636">
        <f t="shared" si="9"/>
        <v>44.651344131928894</v>
      </c>
      <c r="J30" s="636">
        <f t="shared" si="9"/>
        <v>34.782060443024676</v>
      </c>
      <c r="K30" s="636">
        <f t="shared" si="9"/>
        <v>27.912357301382382</v>
      </c>
      <c r="L30" s="636">
        <f t="shared" si="9"/>
        <v>33.981148576426001</v>
      </c>
      <c r="M30" s="636">
        <f t="shared" si="9"/>
        <v>32.322456813819578</v>
      </c>
      <c r="N30" s="637">
        <f>SUM(B30:M30)/12</f>
        <v>29.316047862668324</v>
      </c>
    </row>
    <row r="31" spans="1:14">
      <c r="A31" s="243"/>
      <c r="B31" s="244"/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27"/>
    </row>
    <row r="32" spans="1:14">
      <c r="A32" s="258" t="s">
        <v>89</v>
      </c>
      <c r="B32" s="244"/>
      <c r="C32" s="244"/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27"/>
    </row>
    <row r="33" spans="1:14">
      <c r="A33" s="231" t="s">
        <v>90</v>
      </c>
      <c r="B33" s="259">
        <v>55</v>
      </c>
      <c r="C33" s="259">
        <v>53</v>
      </c>
      <c r="D33" s="259">
        <v>55</v>
      </c>
      <c r="E33" s="259">
        <v>55</v>
      </c>
      <c r="F33" s="259">
        <v>56</v>
      </c>
      <c r="G33" s="259">
        <v>57</v>
      </c>
      <c r="H33" s="259">
        <v>56</v>
      </c>
      <c r="I33" s="259">
        <v>56</v>
      </c>
      <c r="J33" s="259">
        <v>54</v>
      </c>
      <c r="K33" s="259">
        <v>55</v>
      </c>
      <c r="L33" s="259">
        <v>43</v>
      </c>
      <c r="M33" s="259">
        <v>43</v>
      </c>
      <c r="N33" s="259">
        <v>43</v>
      </c>
    </row>
    <row r="34" spans="1:14">
      <c r="A34" s="231" t="s">
        <v>91</v>
      </c>
      <c r="B34" s="259"/>
      <c r="C34" s="259"/>
      <c r="D34" s="259"/>
      <c r="E34" s="259"/>
      <c r="F34" s="259"/>
      <c r="G34" s="259"/>
      <c r="H34" s="259"/>
      <c r="I34" s="259"/>
      <c r="J34" s="259"/>
      <c r="K34" s="259"/>
      <c r="L34" s="259"/>
      <c r="M34" s="259"/>
      <c r="N34" s="259"/>
    </row>
    <row r="35" spans="1:14">
      <c r="A35" s="231" t="s">
        <v>92</v>
      </c>
      <c r="B35" s="259"/>
      <c r="C35" s="259"/>
      <c r="D35" s="259"/>
      <c r="E35" s="259"/>
      <c r="F35" s="259"/>
      <c r="G35" s="259"/>
      <c r="H35" s="259"/>
      <c r="I35" s="259"/>
      <c r="J35" s="259"/>
      <c r="K35" s="259"/>
      <c r="L35" s="259"/>
      <c r="M35" s="259"/>
      <c r="N35" s="259"/>
    </row>
    <row r="36" spans="1:14">
      <c r="A36" s="231" t="s">
        <v>89</v>
      </c>
      <c r="B36" s="259"/>
      <c r="C36" s="259"/>
      <c r="D36" s="259"/>
      <c r="E36" s="259"/>
      <c r="F36" s="259"/>
      <c r="G36" s="259"/>
      <c r="H36" s="259"/>
      <c r="I36" s="259"/>
      <c r="J36" s="259"/>
      <c r="K36" s="259"/>
      <c r="L36" s="259"/>
      <c r="M36" s="259"/>
      <c r="N36" s="259"/>
    </row>
    <row r="37" spans="1:14">
      <c r="A37" s="231" t="s">
        <v>93</v>
      </c>
      <c r="B37" s="260">
        <f t="shared" ref="B37:M37" si="10">SUM(B36*100)/B33-100</f>
        <v>-100</v>
      </c>
      <c r="C37" s="260">
        <f t="shared" si="10"/>
        <v>-100</v>
      </c>
      <c r="D37" s="260">
        <f t="shared" si="10"/>
        <v>-100</v>
      </c>
      <c r="E37" s="260">
        <f t="shared" si="10"/>
        <v>-100</v>
      </c>
      <c r="F37" s="260">
        <f t="shared" si="10"/>
        <v>-100</v>
      </c>
      <c r="G37" s="260">
        <f t="shared" si="10"/>
        <v>-100</v>
      </c>
      <c r="H37" s="260">
        <f t="shared" si="10"/>
        <v>-100</v>
      </c>
      <c r="I37" s="260">
        <f t="shared" si="10"/>
        <v>-100</v>
      </c>
      <c r="J37" s="260">
        <f t="shared" si="10"/>
        <v>-100</v>
      </c>
      <c r="K37" s="260">
        <f t="shared" si="10"/>
        <v>-100</v>
      </c>
      <c r="L37" s="260">
        <f t="shared" si="10"/>
        <v>-100</v>
      </c>
      <c r="M37" s="260">
        <f t="shared" si="10"/>
        <v>-100</v>
      </c>
      <c r="N37" s="259"/>
    </row>
    <row r="38" spans="1:14">
      <c r="A38" s="243" t="s">
        <v>94</v>
      </c>
      <c r="B38" s="261"/>
      <c r="C38" s="261"/>
      <c r="D38" s="262">
        <f>SUM(B37:D37/3)</f>
        <v>-33.333333333333336</v>
      </c>
      <c r="E38" s="261"/>
      <c r="F38" s="261"/>
      <c r="G38" s="262">
        <f>SUM(E37:G37)/3</f>
        <v>-100</v>
      </c>
      <c r="H38" s="261"/>
      <c r="I38" s="261"/>
      <c r="J38" s="262">
        <f>SUM(H37:J37)/3</f>
        <v>-100</v>
      </c>
      <c r="K38" s="261"/>
      <c r="L38" s="261"/>
      <c r="M38" s="262">
        <f>SUM(K37:M37)/3</f>
        <v>-100</v>
      </c>
      <c r="N38" s="261"/>
    </row>
    <row r="39" spans="1:14">
      <c r="A39" s="243"/>
      <c r="B39" s="244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27"/>
    </row>
    <row r="40" spans="1:14" ht="16.5" thickBot="1">
      <c r="E40" s="263" t="s">
        <v>95</v>
      </c>
      <c r="F40" s="264"/>
      <c r="G40" s="265">
        <v>2015</v>
      </c>
    </row>
    <row r="41" spans="1:14">
      <c r="A41" s="266" t="s">
        <v>96</v>
      </c>
      <c r="B41" s="267" t="s">
        <v>44</v>
      </c>
      <c r="C41" s="267" t="s">
        <v>45</v>
      </c>
      <c r="D41" s="267" t="s">
        <v>46</v>
      </c>
      <c r="E41" s="267" t="s">
        <v>47</v>
      </c>
      <c r="F41" s="267" t="s">
        <v>48</v>
      </c>
      <c r="G41" s="267" t="s">
        <v>49</v>
      </c>
      <c r="H41" s="267" t="s">
        <v>38</v>
      </c>
      <c r="I41" s="267" t="s">
        <v>39</v>
      </c>
      <c r="J41" s="267" t="s">
        <v>40</v>
      </c>
      <c r="K41" s="267" t="s">
        <v>41</v>
      </c>
      <c r="L41" s="267" t="s">
        <v>42</v>
      </c>
      <c r="M41" s="267" t="s">
        <v>43</v>
      </c>
      <c r="N41" s="268" t="s">
        <v>64</v>
      </c>
    </row>
    <row r="42" spans="1:14">
      <c r="A42" s="269" t="s">
        <v>97</v>
      </c>
      <c r="B42" s="270">
        <v>61</v>
      </c>
      <c r="C42" s="270">
        <v>45</v>
      </c>
      <c r="D42" s="270">
        <v>90</v>
      </c>
      <c r="E42" s="270">
        <v>42</v>
      </c>
      <c r="F42" s="270">
        <v>61</v>
      </c>
      <c r="G42" s="270">
        <v>62</v>
      </c>
      <c r="H42" s="270">
        <v>75</v>
      </c>
      <c r="I42" s="270">
        <v>87</v>
      </c>
      <c r="J42" s="270">
        <v>68</v>
      </c>
      <c r="K42" s="270">
        <v>48</v>
      </c>
      <c r="L42" s="270">
        <v>78</v>
      </c>
      <c r="M42" s="270">
        <v>63</v>
      </c>
      <c r="N42" s="271">
        <f>SUM(B42:M42)</f>
        <v>780</v>
      </c>
    </row>
    <row r="43" spans="1:14">
      <c r="A43" s="269" t="s">
        <v>98</v>
      </c>
      <c r="B43" s="270">
        <v>3410</v>
      </c>
      <c r="C43" s="270">
        <v>2885</v>
      </c>
      <c r="D43" s="270">
        <v>3065</v>
      </c>
      <c r="E43" s="270">
        <v>2477</v>
      </c>
      <c r="F43" s="270">
        <v>1864</v>
      </c>
      <c r="G43" s="270">
        <v>2202</v>
      </c>
      <c r="H43" s="270">
        <v>1987</v>
      </c>
      <c r="I43" s="270">
        <v>2372</v>
      </c>
      <c r="J43" s="270">
        <v>3117</v>
      </c>
      <c r="K43" s="270">
        <v>2784</v>
      </c>
      <c r="L43" s="270">
        <v>4502</v>
      </c>
      <c r="M43" s="270">
        <v>3170</v>
      </c>
      <c r="N43" s="271">
        <f>SUM(B43:M43)</f>
        <v>33835</v>
      </c>
    </row>
    <row r="44" spans="1:14">
      <c r="A44" s="269" t="s">
        <v>99</v>
      </c>
      <c r="B44" s="270">
        <v>296</v>
      </c>
      <c r="C44" s="270">
        <v>254</v>
      </c>
      <c r="D44" s="270">
        <v>682</v>
      </c>
      <c r="E44" s="270">
        <v>1123</v>
      </c>
      <c r="F44" s="270">
        <v>1229</v>
      </c>
      <c r="G44" s="270">
        <v>2467</v>
      </c>
      <c r="H44" s="270">
        <v>2597</v>
      </c>
      <c r="I44" s="270">
        <v>4208</v>
      </c>
      <c r="J44" s="270">
        <v>2318</v>
      </c>
      <c r="K44" s="270">
        <v>726</v>
      </c>
      <c r="L44" s="270">
        <v>815</v>
      </c>
      <c r="M44" s="270">
        <v>478</v>
      </c>
      <c r="N44" s="271">
        <f>SUM(B44:M44)</f>
        <v>17193</v>
      </c>
    </row>
    <row r="45" spans="1:14">
      <c r="A45" s="269" t="s">
        <v>100</v>
      </c>
      <c r="B45" s="270">
        <v>830</v>
      </c>
      <c r="C45" s="270">
        <v>745</v>
      </c>
      <c r="D45" s="270">
        <v>1093</v>
      </c>
      <c r="E45" s="270">
        <v>787</v>
      </c>
      <c r="F45" s="270">
        <v>959</v>
      </c>
      <c r="G45" s="270">
        <v>820</v>
      </c>
      <c r="H45" s="270">
        <v>690</v>
      </c>
      <c r="I45" s="270">
        <v>916</v>
      </c>
      <c r="J45" s="270">
        <v>934</v>
      </c>
      <c r="K45" s="270">
        <v>784</v>
      </c>
      <c r="L45" s="270">
        <v>1189</v>
      </c>
      <c r="M45" s="270">
        <v>1102</v>
      </c>
      <c r="N45" s="271">
        <f>SUM(B45:M45)</f>
        <v>10849</v>
      </c>
    </row>
    <row r="46" spans="1:14" ht="13.5" thickBot="1">
      <c r="A46" s="272" t="s">
        <v>101</v>
      </c>
      <c r="B46" s="273">
        <v>5</v>
      </c>
      <c r="C46" s="273">
        <v>3</v>
      </c>
      <c r="D46" s="273">
        <v>2</v>
      </c>
      <c r="E46" s="273">
        <v>1</v>
      </c>
      <c r="F46" s="273">
        <v>1</v>
      </c>
      <c r="G46" s="273"/>
      <c r="H46" s="273">
        <v>3</v>
      </c>
      <c r="I46" s="273">
        <v>3</v>
      </c>
      <c r="J46" s="273">
        <v>2</v>
      </c>
      <c r="K46" s="273">
        <v>4</v>
      </c>
      <c r="L46" s="273">
        <v>4</v>
      </c>
      <c r="M46" s="273">
        <v>9</v>
      </c>
      <c r="N46" s="483">
        <f>SUM(B46:M46)</f>
        <v>37</v>
      </c>
    </row>
    <row r="47" spans="1:14">
      <c r="N47" s="484">
        <f>SUM(N42:N46)</f>
        <v>62694</v>
      </c>
    </row>
    <row r="48" spans="1:14" ht="16.5" thickBot="1">
      <c r="E48" s="263" t="s">
        <v>102</v>
      </c>
      <c r="F48" s="264"/>
      <c r="G48" s="265">
        <v>2015</v>
      </c>
    </row>
    <row r="49" spans="1:17">
      <c r="A49" s="266" t="s">
        <v>102</v>
      </c>
      <c r="B49" s="267" t="s">
        <v>44</v>
      </c>
      <c r="C49" s="267" t="s">
        <v>45</v>
      </c>
      <c r="D49" s="267" t="s">
        <v>46</v>
      </c>
      <c r="E49" s="267" t="s">
        <v>47</v>
      </c>
      <c r="F49" s="267" t="s">
        <v>48</v>
      </c>
      <c r="G49" s="267" t="s">
        <v>49</v>
      </c>
      <c r="H49" s="267" t="s">
        <v>38</v>
      </c>
      <c r="I49" s="267" t="s">
        <v>39</v>
      </c>
      <c r="J49" s="267" t="s">
        <v>40</v>
      </c>
      <c r="K49" s="267" t="s">
        <v>41</v>
      </c>
      <c r="L49" s="267" t="s">
        <v>42</v>
      </c>
      <c r="M49" s="267" t="s">
        <v>43</v>
      </c>
      <c r="N49" s="268" t="s">
        <v>64</v>
      </c>
    </row>
    <row r="50" spans="1:17">
      <c r="A50" s="485" t="s">
        <v>103</v>
      </c>
      <c r="B50" s="275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6">
        <f t="shared" ref="N50:N55" si="11">SUM(B50:M50)</f>
        <v>0</v>
      </c>
    </row>
    <row r="51" spans="1:17">
      <c r="A51" s="269" t="s">
        <v>104</v>
      </c>
      <c r="B51" s="277">
        <v>22</v>
      </c>
      <c r="C51" s="277">
        <v>26</v>
      </c>
      <c r="D51" s="277">
        <v>15</v>
      </c>
      <c r="E51" s="277">
        <v>16</v>
      </c>
      <c r="F51" s="277">
        <v>22</v>
      </c>
      <c r="G51" s="277">
        <v>18</v>
      </c>
      <c r="H51" s="277">
        <v>9</v>
      </c>
      <c r="I51" s="277">
        <v>35</v>
      </c>
      <c r="J51" s="277">
        <v>26</v>
      </c>
      <c r="K51" s="277">
        <v>25</v>
      </c>
      <c r="L51" s="277">
        <v>38</v>
      </c>
      <c r="M51" s="277">
        <v>38</v>
      </c>
      <c r="N51" s="276">
        <f t="shared" si="11"/>
        <v>290</v>
      </c>
    </row>
    <row r="52" spans="1:17">
      <c r="A52" s="269" t="s">
        <v>105</v>
      </c>
      <c r="B52" s="277">
        <v>54</v>
      </c>
      <c r="C52" s="277">
        <v>30</v>
      </c>
      <c r="D52" s="277">
        <v>51</v>
      </c>
      <c r="E52" s="277">
        <v>54</v>
      </c>
      <c r="F52" s="277">
        <v>70</v>
      </c>
      <c r="G52" s="277">
        <v>76</v>
      </c>
      <c r="H52" s="277">
        <v>70</v>
      </c>
      <c r="I52" s="277">
        <v>91</v>
      </c>
      <c r="J52" s="277">
        <v>91</v>
      </c>
      <c r="K52" s="277">
        <v>63</v>
      </c>
      <c r="L52" s="277">
        <v>63</v>
      </c>
      <c r="M52" s="277">
        <v>66</v>
      </c>
      <c r="N52" s="276">
        <f t="shared" si="11"/>
        <v>779</v>
      </c>
    </row>
    <row r="53" spans="1:17">
      <c r="A53" s="269" t="s">
        <v>106</v>
      </c>
      <c r="B53" s="278">
        <v>6</v>
      </c>
      <c r="C53" s="278">
        <v>1</v>
      </c>
      <c r="D53" s="278"/>
      <c r="E53" s="278">
        <v>2</v>
      </c>
      <c r="F53" s="278">
        <v>7</v>
      </c>
      <c r="G53" s="278">
        <v>12</v>
      </c>
      <c r="H53" s="278">
        <v>6</v>
      </c>
      <c r="I53" s="278">
        <v>4</v>
      </c>
      <c r="J53" s="278">
        <v>5</v>
      </c>
      <c r="K53" s="278">
        <v>2</v>
      </c>
      <c r="L53" s="278">
        <v>9</v>
      </c>
      <c r="M53" s="278">
        <v>5</v>
      </c>
      <c r="N53" s="276">
        <f t="shared" si="11"/>
        <v>59</v>
      </c>
    </row>
    <row r="54" spans="1:17">
      <c r="A54" s="486" t="s">
        <v>11</v>
      </c>
      <c r="B54" s="278">
        <v>56</v>
      </c>
      <c r="C54" s="278">
        <v>34</v>
      </c>
      <c r="D54" s="278">
        <v>35</v>
      </c>
      <c r="E54" s="278">
        <v>26</v>
      </c>
      <c r="F54" s="278">
        <v>33</v>
      </c>
      <c r="G54" s="278">
        <v>8</v>
      </c>
      <c r="H54" s="278"/>
      <c r="I54" s="278">
        <v>4</v>
      </c>
      <c r="J54" s="278">
        <v>30</v>
      </c>
      <c r="K54" s="278">
        <v>26</v>
      </c>
      <c r="L54" s="278">
        <v>33</v>
      </c>
      <c r="M54" s="278">
        <v>25</v>
      </c>
      <c r="N54" s="276">
        <f t="shared" si="11"/>
        <v>310</v>
      </c>
    </row>
    <row r="55" spans="1:17" ht="13.5" thickBot="1">
      <c r="A55" s="292" t="s">
        <v>107</v>
      </c>
      <c r="B55" s="279">
        <v>47</v>
      </c>
      <c r="C55" s="279">
        <v>30</v>
      </c>
      <c r="D55" s="279">
        <v>43</v>
      </c>
      <c r="E55" s="279">
        <v>34</v>
      </c>
      <c r="F55" s="279">
        <v>35</v>
      </c>
      <c r="G55" s="279">
        <v>61</v>
      </c>
      <c r="H55" s="279">
        <v>54</v>
      </c>
      <c r="I55" s="279">
        <v>51</v>
      </c>
      <c r="J55" s="279">
        <v>65</v>
      </c>
      <c r="K55" s="279">
        <v>70</v>
      </c>
      <c r="L55" s="279">
        <v>60</v>
      </c>
      <c r="M55" s="279">
        <v>54</v>
      </c>
      <c r="N55" s="276">
        <f t="shared" si="11"/>
        <v>604</v>
      </c>
    </row>
    <row r="56" spans="1:17" ht="13.5" thickBot="1">
      <c r="A56" s="292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76">
        <f>SUM(N50:N55)</f>
        <v>2042</v>
      </c>
    </row>
    <row r="57" spans="1:17" ht="18">
      <c r="A57" s="823" t="s">
        <v>230</v>
      </c>
      <c r="B57" s="824"/>
      <c r="C57" s="824"/>
      <c r="D57" s="824"/>
      <c r="E57" s="824"/>
      <c r="F57" s="824"/>
      <c r="G57" s="824"/>
      <c r="H57" s="824"/>
      <c r="I57" s="824"/>
      <c r="J57" s="824"/>
      <c r="K57" s="824"/>
      <c r="L57" s="824"/>
      <c r="M57" s="824"/>
      <c r="N57" s="824"/>
    </row>
    <row r="58" spans="1:17" ht="15.75">
      <c r="E58" s="282"/>
      <c r="M58" s="244"/>
      <c r="N58" s="227"/>
    </row>
    <row r="59" spans="1:17">
      <c r="A59" s="527" t="str">
        <f>IF([8]Vagt!A4&lt;&gt;"",[8]Vagt!A4,"")</f>
        <v>Note 1: Fordeling  af intern betalingsordning på Rådhuset</v>
      </c>
      <c r="B59" s="527">
        <f>IF([8]Vagt!B4&lt;&gt;"",[8]Vagt!B4,"")</f>
        <v>0</v>
      </c>
      <c r="C59" s="527">
        <f>IF([8]Vagt!C4&lt;&gt;"",[8]Vagt!C4,"")</f>
        <v>0</v>
      </c>
      <c r="D59" s="527" t="str">
        <f>IF([8]Vagt!D4&lt;&gt;"",[8]Vagt!D4,"")</f>
        <v>Årlig pris</v>
      </c>
      <c r="E59" s="299">
        <f>IF([8]Vagt!E4&lt;&gt;"",[8]Vagt!E4,"")</f>
        <v>0</v>
      </c>
      <c r="F59" s="299">
        <f>IF([8]Vagt!F4&lt;&gt;"",[8]Vagt!F4,"")</f>
        <v>0</v>
      </c>
      <c r="G59" s="299">
        <f>IF([8]Vagt!G4&lt;&gt;"",[8]Vagt!G4,"")</f>
        <v>0</v>
      </c>
      <c r="H59" s="299" t="e">
        <f>IF([8]Vagt!H4&lt;&gt;"",[8]Vagt!H4,"")</f>
        <v>#REF!</v>
      </c>
      <c r="I59" s="299" t="e">
        <f>IF([8]Vagt!I4&lt;&gt;"",[8]Vagt!I4,"")</f>
        <v>#REF!</v>
      </c>
      <c r="J59" s="299" t="e">
        <f>IF([8]Vagt!J4&lt;&gt;"",[8]Vagt!J4,"")</f>
        <v>#REF!</v>
      </c>
      <c r="K59" s="299" t="e">
        <f>IF([8]Vagt!K4&lt;&gt;"",[8]Vagt!K4,"")</f>
        <v>#REF!</v>
      </c>
      <c r="L59" s="299" t="e">
        <f>IF([8]Vagt!L4&lt;&gt;"",[8]Vagt!L4,"")</f>
        <v>#REF!</v>
      </c>
      <c r="M59" s="299" t="e">
        <f>IF([8]Vagt!M4&lt;&gt;"",[8]Vagt!M4,"")</f>
        <v>#REF!</v>
      </c>
      <c r="N59" s="299" t="e">
        <f>IF([8]Vagt!N4&lt;&gt;"",[8]Vagt!N4,"")</f>
        <v>#REF!</v>
      </c>
      <c r="O59" s="226">
        <f>IF([8]Vagt!O4&lt;&gt;"",[8]Vagt!O4,"")</f>
        <v>0</v>
      </c>
      <c r="P59" s="244"/>
      <c r="Q59" s="227"/>
    </row>
    <row r="60" spans="1:17">
      <c r="A60" s="527" t="s">
        <v>231</v>
      </c>
      <c r="B60" s="292" t="str">
        <f>IF([8]Vagt!B5&lt;&gt;"",[8]Vagt!B5,"")</f>
        <v>SOF</v>
      </c>
      <c r="C60" s="292">
        <f>IF([8]Vagt!C5&lt;&gt;"",[8]Vagt!C5,"")</f>
        <v>0</v>
      </c>
      <c r="D60" s="594">
        <f>IF([8]Vagt!D5&lt;&gt;"",[8]Vagt!D5,"")</f>
        <v>5558939</v>
      </c>
      <c r="E60" s="299">
        <v>577124</v>
      </c>
      <c r="F60" s="299">
        <f>IF([8]Vagt!F5&lt;&gt;"",[8]Vagt!F5,"")</f>
        <v>0</v>
      </c>
      <c r="G60" s="299">
        <f>IF([8]Vagt!G5&lt;&gt;"",[8]Vagt!G5,"")</f>
        <v>0</v>
      </c>
      <c r="H60" s="299" t="e">
        <f>IF([8]Vagt!H5&lt;&gt;"",[8]Vagt!H5,"")</f>
        <v>#REF!</v>
      </c>
      <c r="I60" s="299" t="e">
        <f>IF([8]Vagt!I5&lt;&gt;"",[8]Vagt!I5,"")</f>
        <v>#REF!</v>
      </c>
      <c r="J60" s="299" t="e">
        <f>IF([8]Vagt!J5&lt;&gt;"",[8]Vagt!J5,"")</f>
        <v>#REF!</v>
      </c>
      <c r="K60" s="299" t="e">
        <f>IF([8]Vagt!K5&lt;&gt;"",[8]Vagt!K5,"")</f>
        <v>#REF!</v>
      </c>
      <c r="L60" s="299" t="e">
        <f>IF([8]Vagt!L5&lt;&gt;"",[8]Vagt!L5,"")</f>
        <v>#REF!</v>
      </c>
      <c r="M60" s="299" t="e">
        <f>IF([8]Vagt!M5&lt;&gt;"",[8]Vagt!M5,"")</f>
        <v>#REF!</v>
      </c>
      <c r="N60" s="299" t="e">
        <f>IF([8]Vagt!N5&lt;&gt;"",[8]Vagt!N5,"")</f>
        <v>#REF!</v>
      </c>
      <c r="O60" s="226">
        <f>IF([8]Vagt!O5&lt;&gt;"",[8]Vagt!O5,"")</f>
        <v>0</v>
      </c>
      <c r="P60" s="244"/>
      <c r="Q60" s="227"/>
    </row>
    <row r="61" spans="1:17">
      <c r="A61" s="527">
        <f>IF([8]Vagt!A6&lt;&gt;"",[8]Vagt!A6,"")</f>
        <v>0</v>
      </c>
      <c r="B61" s="292">
        <f>IF([8]Vagt!B6&lt;&gt;"",[8]Vagt!B6,"")</f>
        <v>0</v>
      </c>
      <c r="C61" s="292">
        <f>IF([8]Vagt!C6&lt;&gt;"",[8]Vagt!C6,"")</f>
        <v>0</v>
      </c>
      <c r="D61" s="594">
        <f>IF([8]Vagt!D6&lt;&gt;"",[8]Vagt!D6,"")</f>
        <v>0</v>
      </c>
      <c r="E61" s="299">
        <f>IF([8]Vagt!E6&lt;&gt;"",[8]Vagt!E6,"")</f>
        <v>0</v>
      </c>
      <c r="F61" s="299">
        <f>IF([8]Vagt!F6&lt;&gt;"",[8]Vagt!F6,"")</f>
        <v>0</v>
      </c>
      <c r="G61" s="299">
        <f>IF([8]Vagt!G6&lt;&gt;"",[8]Vagt!G6,"")</f>
        <v>0</v>
      </c>
      <c r="H61" s="299" t="e">
        <f>IF([8]Vagt!H6&lt;&gt;"",[8]Vagt!H6,"")</f>
        <v>#REF!</v>
      </c>
      <c r="I61" s="299" t="e">
        <f>IF([8]Vagt!I6&lt;&gt;"",[8]Vagt!I6,"")</f>
        <v>#REF!</v>
      </c>
      <c r="J61" s="299" t="e">
        <f>IF([8]Vagt!J6&lt;&gt;"",[8]Vagt!J6,"")</f>
        <v>#REF!</v>
      </c>
      <c r="K61" s="299" t="e">
        <f>IF([8]Vagt!K6&lt;&gt;"",[8]Vagt!K6,"")</f>
        <v>#REF!</v>
      </c>
      <c r="L61" s="299" t="e">
        <f>IF([8]Vagt!L6&lt;&gt;"",[8]Vagt!L6,"")</f>
        <v>#REF!</v>
      </c>
      <c r="M61" s="299" t="e">
        <f>IF([8]Vagt!M6&lt;&gt;"",[8]Vagt!M6,"")</f>
        <v>#REF!</v>
      </c>
      <c r="N61" s="299" t="e">
        <f>IF([8]Vagt!N6&lt;&gt;"",[8]Vagt!N6,"")</f>
        <v>#REF!</v>
      </c>
      <c r="O61" s="291">
        <f>IF([8]Vagt!O6&lt;&gt;"",[8]Vagt!O6,"")</f>
        <v>0</v>
      </c>
      <c r="P61" s="244"/>
      <c r="Q61" s="227"/>
    </row>
    <row r="62" spans="1:17">
      <c r="A62" s="527" t="e">
        <f>IF([8]Vagt!A7&lt;&gt;"",[8]Vagt!A7,"")</f>
        <v>#REF!</v>
      </c>
      <c r="B62" s="292">
        <f>IF([8]Vagt!B7&lt;&gt;"",[8]Vagt!B7,"")</f>
        <v>0</v>
      </c>
      <c r="C62" s="292">
        <f>IF([8]Vagt!C7&lt;&gt;"",[8]Vagt!C7,"")</f>
        <v>0</v>
      </c>
      <c r="D62" s="594">
        <f>IF([8]Vagt!D7&lt;&gt;"",[8]Vagt!D7,"")</f>
        <v>0</v>
      </c>
      <c r="E62" s="299">
        <f>IF([8]Vagt!E7&lt;&gt;"",[8]Vagt!E7,"")</f>
        <v>0</v>
      </c>
      <c r="F62" s="299">
        <f>IF([8]Vagt!F7&lt;&gt;"",[8]Vagt!F7,"")</f>
        <v>0</v>
      </c>
      <c r="G62" s="299">
        <f>IF([8]Vagt!G7&lt;&gt;"",[8]Vagt!G7,"")</f>
        <v>0</v>
      </c>
      <c r="H62" s="299" t="e">
        <f>IF([8]Vagt!H7&lt;&gt;"",[8]Vagt!H7,"")</f>
        <v>#REF!</v>
      </c>
      <c r="I62" s="299" t="e">
        <f>IF([8]Vagt!I7&lt;&gt;"",[8]Vagt!I7,"")</f>
        <v>#REF!</v>
      </c>
      <c r="J62" s="299" t="e">
        <f>IF([8]Vagt!J7&lt;&gt;"",[8]Vagt!J7,"")</f>
        <v>#REF!</v>
      </c>
      <c r="K62" s="299" t="e">
        <f>IF([8]Vagt!K7&lt;&gt;"",[8]Vagt!K7,"")</f>
        <v>#REF!</v>
      </c>
      <c r="L62" s="299" t="e">
        <f>IF([8]Vagt!L7&lt;&gt;"",[8]Vagt!L7,"")</f>
        <v>#REF!</v>
      </c>
      <c r="M62" s="299" t="e">
        <f>IF([8]Vagt!M7&lt;&gt;"",[8]Vagt!M7,"")</f>
        <v>#REF!</v>
      </c>
      <c r="N62" s="299" t="e">
        <f>IF([8]Vagt!N7&lt;&gt;"",[8]Vagt!N7,"")</f>
        <v>#REF!</v>
      </c>
      <c r="O62" s="298">
        <f>IF([8]Vagt!O7&lt;&gt;"",[8]Vagt!O7,"")</f>
        <v>0</v>
      </c>
      <c r="P62" s="244"/>
      <c r="Q62" s="227"/>
    </row>
    <row r="63" spans="1:17">
      <c r="A63" s="527">
        <f>IF([8]Vagt!A8&lt;&gt;"",[8]Vagt!A8,"")</f>
        <v>0</v>
      </c>
      <c r="B63" s="292">
        <f>IF([8]Vagt!B8&lt;&gt;"",[8]Vagt!B8,"")</f>
        <v>0</v>
      </c>
      <c r="C63" s="292">
        <f>IF([8]Vagt!C8&lt;&gt;"",[8]Vagt!C8,"")</f>
        <v>0</v>
      </c>
      <c r="D63" s="594">
        <f>IF([8]Vagt!D8&lt;&gt;"",[8]Vagt!D8,"")</f>
        <v>0</v>
      </c>
      <c r="E63" s="299" t="e">
        <f>IF([8]Vagt!E8&lt;&gt;"",[8]Vagt!E8,"")</f>
        <v>#REF!</v>
      </c>
      <c r="F63" s="299">
        <f>IF([8]Vagt!F8&lt;&gt;"",[8]Vagt!F8,"")</f>
        <v>0</v>
      </c>
      <c r="G63" s="299">
        <f>IF([8]Vagt!G8&lt;&gt;"",[8]Vagt!G8,"")</f>
        <v>0</v>
      </c>
      <c r="H63" s="299" t="e">
        <f>IF([8]Vagt!H8&lt;&gt;"",[8]Vagt!H8,"")</f>
        <v>#REF!</v>
      </c>
      <c r="I63" s="299" t="e">
        <f>IF([8]Vagt!I8&lt;&gt;"",[8]Vagt!I8,"")</f>
        <v>#REF!</v>
      </c>
      <c r="J63" s="299" t="e">
        <f>IF([8]Vagt!J8&lt;&gt;"",[8]Vagt!J8,"")</f>
        <v>#REF!</v>
      </c>
      <c r="K63" s="299" t="e">
        <f>IF([8]Vagt!K8&lt;&gt;"",[8]Vagt!K8,"")</f>
        <v>#REF!</v>
      </c>
      <c r="L63" s="299" t="e">
        <f>IF([8]Vagt!L8&lt;&gt;"",[8]Vagt!L8,"")</f>
        <v>#REF!</v>
      </c>
      <c r="M63" s="299" t="e">
        <f>IF([8]Vagt!M8&lt;&gt;"",[8]Vagt!M8,"")</f>
        <v>#REF!</v>
      </c>
      <c r="N63" s="299" t="e">
        <f>IF([8]Vagt!N8&lt;&gt;"",[8]Vagt!N8,"")</f>
        <v>#REF!</v>
      </c>
      <c r="O63" s="320">
        <f>IF([8]Vagt!O8&lt;&gt;"",[8]Vagt!O8,"")</f>
        <v>0</v>
      </c>
      <c r="P63" s="244"/>
      <c r="Q63" s="227"/>
    </row>
    <row r="64" spans="1:17">
      <c r="A64" s="527">
        <f>IF([8]Vagt!A9&lt;&gt;"",[8]Vagt!A9,"")</f>
        <v>0</v>
      </c>
      <c r="B64" s="292">
        <f>IF([8]Vagt!B9&lt;&gt;"",[8]Vagt!B9,"")</f>
        <v>0</v>
      </c>
      <c r="C64" s="292">
        <f>IF([8]Vagt!C9&lt;&gt;"",[8]Vagt!C9,"")</f>
        <v>0</v>
      </c>
      <c r="D64" s="594">
        <f>IF([8]Vagt!D9&lt;&gt;"",[8]Vagt!D9,"")</f>
        <v>0</v>
      </c>
      <c r="E64" s="299">
        <f>IF([8]Vagt!E9&lt;&gt;"",[8]Vagt!E9,"")</f>
        <v>0</v>
      </c>
      <c r="F64" s="299">
        <f>IF([8]Vagt!F9&lt;&gt;"",[8]Vagt!F9,"")</f>
        <v>0</v>
      </c>
      <c r="G64" s="299">
        <f>IF([8]Vagt!G9&lt;&gt;"",[8]Vagt!G9,"")</f>
        <v>0</v>
      </c>
      <c r="H64" s="299" t="e">
        <f>IF([8]Vagt!H9&lt;&gt;"",[8]Vagt!H9,"")</f>
        <v>#REF!</v>
      </c>
      <c r="I64" s="299" t="e">
        <f>IF([8]Vagt!I9&lt;&gt;"",[8]Vagt!I9,"")</f>
        <v>#REF!</v>
      </c>
      <c r="J64" s="299" t="e">
        <f>IF([8]Vagt!J9&lt;&gt;"",[8]Vagt!J9,"")</f>
        <v>#REF!</v>
      </c>
      <c r="K64" s="299" t="e">
        <f>IF([8]Vagt!K9&lt;&gt;"",[8]Vagt!K9,"")</f>
        <v>#REF!</v>
      </c>
      <c r="L64" s="299" t="e">
        <f>IF([8]Vagt!L9&lt;&gt;"",[8]Vagt!L9,"")</f>
        <v>#REF!</v>
      </c>
      <c r="M64" s="299" t="e">
        <f>IF([8]Vagt!M9&lt;&gt;"",[8]Vagt!M9,"")</f>
        <v>#REF!</v>
      </c>
      <c r="N64" s="299" t="e">
        <f>IF([8]Vagt!N9&lt;&gt;"",[8]Vagt!N9,"")</f>
        <v>#REF!</v>
      </c>
      <c r="O64" s="320">
        <f>IF([8]Vagt!O9&lt;&gt;"",[8]Vagt!O9,"")</f>
        <v>0</v>
      </c>
      <c r="P64" s="244"/>
      <c r="Q64" s="227"/>
    </row>
    <row r="65" spans="1:17">
      <c r="A65" s="527">
        <f>IF([8]Vagt!A10&lt;&gt;"",[8]Vagt!A10,"")</f>
        <v>0</v>
      </c>
      <c r="B65" s="292">
        <f>IF([8]Vagt!B10&lt;&gt;"",[8]Vagt!B10,"")</f>
        <v>0</v>
      </c>
      <c r="C65" s="292">
        <f>IF([8]Vagt!C10&lt;&gt;"",[8]Vagt!C10,"")</f>
        <v>0</v>
      </c>
      <c r="D65" s="594">
        <f>IF([8]Vagt!D10&lt;&gt;"",[8]Vagt!D10,"")</f>
        <v>0</v>
      </c>
      <c r="E65" s="299">
        <f>IF([8]Vagt!E10&lt;&gt;"",[8]Vagt!E10,"")</f>
        <v>0</v>
      </c>
      <c r="F65" s="299" t="s">
        <v>164</v>
      </c>
      <c r="G65" s="299"/>
      <c r="H65" s="299"/>
      <c r="I65" s="299"/>
      <c r="J65" s="299"/>
      <c r="K65" s="299"/>
      <c r="L65" s="299"/>
      <c r="M65" s="299"/>
      <c r="N65" s="299"/>
      <c r="O65" s="320">
        <f>IF([8]Vagt!O10&lt;&gt;"",[8]Vagt!O10,"")</f>
        <v>0</v>
      </c>
      <c r="P65" s="244"/>
      <c r="Q65" s="227"/>
    </row>
    <row r="66" spans="1:17">
      <c r="A66" s="527">
        <f>IF([8]Vagt!A11&lt;&gt;"",[8]Vagt!A11,"")</f>
        <v>0</v>
      </c>
      <c r="B66" s="292">
        <f>IF([8]Vagt!B11&lt;&gt;"",[8]Vagt!B11,"")</f>
        <v>0</v>
      </c>
      <c r="C66" s="292">
        <f>IF([8]Vagt!C11&lt;&gt;"",[8]Vagt!C11,"")</f>
        <v>0</v>
      </c>
      <c r="D66" s="594">
        <f>IF([8]Vagt!D11&lt;&gt;"",[8]Vagt!D11,"")</f>
        <v>0</v>
      </c>
      <c r="E66" s="299">
        <f>IF([8]Vagt!E11&lt;&gt;"",[8]Vagt!E11,"")</f>
        <v>0</v>
      </c>
      <c r="F66" s="299"/>
      <c r="G66" s="299"/>
      <c r="H66" s="299"/>
      <c r="I66" s="299"/>
      <c r="J66" s="299"/>
      <c r="K66" s="299"/>
      <c r="L66" s="299"/>
      <c r="M66" s="299"/>
      <c r="N66" s="299"/>
      <c r="O66" s="291">
        <f>IF([8]Vagt!O11&lt;&gt;"",[8]Vagt!O11,"")</f>
        <v>0</v>
      </c>
      <c r="P66" s="244"/>
      <c r="Q66" s="227"/>
    </row>
    <row r="67" spans="1:17">
      <c r="A67" s="527">
        <f>IF([8]Vagt!A12&lt;&gt;"",[8]Vagt!A12,"")</f>
        <v>0</v>
      </c>
      <c r="B67" s="292">
        <f>IF([8]Vagt!B12&lt;&gt;"",[8]Vagt!B12,"")</f>
        <v>0</v>
      </c>
      <c r="C67" s="292">
        <f>IF([8]Vagt!C12&lt;&gt;"",[8]Vagt!C12,"")</f>
        <v>0</v>
      </c>
      <c r="D67" s="594">
        <f>IF([8]Vagt!D12&lt;&gt;"",[8]Vagt!D12,"")</f>
        <v>0</v>
      </c>
      <c r="E67" s="299" t="str">
        <f>IF([8]Vagt!E12&lt;&gt;"",[8]Vagt!E12,"")</f>
        <v>Sort = ikke betalt eller genfremsendt</v>
      </c>
      <c r="F67" s="299"/>
      <c r="G67" s="299"/>
      <c r="H67" s="299"/>
      <c r="I67" s="299"/>
      <c r="J67" s="299"/>
      <c r="K67" s="299"/>
      <c r="L67" s="299"/>
      <c r="M67" s="299"/>
      <c r="N67" s="299"/>
      <c r="O67" s="317">
        <f>IF([8]Vagt!O12&lt;&gt;"",[8]Vagt!O12,"")</f>
        <v>0</v>
      </c>
      <c r="P67" s="244"/>
      <c r="Q67" s="227"/>
    </row>
    <row r="68" spans="1:17" ht="13.5" thickBot="1">
      <c r="A68" s="586">
        <f>IF([8]Vagt!A13&lt;&gt;"",[8]Vagt!A13,"")</f>
        <v>0</v>
      </c>
      <c r="B68" s="586">
        <f>IF([8]Vagt!B13&lt;&gt;"",[8]Vagt!B13,"")</f>
        <v>0</v>
      </c>
      <c r="C68" s="586">
        <f>IF([8]Vagt!C13&lt;&gt;"",[8]Vagt!C13,"")</f>
        <v>0</v>
      </c>
      <c r="D68" s="586">
        <f>IF([8]Vagt!D13&lt;&gt;"",[8]Vagt!D13,"")</f>
        <v>0</v>
      </c>
      <c r="E68" s="698" t="str">
        <f>IF([8]Vagt!E13&lt;&gt;"",[8]Vagt!E13,"")</f>
        <v>Grøn = Ikke betalt men genfremsendt</v>
      </c>
      <c r="F68" s="299"/>
      <c r="G68" s="299"/>
      <c r="H68" s="299"/>
      <c r="I68" s="299"/>
      <c r="J68" s="299"/>
      <c r="K68" s="299"/>
      <c r="L68" s="299"/>
      <c r="M68" s="299"/>
      <c r="N68" s="299"/>
      <c r="O68" s="320">
        <f>IF([8]Vagt!O13&lt;&gt;"",[8]Vagt!O13,"")</f>
        <v>0</v>
      </c>
      <c r="P68" s="244"/>
      <c r="Q68" s="227"/>
    </row>
    <row r="69" spans="1:17">
      <c r="A69" s="585" t="str">
        <f>IF([8]Vagt!A14&lt;&gt;"",[8]Vagt!A14,"")</f>
        <v>Årligt</v>
      </c>
      <c r="B69" s="585">
        <f>IF([8]Vagt!B14&lt;&gt;"",[8]Vagt!B14,"")</f>
        <v>0</v>
      </c>
      <c r="C69" s="585">
        <f>IF([8]Vagt!C14&lt;&gt;"",[8]Vagt!C14,"")</f>
        <v>0</v>
      </c>
      <c r="D69" s="596">
        <f>IF([8]Vagt!D14&lt;&gt;"",[8]Vagt!D14,"")</f>
        <v>5558939</v>
      </c>
      <c r="E69" s="584" t="str">
        <f>IF([8]Vagt!E14&lt;&gt;"",[8]Vagt!E14,"")</f>
        <v>Når org. Nr. er røde, er de betalt</v>
      </c>
      <c r="F69" s="299"/>
      <c r="G69" s="299"/>
      <c r="H69" s="299"/>
      <c r="I69" s="299"/>
      <c r="J69" s="299"/>
      <c r="K69" s="299"/>
      <c r="L69" s="299"/>
      <c r="M69" s="299"/>
      <c r="N69" s="299"/>
      <c r="O69" s="320">
        <f>IF([8]Vagt!O14&lt;&gt;"",[8]Vagt!O14,"")</f>
        <v>0</v>
      </c>
      <c r="P69" s="244"/>
      <c r="Q69" s="227"/>
    </row>
    <row r="70" spans="1:17" ht="13.5" thickBot="1">
      <c r="A70" s="681" t="str">
        <f>IF([8]Vagt!A15&lt;&gt;"",[8]Vagt!A15,"")</f>
        <v>Månedligt</v>
      </c>
      <c r="B70" s="681">
        <f>IF([8]Vagt!B15&lt;&gt;"",[8]Vagt!B15,"")</f>
        <v>0</v>
      </c>
      <c r="C70" s="681">
        <f>IF([8]Vagt!C15&lt;&gt;"",[8]Vagt!C15,"")</f>
        <v>0</v>
      </c>
      <c r="D70" s="682">
        <f>IF([8]Vagt!D15&lt;&gt;"",[8]Vagt!D15,"")</f>
        <v>463244.91666666669</v>
      </c>
      <c r="E70" s="584" t="str">
        <f>IF([8]Vagt!E15&lt;&gt;"",[8]Vagt!E15,"")</f>
        <v>Der er en pris fremskrivning/stigning på 2.00 % og ingen stigning på timepris påført 2-3-2015</v>
      </c>
      <c r="F70" s="299"/>
      <c r="G70" s="299"/>
      <c r="H70" s="299"/>
      <c r="I70" s="299"/>
      <c r="J70" s="299"/>
      <c r="K70" s="299"/>
      <c r="L70" s="299"/>
      <c r="M70" s="299"/>
      <c r="N70" s="299"/>
      <c r="O70" s="291">
        <f>IF([8]Vagt!O15&lt;&gt;"",[8]Vagt!O15,"")</f>
        <v>0</v>
      </c>
      <c r="P70" s="244"/>
      <c r="Q70" s="227"/>
    </row>
    <row r="71" spans="1:17">
      <c r="A71" s="527">
        <f>IF([8]Vagt!A16&lt;&gt;"",[8]Vagt!A16,"")</f>
        <v>0</v>
      </c>
      <c r="B71" s="299">
        <f>IF([8]Vagt!B16&lt;&gt;"",[8]Vagt!B16,"")</f>
        <v>0</v>
      </c>
      <c r="C71" s="299">
        <f>IF([8]Vagt!C16&lt;&gt;"",[8]Vagt!C16,"")</f>
        <v>0</v>
      </c>
      <c r="D71" s="299" t="e">
        <f>IF([8]Vagt!D16&lt;&gt;"",[8]Vagt!D16,"")</f>
        <v>#REF!</v>
      </c>
      <c r="E71" s="299" t="e">
        <f>IF([8]Vagt!E16&lt;&gt;"",[8]Vagt!E16,"")</f>
        <v>#REF!</v>
      </c>
      <c r="F71" s="299" t="e">
        <f>IF([8]Vagt!F16&lt;&gt;"",[8]Vagt!F16,"")</f>
        <v>#REF!</v>
      </c>
      <c r="G71" s="299" t="e">
        <f>IF([8]Vagt!G16&lt;&gt;"",[8]Vagt!G16,"")</f>
        <v>#REF!</v>
      </c>
      <c r="H71" s="299" t="e">
        <f>IF([8]Vagt!H16&lt;&gt;"",[8]Vagt!H16,"")</f>
        <v>#REF!</v>
      </c>
      <c r="I71" s="299" t="e">
        <f>IF([8]Vagt!I16&lt;&gt;"",[8]Vagt!I16,"")</f>
        <v>#REF!</v>
      </c>
      <c r="J71" s="299" t="e">
        <f>IF([8]Vagt!J16&lt;&gt;"",[8]Vagt!J16,"")</f>
        <v>#REF!</v>
      </c>
      <c r="K71" s="299" t="e">
        <f>IF([8]Vagt!K16&lt;&gt;"",[8]Vagt!K16,"")</f>
        <v>#REF!</v>
      </c>
      <c r="L71" s="299" t="e">
        <f>IF([8]Vagt!L16&lt;&gt;"",[8]Vagt!L16,"")</f>
        <v>#REF!</v>
      </c>
      <c r="M71" s="299" t="e">
        <f>IF([8]Vagt!M16&lt;&gt;"",[8]Vagt!M16,"")</f>
        <v>#REF!</v>
      </c>
      <c r="N71" s="299" t="e">
        <f>IF([8]Vagt!N16&lt;&gt;"",[8]Vagt!N16,"")</f>
        <v>#REF!</v>
      </c>
      <c r="O71" s="291">
        <f>IF([8]Vagt!O16&lt;&gt;"",[8]Vagt!O16,"")</f>
        <v>0</v>
      </c>
      <c r="P71" s="244"/>
      <c r="Q71" s="227"/>
    </row>
    <row r="72" spans="1:17">
      <c r="A72" s="527">
        <f>IF([8]Vagt!A17&lt;&gt;"",[8]Vagt!A17,"")</f>
        <v>0</v>
      </c>
      <c r="B72" s="554" t="str">
        <f>IF([8]Vagt!B17&lt;&gt;"",[8]Vagt!B17,"")</f>
        <v xml:space="preserve">Note 2  Kontrakt kunder fast rundering </v>
      </c>
      <c r="C72" s="554"/>
      <c r="D72" s="554"/>
      <c r="E72" s="299"/>
      <c r="F72" s="299"/>
      <c r="G72" s="299">
        <f>IF([8]Vagt!G17&lt;&gt;"",[8]Vagt!G17,"")</f>
        <v>0</v>
      </c>
      <c r="H72" s="299">
        <f>IF([8]Vagt!H17&lt;&gt;"",[8]Vagt!H17,"")</f>
        <v>0</v>
      </c>
      <c r="I72" s="299">
        <f>IF([8]Vagt!I17&lt;&gt;"",[8]Vagt!I17,"")</f>
        <v>0</v>
      </c>
      <c r="J72" s="299" t="str">
        <f>IF([8]Vagt!J17&lt;&gt;"",[8]Vagt!J17,"")</f>
        <v xml:space="preserve">Note 2  Kontrakt kunder fast rundering </v>
      </c>
      <c r="K72" s="299"/>
      <c r="L72" s="299"/>
      <c r="M72" s="299"/>
      <c r="N72" s="299"/>
      <c r="O72" s="291">
        <f>IF([8]Vagt!O17&lt;&gt;"",[8]Vagt!O17,"")</f>
        <v>0</v>
      </c>
      <c r="P72" s="244"/>
      <c r="Q72" s="227"/>
    </row>
    <row r="73" spans="1:17">
      <c r="A73" s="292" t="str">
        <f>IF([8]Vagt!A18&lt;&gt;"",[8]Vagt!A18,"")</f>
        <v>Org. Nr.</v>
      </c>
      <c r="B73" s="286" t="str">
        <f>IF([8]Vagt!B18&lt;&gt;"",[8]Vagt!B18,"")</f>
        <v>Kontrakt nr.</v>
      </c>
      <c r="C73" s="286" t="str">
        <f>IF([8]Vagt!C18&lt;&gt;"",[8]Vagt!C18,"")</f>
        <v>Start dato</v>
      </c>
      <c r="D73" s="286" t="str">
        <f>IF([8]Vagt!D18&lt;&gt;"",[8]Vagt!D18,"")</f>
        <v>Adresse</v>
      </c>
      <c r="E73" s="289">
        <f>IF([8]Vagt!E18&lt;&gt;"",[8]Vagt!E18,"")</f>
        <v>0</v>
      </c>
      <c r="F73" s="292" t="str">
        <f>IF([8]Vagt!F18&lt;&gt;"",[8]Vagt!F18,"")</f>
        <v xml:space="preserve">Årlig pris  </v>
      </c>
      <c r="G73" s="226">
        <f>IF([8]Vagt!G18&lt;&gt;"",[8]Vagt!G18,"")</f>
        <v>0</v>
      </c>
      <c r="H73" s="226">
        <f>IF([8]Vagt!H18&lt;&gt;"",[8]Vagt!H18,"")</f>
        <v>0</v>
      </c>
      <c r="I73" s="292" t="str">
        <f>IF([8]Vagt!I18&lt;&gt;"",[8]Vagt!I18,"")</f>
        <v>Org. Nr.</v>
      </c>
      <c r="J73" s="292" t="str">
        <f>IF([8]Vagt!J18&lt;&gt;"",[8]Vagt!J18,"")</f>
        <v>Bygningsnr.</v>
      </c>
      <c r="K73" s="292" t="str">
        <f>IF([8]Vagt!K18&lt;&gt;"",[8]Vagt!K18,"")</f>
        <v>V og I dato</v>
      </c>
      <c r="L73" s="286" t="str">
        <f>IF([8]Vagt!L18&lt;&gt;"",[8]Vagt!L18,"")</f>
        <v>Adresse</v>
      </c>
      <c r="M73" s="289">
        <f>IF([8]Vagt!M18&lt;&gt;"",[8]Vagt!M18,"")</f>
        <v>0</v>
      </c>
      <c r="N73" s="292" t="str">
        <f>IF([8]Vagt!N18&lt;&gt;"",[8]Vagt!N18,"")</f>
        <v xml:space="preserve">Årlig pris  </v>
      </c>
      <c r="O73" s="291">
        <f>IF([8]Vagt!O18&lt;&gt;"",[8]Vagt!O18,"")</f>
        <v>0</v>
      </c>
      <c r="P73" s="244"/>
      <c r="Q73" s="227"/>
    </row>
    <row r="74" spans="1:17">
      <c r="A74" s="696" t="str">
        <f>IF([8]Vagt!A19&lt;&gt;"",[8]Vagt!A19,"")</f>
        <v>64715</v>
      </c>
      <c r="B74" s="286">
        <f>IF([8]Vagt!B19&lt;&gt;"",[8]Vagt!B19,"")</f>
        <v>112</v>
      </c>
      <c r="C74" s="303">
        <f>IF([8]Vagt!C19&lt;&gt;"",[8]Vagt!C19,"")</f>
        <v>37956</v>
      </c>
      <c r="D74" s="286" t="str">
        <f>IF([8]Vagt!D19&lt;&gt;"",[8]Vagt!D19,"")</f>
        <v>Røde Mellemvej 52 (Søren Rasmussen)</v>
      </c>
      <c r="E74" s="289"/>
      <c r="F74" s="594">
        <f>IF([8]Vagt!F19&lt;&gt;"",[8]Vagt!F19,"")</f>
        <v>124604</v>
      </c>
      <c r="H74" s="226">
        <f>IF([8]Vagt!H19&lt;&gt;"",[8]Vagt!H19,"")</f>
        <v>0</v>
      </c>
      <c r="I74" s="455" t="str">
        <f>IF([8]Vagt!I19&lt;&gt;"",[8]Vagt!I19,"")</f>
        <v>Fortsat</v>
      </c>
      <c r="J74" s="510">
        <f>IF([8]Vagt!J19&lt;&gt;"",[8]Vagt!J19,"")</f>
        <v>0</v>
      </c>
      <c r="K74" s="510">
        <f>IF([8]Vagt!K19&lt;&gt;"",[8]Vagt!K19,"")</f>
        <v>0</v>
      </c>
      <c r="L74" s="510">
        <f>IF([8]Vagt!L19&lt;&gt;"",[8]Vagt!L19,"")</f>
        <v>0</v>
      </c>
      <c r="M74" s="487">
        <f>IF([8]Vagt!M19&lt;&gt;"",[8]Vagt!M19,"")</f>
        <v>0</v>
      </c>
      <c r="N74" s="598">
        <f>IF([8]Vagt!N19&lt;&gt;"",[8]Vagt!N19,"")</f>
        <v>2383140</v>
      </c>
      <c r="O74" s="298">
        <f>IF([8]Vagt!O19&lt;&gt;"",[8]Vagt!O19,"")</f>
        <v>0</v>
      </c>
      <c r="P74" s="244"/>
      <c r="Q74" s="227"/>
    </row>
    <row r="75" spans="1:17">
      <c r="A75" s="696" t="str">
        <f>IF([8]Vagt!A20&lt;&gt;"",[8]Vagt!A20,"")</f>
        <v>37567</v>
      </c>
      <c r="B75" s="286">
        <f>IF([8]Vagt!B20&lt;&gt;"",[8]Vagt!B20,"")</f>
        <v>113</v>
      </c>
      <c r="C75" s="303">
        <f>IF([8]Vagt!C20&lt;&gt;"",[8]Vagt!C20,"")</f>
        <v>38012</v>
      </c>
      <c r="D75" s="286" t="str">
        <f>IF([8]Vagt!D20&lt;&gt;"",[8]Vagt!D20,"")</f>
        <v>Studsgårdsgade 55</v>
      </c>
      <c r="E75" s="289"/>
      <c r="F75" s="594">
        <f>IF([8]Vagt!F20&lt;&gt;"",[8]Vagt!F20,"")</f>
        <v>148969</v>
      </c>
      <c r="G75" s="699"/>
      <c r="H75" s="226">
        <f>IF([8]Vagt!H20&lt;&gt;"",[8]Vagt!H20,"")</f>
        <v>0</v>
      </c>
      <c r="I75" s="226">
        <f>IF([8]Vagt!I20&lt;&gt;"",[8]Vagt!I20,"")</f>
        <v>0</v>
      </c>
      <c r="J75" s="226">
        <f>IF([8]Vagt!J20&lt;&gt;"",[8]Vagt!J20,"")</f>
        <v>0</v>
      </c>
      <c r="K75" s="404">
        <f>IF([8]Vagt!K20&lt;&gt;"",[8]Vagt!K20,"")</f>
        <v>0</v>
      </c>
      <c r="L75" s="226">
        <f>IF([8]Vagt!L20&lt;&gt;"",[8]Vagt!L20,"")</f>
        <v>0</v>
      </c>
      <c r="M75" s="226">
        <f>IF([8]Vagt!M20&lt;&gt;"",[8]Vagt!M20,"")</f>
        <v>0</v>
      </c>
      <c r="N75" s="598">
        <f>IF([8]Vagt!N20&lt;&gt;"",[8]Vagt!N20,"")</f>
        <v>0</v>
      </c>
      <c r="O75" s="291">
        <f>IF([8]Vagt!O20&lt;&gt;"",[8]Vagt!O20,"")</f>
        <v>0</v>
      </c>
      <c r="P75" s="244"/>
      <c r="Q75" s="227"/>
    </row>
    <row r="76" spans="1:17">
      <c r="A76" s="696">
        <f>IF([8]Vagt!A21&lt;&gt;"",[8]Vagt!A21,"")</f>
        <v>23140</v>
      </c>
      <c r="B76" s="286">
        <f>IF([8]Vagt!B21&lt;&gt;"",[8]Vagt!B21,"")</f>
        <v>116</v>
      </c>
      <c r="C76" s="303">
        <f>IF([8]Vagt!C21&lt;&gt;"",[8]Vagt!C21,"")</f>
        <v>38412</v>
      </c>
      <c r="D76" s="286" t="str">
        <f>IF([8]Vagt!D21&lt;&gt;"",[8]Vagt!D21,"")</f>
        <v>Amagerbrogade 150</v>
      </c>
      <c r="E76" s="289"/>
      <c r="F76" s="594">
        <f>IF([8]Vagt!F21&lt;&gt;"",[8]Vagt!F21,"")</f>
        <v>64711</v>
      </c>
      <c r="G76" s="699"/>
      <c r="H76" s="226">
        <f>IF([8]Vagt!H21&lt;&gt;"",[8]Vagt!H21,"")</f>
        <v>0</v>
      </c>
      <c r="I76" s="292">
        <f>IF([8]Vagt!I21&lt;&gt;"",[8]Vagt!I21,"")</f>
        <v>62300</v>
      </c>
      <c r="J76" s="292">
        <f>IF([8]Vagt!J21&lt;&gt;"",[8]Vagt!J21,"")</f>
        <v>150</v>
      </c>
      <c r="K76" s="700">
        <f>IF([8]Vagt!K21&lt;&gt;"",[8]Vagt!K21,"")</f>
        <v>38047</v>
      </c>
      <c r="L76" s="292" t="str">
        <f>IF([8]Vagt!L21&lt;&gt;"",[8]Vagt!L21,"")</f>
        <v xml:space="preserve">Brønshøjvej 17 - 19, SOF, BFCK-Brønshøj-Husum-Vanløse               </v>
      </c>
      <c r="M76" s="292"/>
      <c r="N76" s="598">
        <f>IF([8]Vagt!N21&lt;&gt;"",[8]Vagt!N21,"")</f>
        <v>66316</v>
      </c>
      <c r="O76" s="291">
        <f>IF([8]Vagt!O21&lt;&gt;"",[8]Vagt!O21,"")</f>
        <v>568709</v>
      </c>
      <c r="P76" s="244"/>
      <c r="Q76" s="227"/>
    </row>
    <row r="77" spans="1:17">
      <c r="A77" s="696">
        <f>IF([8]Vagt!A22&lt;&gt;"",[8]Vagt!A22,"")</f>
        <v>17190</v>
      </c>
      <c r="B77" s="286">
        <f>IF([8]Vagt!B22&lt;&gt;"",[8]Vagt!B22,"")</f>
        <v>119</v>
      </c>
      <c r="C77" s="303">
        <f>IF([8]Vagt!C22&lt;&gt;"",[8]Vagt!C22,"")</f>
        <v>41395</v>
      </c>
      <c r="D77" s="286" t="str">
        <f>IF([8]Vagt!D22&lt;&gt;"",[8]Vagt!D22,"")</f>
        <v>Hvide Kødby(rundering) (Lene Bordoy)</v>
      </c>
      <c r="E77" s="289"/>
      <c r="F77" s="594">
        <f>IF([8]Vagt!F22&lt;&gt;"",[8]Vagt!F22,"")</f>
        <v>757052</v>
      </c>
      <c r="G77" s="699"/>
      <c r="H77" s="226">
        <f>IF([8]Vagt!H22&lt;&gt;"",[8]Vagt!H22,"")</f>
        <v>0</v>
      </c>
      <c r="I77" s="292">
        <f>IF([8]Vagt!I22&lt;&gt;"",[8]Vagt!I22,"")</f>
        <v>0</v>
      </c>
      <c r="J77" s="292" t="str">
        <f>IF([8]Vagt!J22&lt;&gt;"",[8]Vagt!J22,"")</f>
        <v>747a</v>
      </c>
      <c r="K77" s="700">
        <f>IF([8]Vagt!K22&lt;&gt;"",[8]Vagt!K22,"")</f>
        <v>38048</v>
      </c>
      <c r="L77" s="286" t="str">
        <f>IF([8]Vagt!L22&lt;&gt;"",[8]Vagt!L22,"")</f>
        <v>Brønshøjvej 17 - 19, Sundhed (Løven)(Opsagt,slut 30-6-14)</v>
      </c>
      <c r="M77" s="289"/>
      <c r="N77" s="598">
        <f>IF([8]Vagt!N22&lt;&gt;"",[8]Vagt!N22,"")</f>
        <v>0</v>
      </c>
      <c r="O77" s="291">
        <f>IF([8]Vagt!O22&lt;&gt;"",[8]Vagt!O22,"")</f>
        <v>0</v>
      </c>
      <c r="P77" s="244"/>
      <c r="Q77" s="227"/>
    </row>
    <row r="78" spans="1:17">
      <c r="A78" s="696">
        <f>IF([8]Vagt!A23&lt;&gt;"",[8]Vagt!A23,"")</f>
        <v>62300</v>
      </c>
      <c r="B78" s="286">
        <f>IF([8]Vagt!B23&lt;&gt;"",[8]Vagt!B23,"")</f>
        <v>121</v>
      </c>
      <c r="C78" s="303">
        <f>IF([8]Vagt!C23&lt;&gt;"",[8]Vagt!C23,"")</f>
        <v>39264</v>
      </c>
      <c r="D78" s="286" t="str">
        <f>IF([8]Vagt!D23&lt;&gt;"",[8]Vagt!D23,"")</f>
        <v>Griffenfeldsgade 44</v>
      </c>
      <c r="E78" s="289"/>
      <c r="F78" s="594">
        <f>IF([8]Vagt!F23&lt;&gt;"",[8]Vagt!F23,"")</f>
        <v>105328</v>
      </c>
      <c r="G78" s="699"/>
      <c r="H78" s="226">
        <f>IF([8]Vagt!H23&lt;&gt;"",[8]Vagt!H23,"")</f>
        <v>0</v>
      </c>
      <c r="I78" s="292">
        <f>IF([8]Vagt!I23&lt;&gt;"",[8]Vagt!I23,"")</f>
        <v>38910</v>
      </c>
      <c r="J78" s="292" t="str">
        <f>IF([8]Vagt!J23&lt;&gt;"",[8]Vagt!J23,"")</f>
        <v>747b</v>
      </c>
      <c r="K78" s="700">
        <f>IF([8]Vagt!K23&lt;&gt;"",[8]Vagt!K23,"")</f>
        <v>38047</v>
      </c>
      <c r="L78" s="286" t="str">
        <f>IF([8]Vagt!L23&lt;&gt;"",[8]Vagt!L23,"")</f>
        <v xml:space="preserve">Brønshøjvej 17 - 19, Tandlæge  (Sara Marie Jacobsen)  </v>
      </c>
      <c r="M78" s="289"/>
      <c r="N78" s="598">
        <f>IF([8]Vagt!N23&lt;&gt;"",[8]Vagt!N23,"")</f>
        <v>20995</v>
      </c>
      <c r="O78" s="291">
        <f>IF([8]Vagt!O23&lt;&gt;"",[8]Vagt!O23,"")</f>
        <v>568714</v>
      </c>
      <c r="P78" s="244"/>
      <c r="Q78" s="227"/>
    </row>
    <row r="79" spans="1:17">
      <c r="A79" s="696">
        <f>IF([8]Vagt!A24&lt;&gt;"",[8]Vagt!A24,"")</f>
        <v>38450</v>
      </c>
      <c r="B79" s="286">
        <f>IF([8]Vagt!B24&lt;&gt;"",[8]Vagt!B24,"")</f>
        <v>122</v>
      </c>
      <c r="C79" s="303">
        <f>IF([8]Vagt!C24&lt;&gt;"",[8]Vagt!C24,"")</f>
        <v>39264</v>
      </c>
      <c r="D79" s="286" t="str">
        <f>IF([8]Vagt!D24&lt;&gt;"",[8]Vagt!D24,"")</f>
        <v>Kapelvej 47</v>
      </c>
      <c r="E79" s="289"/>
      <c r="F79" s="594">
        <f>IF([8]Vagt!F24&lt;&gt;"",[8]Vagt!F24,"")</f>
        <v>19848</v>
      </c>
      <c r="G79" s="699"/>
      <c r="H79" s="226">
        <f>IF([8]Vagt!H24&lt;&gt;"",[8]Vagt!H24,"")</f>
        <v>0</v>
      </c>
      <c r="I79" s="292">
        <f>IF([8]Vagt!I24&lt;&gt;"",[8]Vagt!I24,"")</f>
        <v>50000</v>
      </c>
      <c r="J79" s="292">
        <f>IF([8]Vagt!J24&lt;&gt;"",[8]Vagt!J24,"")</f>
        <v>147</v>
      </c>
      <c r="K79" s="700">
        <f>IF([8]Vagt!K24&lt;&gt;"",[8]Vagt!K24,"")</f>
        <v>40664</v>
      </c>
      <c r="L79" s="286" t="str">
        <f>IF([8]Vagt!L24&lt;&gt;"",[8]Vagt!L24,"")</f>
        <v xml:space="preserve">ØK-KBS- Nørre Søgade 35                                         </v>
      </c>
      <c r="M79" s="289"/>
      <c r="N79" s="598">
        <f>IF([8]Vagt!N24&lt;&gt;"",[8]Vagt!N24,"")</f>
        <v>75760</v>
      </c>
      <c r="O79" s="291">
        <f>IF([8]Vagt!O24&lt;&gt;"",[8]Vagt!O24,"")</f>
        <v>569044</v>
      </c>
      <c r="P79" s="244"/>
      <c r="Q79" s="227"/>
    </row>
    <row r="80" spans="1:17">
      <c r="A80" s="696">
        <f>IF([8]Vagt!A25&lt;&gt;"",[8]Vagt!A25,"")</f>
        <v>60126</v>
      </c>
      <c r="B80" s="286">
        <f>IF([8]Vagt!B25&lt;&gt;"",[8]Vagt!B25,"")</f>
        <v>128</v>
      </c>
      <c r="C80" s="303">
        <f>IF([8]Vagt!C25&lt;&gt;"",[8]Vagt!C25,"")</f>
        <v>39815</v>
      </c>
      <c r="D80" s="286" t="str">
        <f>IF([8]Vagt!D25&lt;&gt;"",[8]Vagt!D25,"")</f>
        <v>Bernstorffshus  (Ruth Denise Hansen)</v>
      </c>
      <c r="E80" s="289"/>
      <c r="F80" s="594">
        <f>IF([8]Vagt!F25&lt;&gt;"",[8]Vagt!F25,"")</f>
        <v>188112</v>
      </c>
      <c r="G80" s="699"/>
      <c r="H80" s="226" t="str">
        <f>IF([8]Vagt!H25&lt;&gt;"",[8]Vagt!H25,"")</f>
        <v>Fordeling</v>
      </c>
      <c r="I80" s="703">
        <f>IF([8]Vagt!I25&lt;&gt;"",[8]Vagt!I25,"")</f>
        <v>0</v>
      </c>
      <c r="J80" s="292">
        <f>IF([8]Vagt!J25&lt;&gt;"",[8]Vagt!J25,"")</f>
        <v>0</v>
      </c>
      <c r="K80" s="700">
        <f>IF([8]Vagt!K25&lt;&gt;"",[8]Vagt!K25,"")</f>
        <v>0</v>
      </c>
      <c r="L80" s="286">
        <f>IF([8]Vagt!L25&lt;&gt;"",[8]Vagt!L25,"")</f>
        <v>0</v>
      </c>
      <c r="M80" s="289"/>
      <c r="N80" s="598">
        <f>IF([8]Vagt!N25&lt;&gt;"",[8]Vagt!N25,"")</f>
        <v>0</v>
      </c>
      <c r="O80" s="291" t="e">
        <f>IF([8]Vagt!O25&lt;&gt;"",[8]Vagt!O25,"")</f>
        <v>#REF!</v>
      </c>
      <c r="P80" s="244"/>
      <c r="Q80" s="227"/>
    </row>
    <row r="81" spans="1:17">
      <c r="A81" s="697">
        <f>IF([8]Vagt!A26&lt;&gt;"",[8]Vagt!A26,"")</f>
        <v>69707</v>
      </c>
      <c r="B81" s="286" t="str">
        <f>IF([8]Vagt!B26&lt;&gt;"",[8]Vagt!B26,"")</f>
        <v>Posten 038</v>
      </c>
      <c r="C81" s="303">
        <f>IF([8]Vagt!C26&lt;&gt;"",[8]Vagt!C26,"")</f>
        <v>41275</v>
      </c>
      <c r="D81" s="286" t="str">
        <f>IF([8]Vagt!D26&lt;&gt;"",[8]Vagt!D26,"")</f>
        <v>SOF- Pengeafhentning til E-huset</v>
      </c>
      <c r="E81" s="289"/>
      <c r="F81" s="594">
        <f>IF([8]Vagt!F26&lt;&gt;"",[8]Vagt!F26,"")</f>
        <v>20000</v>
      </c>
      <c r="G81" s="699">
        <f>IF([8]Vagt!G26&lt;&gt;"",[8]Vagt!G26,"")</f>
        <v>568474</v>
      </c>
      <c r="H81" s="589" t="str">
        <f>IF([8]Vagt!H26&lt;&gt;"",[8]Vagt!H26,"")</f>
        <v>43,37 %</v>
      </c>
      <c r="I81" s="590">
        <f>IF([8]Vagt!I26&lt;&gt;"",[8]Vagt!I26,"")</f>
        <v>31404</v>
      </c>
      <c r="J81" s="590">
        <f>IF([8]Vagt!J26&lt;&gt;"",[8]Vagt!J26,"")</f>
        <v>758</v>
      </c>
      <c r="K81" s="701">
        <f>IF([8]Vagt!K26&lt;&gt;"",[8]Vagt!K26,"")</f>
        <v>37500</v>
      </c>
      <c r="L81" s="588" t="str">
        <f>IF([8]Vagt!L26&lt;&gt;"",[8]Vagt!L26,"")</f>
        <v xml:space="preserve">Jemtelandgade 3 KKU                                                </v>
      </c>
      <c r="M81" s="591"/>
      <c r="N81" s="598">
        <f>IF([8]Vagt!N26&lt;&gt;"",[8]Vagt!N26,"")</f>
        <v>47967</v>
      </c>
      <c r="O81" s="317">
        <f>IF([8]Vagt!O26&lt;&gt;"",[8]Vagt!O26,"")</f>
        <v>568719</v>
      </c>
      <c r="P81" s="244"/>
      <c r="Q81" s="227"/>
    </row>
    <row r="82" spans="1:17">
      <c r="A82" s="696">
        <f>IF([8]Vagt!A27&lt;&gt;"",[8]Vagt!A27,"")</f>
        <v>69707</v>
      </c>
      <c r="B82" s="286">
        <f>IF([8]Vagt!B27&lt;&gt;"",[8]Vagt!B27,"")</f>
        <v>130</v>
      </c>
      <c r="C82" s="303">
        <f>IF([8]Vagt!C27&lt;&gt;"",[8]Vagt!C27,"")</f>
        <v>39918</v>
      </c>
      <c r="D82" s="286" t="str">
        <f>IF([8]Vagt!D27&lt;&gt;"",[8]Vagt!D27,"")</f>
        <v>Rådhuspladsen 77, 1+2. sal (Carsten Pauli Hansen)</v>
      </c>
      <c r="E82" s="289"/>
      <c r="F82" s="594">
        <f>IF([8]Vagt!F27&lt;&gt;"",[8]Vagt!F27,"")</f>
        <v>31349</v>
      </c>
      <c r="G82" s="699"/>
      <c r="H82" s="589" t="str">
        <f>IF([8]Vagt!H27&lt;&gt;"",[8]Vagt!H27,"")</f>
        <v>18,16%</v>
      </c>
      <c r="I82" s="590">
        <f>IF([8]Vagt!I27&lt;&gt;"",[8]Vagt!I27,"")</f>
        <v>51302</v>
      </c>
      <c r="J82" s="590">
        <f>IF([8]Vagt!J27&lt;&gt;"",[8]Vagt!J27,"")</f>
        <v>114</v>
      </c>
      <c r="K82" s="701">
        <f>IF([8]Vagt!K27&lt;&gt;"",[8]Vagt!K27,"")</f>
        <v>40544</v>
      </c>
      <c r="L82" s="588" t="str">
        <f>IF([8]Vagt!L27&lt;&gt;"",[8]Vagt!L27,"")</f>
        <v xml:space="preserve">Jemtelandgade 3 Kvarterløft                                        </v>
      </c>
      <c r="M82" s="591"/>
      <c r="N82" s="598">
        <f>IF([8]Vagt!N27&lt;&gt;"",[8]Vagt!N27,"")</f>
        <v>20082</v>
      </c>
      <c r="O82" s="317">
        <f>IF([8]Vagt!O27&lt;&gt;"",[8]Vagt!O27,"")</f>
        <v>568725</v>
      </c>
      <c r="P82" s="244"/>
      <c r="Q82" s="227"/>
    </row>
    <row r="83" spans="1:17">
      <c r="A83" s="697">
        <f>IF([8]Vagt!A28&lt;&gt;"",[8]Vagt!A28,"")</f>
        <v>53106</v>
      </c>
      <c r="B83" s="286">
        <f>IF([8]Vagt!B28&lt;&gt;"",[8]Vagt!B28,"")</f>
        <v>123</v>
      </c>
      <c r="C83" s="303" t="str">
        <f>IF([8]Vagt!C28&lt;&gt;"",[8]Vagt!C28,"")</f>
        <v>01-02.2015</v>
      </c>
      <c r="D83" s="286" t="str">
        <f>IF([8]Vagt!D28&lt;&gt;"",[8]Vagt!D28,"")</f>
        <v>Bibliotek Blågårds Plads 5(57.487 fra 2016)</v>
      </c>
      <c r="E83" s="289"/>
      <c r="F83" s="594">
        <f>IF([8]Vagt!F28&lt;&gt;"",[8]Vagt!F28,"")</f>
        <v>52696</v>
      </c>
      <c r="G83" s="699">
        <f>IF([8]Vagt!G28&lt;&gt;"",[8]Vagt!G28,"")</f>
        <v>653932</v>
      </c>
      <c r="H83" s="589" t="str">
        <f>IF([8]Vagt!H28&lt;&gt;"",[8]Vagt!H28,"")</f>
        <v>38,47 %</v>
      </c>
      <c r="I83" s="590">
        <f>IF([8]Vagt!I28&lt;&gt;"",[8]Vagt!I28,"")</f>
        <v>53204</v>
      </c>
      <c r="J83" s="590">
        <f>IF([8]Vagt!J28&lt;&gt;"",[8]Vagt!J28,"")</f>
        <v>114</v>
      </c>
      <c r="K83" s="701">
        <f>IF([8]Vagt!K28&lt;&gt;"",[8]Vagt!K28,"")</f>
        <v>40544</v>
      </c>
      <c r="L83" s="588" t="str">
        <f>IF([8]Vagt!L28&lt;&gt;"",[8]Vagt!L28,"")</f>
        <v xml:space="preserve">Jemtelandgade 3 bibliotek                                           </v>
      </c>
      <c r="M83" s="591"/>
      <c r="N83" s="598">
        <f>IF([8]Vagt!N28&lt;&gt;"",[8]Vagt!N28,"")</f>
        <v>42693</v>
      </c>
      <c r="O83" s="317">
        <f>IF([8]Vagt!O28&lt;&gt;"",[8]Vagt!O28,"")</f>
        <v>568731</v>
      </c>
      <c r="P83" s="244"/>
      <c r="Q83" s="227"/>
    </row>
    <row r="84" spans="1:17">
      <c r="A84" s="696">
        <f>IF([8]Vagt!A29&lt;&gt;"",[8]Vagt!A29,"")</f>
        <v>17116</v>
      </c>
      <c r="B84" s="286">
        <f>IF([8]Vagt!B29&lt;&gt;"",[8]Vagt!B29,"")</f>
        <v>132</v>
      </c>
      <c r="C84" s="303">
        <f>IF([8]Vagt!C29&lt;&gt;"",[8]Vagt!C29,"")</f>
        <v>40057</v>
      </c>
      <c r="D84" s="286" t="str">
        <f>IF([8]Vagt!D29&lt;&gt;"",[8]Vagt!D29,"")</f>
        <v>Hans Nansens Gård (Kejd)(FM)</v>
      </c>
      <c r="E84" s="289"/>
      <c r="F84" s="594">
        <f>IF([8]Vagt!F29&lt;&gt;"",[8]Vagt!F29,"")</f>
        <v>191611</v>
      </c>
      <c r="G84" s="699"/>
      <c r="H84" s="226">
        <f>IF([8]Vagt!H29&lt;&gt;"",[8]Vagt!H29,"")</f>
        <v>0</v>
      </c>
      <c r="I84" s="292">
        <f>IF([8]Vagt!I29&lt;&gt;"",[8]Vagt!I29,"")</f>
        <v>62300</v>
      </c>
      <c r="J84" s="292">
        <f>IF([8]Vagt!J29&lt;&gt;"",[8]Vagt!J29,"")</f>
        <v>149</v>
      </c>
      <c r="K84" s="700">
        <f>IF([8]Vagt!K29&lt;&gt;"",[8]Vagt!K29,"")</f>
        <v>40544</v>
      </c>
      <c r="L84" s="286" t="str">
        <f>IF([8]Vagt!L29&lt;&gt;"",[8]Vagt!L29,"")</f>
        <v xml:space="preserve">Spaniensgade 25, BFCK-Amager øst                           </v>
      </c>
      <c r="M84" s="289"/>
      <c r="N84" s="594">
        <f>IF([8]Vagt!N29&lt;&gt;"",[8]Vagt!N29,"")</f>
        <v>52662</v>
      </c>
      <c r="O84" s="584">
        <f>IF([8]Vagt!O29&lt;&gt;"",[8]Vagt!O29,"")</f>
        <v>568737</v>
      </c>
      <c r="P84" s="244"/>
      <c r="Q84" s="227"/>
    </row>
    <row r="85" spans="1:17">
      <c r="A85" s="696">
        <f>IF([8]Vagt!A30&lt;&gt;"",[8]Vagt!A30,"")</f>
        <v>0</v>
      </c>
      <c r="B85" s="286">
        <f>IF([8]Vagt!B30&lt;&gt;"",[8]Vagt!B30,"")</f>
        <v>0</v>
      </c>
      <c r="C85" s="303">
        <f>IF([8]Vagt!C30&lt;&gt;"",[8]Vagt!C30,"")</f>
        <v>39448</v>
      </c>
      <c r="D85" s="286" t="str">
        <f>IF([8]Vagt!D30&lt;&gt;"",[8]Vagt!D30,"")</f>
        <v xml:space="preserve">Stormgade 18 (BUF)(fraflyttet 1-3-15-) </v>
      </c>
      <c r="E85" s="289"/>
      <c r="F85" s="594">
        <f>IF([8]Vagt!F30&lt;&gt;"",[8]Vagt!F30,"")</f>
        <v>0</v>
      </c>
      <c r="G85" s="699"/>
      <c r="H85" s="226">
        <f>IF([8]Vagt!H30&lt;&gt;"",[8]Vagt!H30,"")</f>
        <v>0</v>
      </c>
      <c r="I85" s="292">
        <f>IF([8]Vagt!I30&lt;&gt;"",[8]Vagt!I30,"")</f>
        <v>62300</v>
      </c>
      <c r="J85" s="292">
        <f>IF([8]Vagt!J30&lt;&gt;"",[8]Vagt!J30,"")</f>
        <v>148</v>
      </c>
      <c r="K85" s="700">
        <f>IF([8]Vagt!K30&lt;&gt;"",[8]Vagt!K30,"")</f>
        <v>42005</v>
      </c>
      <c r="L85" s="286" t="str">
        <f>IF([8]Vagt!L30&lt;&gt;"",[8]Vagt!L30,"")</f>
        <v xml:space="preserve">Remisevej 19, BFCK-Amager vest/nu Lyongade 25                              </v>
      </c>
      <c r="M85" s="289"/>
      <c r="N85" s="594">
        <f>IF([8]Vagt!N30&lt;&gt;"",[8]Vagt!N30,"")</f>
        <v>59243</v>
      </c>
      <c r="O85" s="584">
        <f>IF([8]Vagt!O30&lt;&gt;"",[8]Vagt!O30,"")</f>
        <v>594306</v>
      </c>
      <c r="P85" s="244"/>
      <c r="Q85" s="227"/>
    </row>
    <row r="86" spans="1:17">
      <c r="A86" s="697">
        <f>IF([8]Vagt!A31&lt;&gt;"",[8]Vagt!A31,"")</f>
        <v>0</v>
      </c>
      <c r="B86" s="286">
        <f>IF([8]Vagt!B31&lt;&gt;"",[8]Vagt!B31,"")</f>
        <v>0</v>
      </c>
      <c r="C86" s="303">
        <f>IF([8]Vagt!C31&lt;&gt;"",[8]Vagt!C31,"")</f>
        <v>0</v>
      </c>
      <c r="D86" s="286">
        <f>IF([8]Vagt!D31&lt;&gt;"",[8]Vagt!D31,"")</f>
        <v>0</v>
      </c>
      <c r="E86" s="289"/>
      <c r="F86" s="594">
        <f>IF([8]Vagt!F31&lt;&gt;"",[8]Vagt!F31,"")</f>
        <v>0</v>
      </c>
      <c r="G86" s="699">
        <f>IF([8]Vagt!G31&lt;&gt;"",[8]Vagt!G31,"")</f>
        <v>0</v>
      </c>
      <c r="H86" s="226">
        <f>IF([8]Vagt!H31&lt;&gt;"",[8]Vagt!H31,"")</f>
        <v>0</v>
      </c>
      <c r="I86" s="292">
        <f>IF([8]Vagt!I31&lt;&gt;"",[8]Vagt!I31,"")</f>
        <v>40530</v>
      </c>
      <c r="J86" s="292">
        <f>IF([8]Vagt!J31&lt;&gt;"",[8]Vagt!J31,"")</f>
        <v>900</v>
      </c>
      <c r="K86" s="700">
        <f>IF([8]Vagt!K31&lt;&gt;"",[8]Vagt!K31,"")</f>
        <v>38353</v>
      </c>
      <c r="L86" s="286" t="str">
        <f>IF([8]Vagt!L31&lt;&gt;"",[8]Vagt!L31,"")</f>
        <v xml:space="preserve">Miljøkontrollen (tlf. eksp.)                                            </v>
      </c>
      <c r="M86" s="289"/>
      <c r="N86" s="594">
        <f>IF([8]Vagt!N31&lt;&gt;"",[8]Vagt!N31,"")</f>
        <v>4400</v>
      </c>
      <c r="O86" s="317">
        <f>IF([8]Vagt!O31&lt;&gt;"",[8]Vagt!O31,"")</f>
        <v>568740</v>
      </c>
      <c r="P86" s="244"/>
      <c r="Q86" s="227"/>
    </row>
    <row r="87" spans="1:17">
      <c r="A87" s="696">
        <f>IF([8]Vagt!A32&lt;&gt;"",[8]Vagt!A32,"")</f>
        <v>62200</v>
      </c>
      <c r="B87" s="286">
        <f>IF([8]Vagt!B32&lt;&gt;"",[8]Vagt!B32,"")</f>
        <v>127</v>
      </c>
      <c r="C87" s="303">
        <f>IF([8]Vagt!C32&lt;&gt;"",[8]Vagt!C32,"")</f>
        <v>41275</v>
      </c>
      <c r="D87" s="286" t="str">
        <f>IF([8]Vagt!D32&lt;&gt;"",[8]Vagt!D32,"")</f>
        <v>Matthæusgade 1</v>
      </c>
      <c r="E87" s="289"/>
      <c r="F87" s="594">
        <f>IF([8]Vagt!F32&lt;&gt;"",[8]Vagt!F32,"")</f>
        <v>89099</v>
      </c>
      <c r="G87" s="699"/>
      <c r="H87" s="226">
        <f>IF([8]Vagt!H32&lt;&gt;"",[8]Vagt!H32,"")</f>
        <v>0</v>
      </c>
      <c r="I87" s="292">
        <f>IF([8]Vagt!I32&lt;&gt;"",[8]Vagt!I32,"")</f>
        <v>38400</v>
      </c>
      <c r="J87" s="292">
        <f>IF([8]Vagt!J32&lt;&gt;"",[8]Vagt!J32,"")</f>
        <v>138</v>
      </c>
      <c r="K87" s="704">
        <f>IF([8]Vagt!K32&lt;&gt;"",[8]Vagt!K32,"")</f>
        <v>41640</v>
      </c>
      <c r="L87" s="286" t="str">
        <f>IF([8]Vagt!L32&lt;&gt;"",[8]Vagt!L32,"")</f>
        <v xml:space="preserve">BUF-Linde Alle 40-44                                                  </v>
      </c>
      <c r="M87" s="289"/>
      <c r="N87" s="594">
        <f>IF([8]Vagt!N32&lt;&gt;"",[8]Vagt!N32,"")</f>
        <v>41055</v>
      </c>
      <c r="O87" s="317">
        <f>IF([8]Vagt!O32&lt;&gt;"",[8]Vagt!O32,"")</f>
        <v>568747</v>
      </c>
      <c r="P87" s="244"/>
      <c r="Q87" s="227"/>
    </row>
    <row r="88" spans="1:17">
      <c r="A88" s="696">
        <f>IF([8]Vagt!A33&lt;&gt;"",[8]Vagt!A33,"")</f>
        <v>39610</v>
      </c>
      <c r="B88" s="286">
        <f>IF([8]Vagt!B33&lt;&gt;"",[8]Vagt!B33,"")</f>
        <v>153</v>
      </c>
      <c r="C88" s="303">
        <f>IF([8]Vagt!C33&lt;&gt;"",[8]Vagt!C33,"")</f>
        <v>41275</v>
      </c>
      <c r="D88" s="286" t="str">
        <f>IF([8]Vagt!D33&lt;&gt;"",[8]Vagt!D33,"")</f>
        <v>BUF Skolesupport</v>
      </c>
      <c r="E88" s="289"/>
      <c r="F88" s="594">
        <f>IF([8]Vagt!F33&lt;&gt;"",[8]Vagt!F33,"")</f>
        <v>165321</v>
      </c>
      <c r="G88" s="699"/>
      <c r="H88" s="226">
        <f>IF([8]Vagt!H33&lt;&gt;"",[8]Vagt!H33,"")</f>
        <v>0</v>
      </c>
      <c r="I88" s="292">
        <f>IF([8]Vagt!I33&lt;&gt;"",[8]Vagt!I33,"")</f>
        <v>51308</v>
      </c>
      <c r="J88" s="292">
        <f>IF([8]Vagt!J33&lt;&gt;"",[8]Vagt!J33,"")</f>
        <v>158</v>
      </c>
      <c r="K88" s="704">
        <f>IF([8]Vagt!K33&lt;&gt;"",[8]Vagt!K33,"")</f>
        <v>41640</v>
      </c>
      <c r="L88" s="286" t="str">
        <f>IF([8]Vagt!L33&lt;&gt;"",[8]Vagt!L33,"")</f>
        <v xml:space="preserve">Lyrskovgade 4                           </v>
      </c>
      <c r="M88" s="289"/>
      <c r="N88" s="594">
        <f>IF([8]Vagt!N33&lt;&gt;"",[8]Vagt!N33,"")</f>
        <v>86231</v>
      </c>
      <c r="O88" s="317">
        <f>IF([8]Vagt!O33&lt;&gt;"",[8]Vagt!O33,"")</f>
        <v>568754</v>
      </c>
      <c r="P88" s="244"/>
      <c r="Q88" s="227"/>
    </row>
    <row r="89" spans="1:17">
      <c r="A89" s="696">
        <f>IF([8]Vagt!A34&lt;&gt;"",[8]Vagt!A34,"")</f>
        <v>53201</v>
      </c>
      <c r="B89" s="286">
        <f>IF([8]Vagt!B34&lt;&gt;"",[8]Vagt!B34,"")</f>
        <v>154</v>
      </c>
      <c r="C89" s="568">
        <f>IF([8]Vagt!C34&lt;&gt;"",[8]Vagt!C34,"")</f>
        <v>41640</v>
      </c>
      <c r="D89" s="286" t="str">
        <f>IF([8]Vagt!D34&lt;&gt;"",[8]Vagt!D34,"")</f>
        <v>KFF Biblioteket Njalsgade (Jan Henriksen)</v>
      </c>
      <c r="E89" s="289"/>
      <c r="F89" s="594">
        <f>IF([8]Vagt!F34&lt;&gt;"",[8]Vagt!F34,"")</f>
        <v>39599</v>
      </c>
      <c r="G89" s="699"/>
      <c r="H89" s="226">
        <f>IF([8]Vagt!H34&lt;&gt;"",[8]Vagt!H34,"")</f>
        <v>0</v>
      </c>
      <c r="I89" s="292">
        <f>IF([8]Vagt!I34&lt;&gt;"",[8]Vagt!I34,"")</f>
        <v>55020</v>
      </c>
      <c r="J89" s="292">
        <f>IF([8]Vagt!J34&lt;&gt;"",[8]Vagt!J34,"")</f>
        <v>115</v>
      </c>
      <c r="K89" s="700">
        <f>IF([8]Vagt!K34&lt;&gt;"",[8]Vagt!K34,"")</f>
        <v>41456</v>
      </c>
      <c r="L89" s="286" t="str">
        <f>IF([8]Vagt!L34&lt;&gt;"",[8]Vagt!L34,"")</f>
        <v xml:space="preserve">ØK-Borgerservice, Gyldenløvesgade 11                        </v>
      </c>
      <c r="M89" s="289"/>
      <c r="N89" s="594">
        <f>IF([8]Vagt!N34&lt;&gt;"",[8]Vagt!N34,"")</f>
        <v>29698</v>
      </c>
      <c r="O89" s="320">
        <f>IF([8]Vagt!O34&lt;&gt;"",[8]Vagt!O34,"")</f>
        <v>568758</v>
      </c>
      <c r="P89" s="244"/>
      <c r="Q89" s="227"/>
    </row>
    <row r="90" spans="1:17">
      <c r="A90" s="696">
        <f>IF([8]Vagt!A35&lt;&gt;"",[8]Vagt!A35,"")</f>
        <v>28100</v>
      </c>
      <c r="B90" s="286">
        <f>IF([8]Vagt!B35&lt;&gt;"",[8]Vagt!B35,"")</f>
        <v>728</v>
      </c>
      <c r="C90" s="303">
        <f>IF([8]Vagt!C35&lt;&gt;"",[8]Vagt!C35,"")</f>
        <v>38846</v>
      </c>
      <c r="D90" s="286" t="str">
        <f>IF([8]Vagt!D35&lt;&gt;"",[8]Vagt!D35,"")</f>
        <v>Enghavevej  (Frits Nielsen)</v>
      </c>
      <c r="E90" s="289"/>
      <c r="F90" s="594">
        <f>IF([8]Vagt!F35&lt;&gt;"",[8]Vagt!F35,"")</f>
        <v>77615</v>
      </c>
      <c r="G90" s="699"/>
      <c r="H90" s="226">
        <f>IF([8]Vagt!H35&lt;&gt;"",[8]Vagt!H35,"")</f>
        <v>0</v>
      </c>
      <c r="I90" s="292">
        <f>IF([8]Vagt!I35&lt;&gt;"",[8]Vagt!I35,"")</f>
        <v>17116</v>
      </c>
      <c r="J90" s="292">
        <f>IF([8]Vagt!J35&lt;&gt;"",[8]Vagt!J35,"")</f>
        <v>110</v>
      </c>
      <c r="K90" s="700">
        <f>IF([8]Vagt!K35&lt;&gt;"",[8]Vagt!K35,"")</f>
        <v>41456</v>
      </c>
      <c r="L90" s="286" t="str">
        <f>IF([8]Vagt!L35&lt;&gt;"",[8]Vagt!L35,"")</f>
        <v xml:space="preserve">Konernservice- Fuglebakken, Borups Alle 177               </v>
      </c>
      <c r="M90" s="289"/>
      <c r="N90" s="594">
        <f>IF([8]Vagt!N35&lt;&gt;"",[8]Vagt!N35,"")</f>
        <v>178198</v>
      </c>
      <c r="O90" s="320">
        <f>IF([8]Vagt!O35&lt;&gt;"",[8]Vagt!O35,"")</f>
        <v>568762</v>
      </c>
      <c r="P90" s="244"/>
      <c r="Q90" s="227"/>
    </row>
    <row r="91" spans="1:17">
      <c r="A91" s="696">
        <f>IF([8]Vagt!A36&lt;&gt;"",[8]Vagt!A36,"")</f>
        <v>82500</v>
      </c>
      <c r="B91" s="286">
        <f>IF([8]Vagt!B36&lt;&gt;"",[8]Vagt!B36,"")</f>
        <v>151</v>
      </c>
      <c r="C91" s="303">
        <f>IF([8]Vagt!C36&lt;&gt;"",[8]Vagt!C36,"")</f>
        <v>40603</v>
      </c>
      <c r="D91" s="286" t="str">
        <f>IF([8]Vagt!D36&lt;&gt;"",[8]Vagt!D36,"")</f>
        <v>BIF-Baldersgade 24  (Thomas D. Waarkjær)</v>
      </c>
      <c r="E91" s="289"/>
      <c r="F91" s="594">
        <f>IF([8]Vagt!F36&lt;&gt;"",[8]Vagt!F36,"")</f>
        <v>99820</v>
      </c>
      <c r="G91" s="699"/>
      <c r="H91" s="226">
        <f>IF([8]Vagt!H36&lt;&gt;"",[8]Vagt!H36,"")</f>
        <v>0</v>
      </c>
      <c r="I91" s="292">
        <f>IF([8]Vagt!I36&lt;&gt;"",[8]Vagt!I36,"")</f>
        <v>20100</v>
      </c>
      <c r="J91" s="703" t="str">
        <f>IF([8]Vagt!J36&lt;&gt;"",[8]Vagt!J36,"")</f>
        <v>Rådhuset</v>
      </c>
      <c r="K91" s="700">
        <f>IF([8]Vagt!K36&lt;&gt;"",[8]Vagt!K36,"")</f>
        <v>40179</v>
      </c>
      <c r="L91" s="286" t="str">
        <f>IF([8]Vagt!L36&lt;&gt;"",[8]Vagt!L36,"")</f>
        <v xml:space="preserve">SUF                  (Tanja K. Lund)                                  </v>
      </c>
      <c r="M91" s="289"/>
      <c r="N91" s="594">
        <f>IF([8]Vagt!N36&lt;&gt;"",[8]Vagt!N36,"")</f>
        <v>593534</v>
      </c>
      <c r="O91" s="320">
        <f>IF([8]Vagt!O36&lt;&gt;"",[8]Vagt!O36,"")</f>
        <v>568792</v>
      </c>
      <c r="P91" s="244"/>
      <c r="Q91" s="227"/>
    </row>
    <row r="92" spans="1:17">
      <c r="A92" s="696">
        <f>IF([8]Vagt!A37&lt;&gt;"",[8]Vagt!A37,"")</f>
        <v>82505</v>
      </c>
      <c r="B92" s="286">
        <f>IF([8]Vagt!B37&lt;&gt;"",[8]Vagt!B37,"")</f>
        <v>152</v>
      </c>
      <c r="C92" s="303">
        <f>IF([8]Vagt!C37&lt;&gt;"",[8]Vagt!C37,"")</f>
        <v>40603</v>
      </c>
      <c r="D92" s="286" t="str">
        <f>IF([8]Vagt!D37&lt;&gt;"",[8]Vagt!D37,"")</f>
        <v>BIF-Baldersgade 3B, 1. + 3. sal</v>
      </c>
      <c r="E92" s="289"/>
      <c r="F92" s="594">
        <f>IF([8]Vagt!F37&lt;&gt;"",[8]Vagt!F37,"")</f>
        <v>43828</v>
      </c>
      <c r="G92" s="699"/>
      <c r="H92" s="226">
        <f>IF([8]Vagt!H37&lt;&gt;"",[8]Vagt!H37,"")</f>
        <v>0</v>
      </c>
      <c r="I92" s="292">
        <f>IF([8]Vagt!I37&lt;&gt;"",[8]Vagt!I37,"")</f>
        <v>80005</v>
      </c>
      <c r="J92" s="703" t="str">
        <f>IF([8]Vagt!J37&lt;&gt;"",[8]Vagt!J37,"")</f>
        <v>Rådhuset</v>
      </c>
      <c r="K92" s="700">
        <f>IF([8]Vagt!K37&lt;&gt;"",[8]Vagt!K37,"")</f>
        <v>40179</v>
      </c>
      <c r="L92" s="286" t="str">
        <f>IF([8]Vagt!L37&lt;&gt;"",[8]Vagt!L37,"")</f>
        <v xml:space="preserve">BIF                                                                          </v>
      </c>
      <c r="M92" s="289"/>
      <c r="N92" s="594">
        <f>IF([8]Vagt!N37&lt;&gt;"",[8]Vagt!N37,"")</f>
        <v>531920</v>
      </c>
      <c r="O92" s="291">
        <f>IF([8]Vagt!O37&lt;&gt;"",[8]Vagt!O37,"")</f>
        <v>568799</v>
      </c>
      <c r="P92" s="244"/>
      <c r="Q92" s="227"/>
    </row>
    <row r="93" spans="1:17">
      <c r="A93" s="696">
        <f>IF([8]Vagt!A38&lt;&gt;"",[8]Vagt!A38,"")</f>
        <v>62400</v>
      </c>
      <c r="B93" s="286">
        <f>IF([8]Vagt!B38&lt;&gt;"",[8]Vagt!B38,"")</f>
        <v>141</v>
      </c>
      <c r="C93" s="568">
        <f>IF([8]Vagt!C38&lt;&gt;"",[8]Vagt!C38,"")</f>
        <v>41640</v>
      </c>
      <c r="D93" s="286" t="str">
        <f>IF([8]Vagt!D38&lt;&gt;"",[8]Vagt!D38,"")</f>
        <v>SOF-Nørre Voldgade 15, 1. sal (Avlastenok)</v>
      </c>
      <c r="E93" s="289"/>
      <c r="F93" s="594">
        <f>IF([8]Vagt!F38&lt;&gt;"",[8]Vagt!F38,"")</f>
        <v>24480</v>
      </c>
      <c r="G93" s="699"/>
      <c r="H93" s="226">
        <f>IF([8]Vagt!H38&lt;&gt;"",[8]Vagt!H38,"")</f>
        <v>0</v>
      </c>
      <c r="I93" s="292">
        <f>IF([8]Vagt!I38&lt;&gt;"",[8]Vagt!I38,"")</f>
        <v>39630</v>
      </c>
      <c r="J93" s="703" t="str">
        <f>IF([8]Vagt!J38&lt;&gt;"",[8]Vagt!J38,"")</f>
        <v>Rådhuset</v>
      </c>
      <c r="K93" s="700">
        <f>IF([8]Vagt!K38&lt;&gt;"",[8]Vagt!K38,"")</f>
        <v>40179</v>
      </c>
      <c r="L93" s="286" t="str">
        <f>IF([8]Vagt!L38&lt;&gt;"",[8]Vagt!L38,"")</f>
        <v xml:space="preserve">BUF                                                                          </v>
      </c>
      <c r="M93" s="289"/>
      <c r="N93" s="594">
        <f>IF([8]Vagt!N38&lt;&gt;"",[8]Vagt!N38,"")</f>
        <v>608354</v>
      </c>
      <c r="O93" s="327">
        <f>IF([8]Vagt!O38&lt;&gt;"",[8]Vagt!O38,"")</f>
        <v>568811</v>
      </c>
      <c r="P93" s="244"/>
      <c r="Q93" s="227"/>
    </row>
    <row r="94" spans="1:17">
      <c r="A94" s="696">
        <f>IF([8]Vagt!A39&lt;&gt;"",[8]Vagt!A39,"")</f>
        <v>37100</v>
      </c>
      <c r="B94" s="286">
        <f>IF([8]Vagt!B39&lt;&gt;"",[8]Vagt!B39,"")</f>
        <v>142</v>
      </c>
      <c r="C94" s="568">
        <f>IF([8]Vagt!C39&lt;&gt;"",[8]Vagt!C39,"")</f>
        <v>41640</v>
      </c>
      <c r="D94" s="286" t="str">
        <f>IF([8]Vagt!D39&lt;&gt;"",[8]Vagt!D39,"")</f>
        <v>BUF-Nørre Voldgade 15, 2.sal (Thuesen)</v>
      </c>
      <c r="E94" s="289"/>
      <c r="F94" s="594">
        <f>IF([8]Vagt!F39&lt;&gt;"",[8]Vagt!F39,"")</f>
        <v>24480</v>
      </c>
      <c r="G94" s="699"/>
      <c r="H94" s="226">
        <f>IF([8]Vagt!H39&lt;&gt;"",[8]Vagt!H39,"")</f>
        <v>0</v>
      </c>
      <c r="I94" s="292">
        <f>IF([8]Vagt!I39&lt;&gt;"",[8]Vagt!I39,"")</f>
        <v>49700</v>
      </c>
      <c r="J94" s="703" t="str">
        <f>IF([8]Vagt!J39&lt;&gt;"",[8]Vagt!J39,"")</f>
        <v>Rådhuset</v>
      </c>
      <c r="K94" s="700">
        <f>IF([8]Vagt!K39&lt;&gt;"",[8]Vagt!K39,"")</f>
        <v>40179</v>
      </c>
      <c r="L94" s="286" t="str">
        <f>IF([8]Vagt!L39&lt;&gt;"",[8]Vagt!L39,"")</f>
        <v xml:space="preserve">TMF                                                                          </v>
      </c>
      <c r="M94" s="289"/>
      <c r="N94" s="594">
        <f>IF([8]Vagt!N39&lt;&gt;"",[8]Vagt!N39,"")</f>
        <v>570342</v>
      </c>
      <c r="O94" s="327">
        <f>IF([8]Vagt!O39&lt;&gt;"",[8]Vagt!O39,"")</f>
        <v>568830</v>
      </c>
      <c r="P94" s="244"/>
      <c r="Q94" s="227"/>
    </row>
    <row r="95" spans="1:17">
      <c r="A95" s="696">
        <f>IF([8]Vagt!A40&lt;&gt;"",[8]Vagt!A40,"")</f>
        <v>33410</v>
      </c>
      <c r="B95" s="286">
        <f>IF([8]Vagt!B40&lt;&gt;"",[8]Vagt!B40,"")</f>
        <v>143</v>
      </c>
      <c r="C95" s="568">
        <f>IF([8]Vagt!C40&lt;&gt;"",[8]Vagt!C40,"")</f>
        <v>41640</v>
      </c>
      <c r="D95" s="286" t="str">
        <f>IF([8]Vagt!D40&lt;&gt;"",[8]Vagt!D40,"")</f>
        <v>BUF-Nørre Voldgade 15, 3. sal (Thor Larsen)</v>
      </c>
      <c r="E95" s="289"/>
      <c r="F95" s="594">
        <f>IF([8]Vagt!F40&lt;&gt;"",[8]Vagt!F40,"")</f>
        <v>24480</v>
      </c>
      <c r="G95" s="699"/>
      <c r="H95" s="226">
        <f>IF([8]Vagt!H40&lt;&gt;"",[8]Vagt!H40,"")</f>
        <v>0</v>
      </c>
      <c r="I95" s="292">
        <f>IF([8]Vagt!I40&lt;&gt;"",[8]Vagt!I40,"")</f>
        <v>60126</v>
      </c>
      <c r="J95" s="703" t="str">
        <f>IF([8]Vagt!J40&lt;&gt;"",[8]Vagt!J40,"")</f>
        <v>Rådhuset</v>
      </c>
      <c r="K95" s="700">
        <f>IF([8]Vagt!K40&lt;&gt;"",[8]Vagt!K40,"")</f>
        <v>40179</v>
      </c>
      <c r="L95" s="286" t="str">
        <f>IF([8]Vagt!L40&lt;&gt;"",[8]Vagt!L40,"")</f>
        <v xml:space="preserve">SOF                                                                          </v>
      </c>
      <c r="M95" s="289"/>
      <c r="N95" s="594">
        <f>IF([8]Vagt!N40&lt;&gt;"",[8]Vagt!N40,"")</f>
        <v>753911</v>
      </c>
      <c r="O95" s="327">
        <f>IF([8]Vagt!O40&lt;&gt;"",[8]Vagt!O40,"")</f>
        <v>568852</v>
      </c>
      <c r="P95" s="244"/>
      <c r="Q95" s="227"/>
    </row>
    <row r="96" spans="1:17">
      <c r="A96" s="696">
        <f>IF([8]Vagt!A41&lt;&gt;"",[8]Vagt!A41,"")</f>
        <v>0</v>
      </c>
      <c r="B96" s="286">
        <f>IF([8]Vagt!B41&lt;&gt;"",[8]Vagt!B41,"")</f>
        <v>0</v>
      </c>
      <c r="C96" s="303">
        <f>IF([8]Vagt!C41&lt;&gt;"",[8]Vagt!C41,"")</f>
        <v>40544</v>
      </c>
      <c r="D96" s="286" t="str">
        <f>IF([8]Vagt!D41&lt;&gt;"",[8]Vagt!D41,"")</f>
        <v>SOF-Linne Gade 16, i port 2 (Ophørt Privat Lej)</v>
      </c>
      <c r="E96" s="289"/>
      <c r="F96" s="594">
        <f>IF([8]Vagt!F41&lt;&gt;"",[8]Vagt!F41,"")</f>
        <v>0</v>
      </c>
      <c r="G96" s="699">
        <f>IF([8]Vagt!G41&lt;&gt;"",[8]Vagt!G41,"")</f>
        <v>0</v>
      </c>
      <c r="H96" s="226">
        <f>IF([8]Vagt!H41&lt;&gt;"",[8]Vagt!H41,"")</f>
        <v>0</v>
      </c>
      <c r="I96" s="292">
        <f>IF([8]Vagt!I41&lt;&gt;"",[8]Vagt!I41,"")</f>
        <v>11023</v>
      </c>
      <c r="J96" s="703" t="str">
        <f>IF([8]Vagt!J41&lt;&gt;"",[8]Vagt!J41,"")</f>
        <v>Rådhuset</v>
      </c>
      <c r="K96" s="700">
        <f>IF([8]Vagt!K41&lt;&gt;"",[8]Vagt!K41,"")</f>
        <v>40179</v>
      </c>
      <c r="L96" s="286" t="str">
        <f>IF([8]Vagt!L41&lt;&gt;"",[8]Vagt!L41,"")</f>
        <v xml:space="preserve">ØKF                                                                          </v>
      </c>
      <c r="M96" s="289"/>
      <c r="N96" s="594">
        <f>IF([8]Vagt!N41&lt;&gt;"",[8]Vagt!N41,"")</f>
        <v>4329524</v>
      </c>
      <c r="O96" s="327">
        <f>IF([8]Vagt!O41&lt;&gt;"",[8]Vagt!O41,"")</f>
        <v>568860</v>
      </c>
      <c r="P96" s="244"/>
      <c r="Q96" s="227"/>
    </row>
    <row r="97" spans="1:17">
      <c r="A97" s="696">
        <f>IF([8]Vagt!A42&lt;&gt;"",[8]Vagt!A42,"")</f>
        <v>39851</v>
      </c>
      <c r="B97" s="286">
        <f>IF([8]Vagt!B42&lt;&gt;"",[8]Vagt!B42,"")</f>
        <v>145</v>
      </c>
      <c r="C97" s="568">
        <f>IF([8]Vagt!C42&lt;&gt;"",[8]Vagt!C42,"")</f>
        <v>41640</v>
      </c>
      <c r="D97" s="286" t="str">
        <f>IF([8]Vagt!D42&lt;&gt;"",[8]Vagt!D42,"")</f>
        <v>BUF-Nørre Voldgade 15, 4.sal (Mikkelsen)</v>
      </c>
      <c r="E97" s="289"/>
      <c r="F97" s="594">
        <f>IF([8]Vagt!F42&lt;&gt;"",[8]Vagt!F42,"")</f>
        <v>24480</v>
      </c>
      <c r="G97" s="699"/>
      <c r="H97" s="226">
        <f>IF([8]Vagt!H42&lt;&gt;"",[8]Vagt!H42,"")</f>
        <v>0</v>
      </c>
      <c r="I97" s="292">
        <f>IF([8]Vagt!I42&lt;&gt;"",[8]Vagt!I42,"")</f>
        <v>11023</v>
      </c>
      <c r="J97" s="703" t="str">
        <f>IF([8]Vagt!J42&lt;&gt;"",[8]Vagt!J42,"")</f>
        <v>Rådhuset</v>
      </c>
      <c r="K97" s="700">
        <f>IF([8]Vagt!K42&lt;&gt;"",[8]Vagt!K42,"")</f>
        <v>40179</v>
      </c>
      <c r="L97" s="286" t="str">
        <f>IF([8]Vagt!L42&lt;&gt;"",[8]Vagt!L42,"")</f>
        <v xml:space="preserve">BR                                                                           </v>
      </c>
      <c r="M97" s="289"/>
      <c r="N97" s="594">
        <f>IF([8]Vagt!N42&lt;&gt;"",[8]Vagt!N42,"")</f>
        <v>1141734</v>
      </c>
      <c r="O97" s="327">
        <f>IF([8]Vagt!O42&lt;&gt;"",[8]Vagt!O42,"")</f>
        <v>568866</v>
      </c>
      <c r="P97" s="244"/>
      <c r="Q97" s="227"/>
    </row>
    <row r="98" spans="1:17">
      <c r="A98" s="696">
        <f>IF([8]Vagt!A43&lt;&gt;"",[8]Vagt!A43,"")</f>
        <v>69722</v>
      </c>
      <c r="B98" s="286">
        <f>IF([8]Vagt!B43&lt;&gt;"",[8]Vagt!B43,"")</f>
        <v>146</v>
      </c>
      <c r="C98" s="568">
        <f>IF([8]Vagt!C43&lt;&gt;"",[8]Vagt!C43,"")</f>
        <v>41640</v>
      </c>
      <c r="D98" s="286" t="str">
        <f>IF([8]Vagt!D43&lt;&gt;"",[8]Vagt!D43,"")</f>
        <v>SOF-Nørre Voldgade 15, 5. sal (Ann Provis)</v>
      </c>
      <c r="E98" s="289"/>
      <c r="F98" s="594">
        <f>IF([8]Vagt!F43&lt;&gt;"",[8]Vagt!F43,"")</f>
        <v>4080</v>
      </c>
      <c r="G98" s="699"/>
      <c r="H98" s="226">
        <f>IF([8]Vagt!H43&lt;&gt;"",[8]Vagt!H43,"")</f>
        <v>0</v>
      </c>
      <c r="I98" s="292">
        <f>IF([8]Vagt!I43&lt;&gt;"",[8]Vagt!I43,"")</f>
        <v>50000</v>
      </c>
      <c r="J98" s="703" t="str">
        <f>IF([8]Vagt!J43&lt;&gt;"",[8]Vagt!J43,"")</f>
        <v>Rådhuset</v>
      </c>
      <c r="K98" s="700">
        <f>IF([8]Vagt!K43&lt;&gt;"",[8]Vagt!K43,"")</f>
        <v>40179</v>
      </c>
      <c r="L98" s="286" t="str">
        <f>IF([8]Vagt!L43&lt;&gt;"",[8]Vagt!L43,"")</f>
        <v xml:space="preserve">KFF                                                                          </v>
      </c>
      <c r="M98" s="289"/>
      <c r="N98" s="594">
        <f>IF([8]Vagt!N43&lt;&gt;"",[8]Vagt!N43,"")</f>
        <v>1131160</v>
      </c>
      <c r="O98" s="327">
        <f>IF([8]Vagt!O43&lt;&gt;"",[8]Vagt!O43,"")</f>
        <v>568870</v>
      </c>
      <c r="P98" s="244"/>
      <c r="Q98" s="227"/>
    </row>
    <row r="99" spans="1:17" ht="13.5" thickBot="1">
      <c r="A99" s="696">
        <f>IF([8]Vagt!A44&lt;&gt;"",[8]Vagt!A44,"")</f>
        <v>31139</v>
      </c>
      <c r="B99" s="309">
        <f>IF([8]Vagt!B44&lt;&gt;"",[8]Vagt!B44,"")</f>
        <v>111</v>
      </c>
      <c r="C99" s="310">
        <f>IF([8]Vagt!C44&lt;&gt;"",[8]Vagt!C44,"")</f>
        <v>40634</v>
      </c>
      <c r="D99" s="464" t="str">
        <f>IF([8]Vagt!D44&lt;&gt;"",[8]Vagt!D44,"")</f>
        <v>BUF-Gasværksvej 22 (skole)</v>
      </c>
      <c r="E99" s="592"/>
      <c r="F99" s="640">
        <f>IF([8]Vagt!F44&lt;&gt;"",[8]Vagt!F44,"")</f>
        <v>61578</v>
      </c>
      <c r="G99" s="699"/>
      <c r="H99" s="226">
        <f>IF([8]Vagt!H44&lt;&gt;"",[8]Vagt!H44,"")</f>
        <v>0</v>
      </c>
      <c r="I99" s="292">
        <f>IF([8]Vagt!I44&lt;&gt;"",[8]Vagt!I44,"")</f>
        <v>0</v>
      </c>
      <c r="J99" s="703" t="str">
        <f>IF([8]Vagt!J44&lt;&gt;"",[8]Vagt!J44,"")</f>
        <v>Rådhuset</v>
      </c>
      <c r="K99" s="700">
        <f>IF([8]Vagt!K44&lt;&gt;"",[8]Vagt!K44,"")</f>
        <v>40179</v>
      </c>
      <c r="L99" s="286" t="str">
        <f>IF([8]Vagt!L44&lt;&gt;"",[8]Vagt!L44,"")</f>
        <v xml:space="preserve">Kejd (posteres) Rådhusservice på Rådhuset  </v>
      </c>
      <c r="M99" s="289"/>
      <c r="N99" s="594">
        <f>IF([8]Vagt!N44&lt;&gt;"",[8]Vagt!N44,"")</f>
        <v>636277</v>
      </c>
      <c r="O99" s="327">
        <f>IF([8]Vagt!O44&lt;&gt;"",[8]Vagt!O44,"")</f>
        <v>0</v>
      </c>
      <c r="P99" s="244"/>
      <c r="Q99" s="227"/>
    </row>
    <row r="100" spans="1:17" ht="13.5" thickBot="1">
      <c r="A100" s="705">
        <f>IF([8]Vagt!A45&lt;&gt;"",[8]Vagt!A45,"")</f>
        <v>0</v>
      </c>
      <c r="B100" s="294" t="str">
        <f>IF([8]Vagt!B45&lt;&gt;"",[8]Vagt!B45,"")</f>
        <v>Forsættes i højre side</v>
      </c>
      <c r="C100" s="296"/>
      <c r="D100" s="296"/>
      <c r="E100" s="296"/>
      <c r="F100" s="641">
        <f>IF([8]Vagt!F45&lt;&gt;"",[8]Vagt!F45,"")</f>
        <v>2383140</v>
      </c>
      <c r="G100" s="226">
        <f>IF([8]Vagt!G45&lt;&gt;"",[8]Vagt!G45,"")</f>
        <v>0</v>
      </c>
      <c r="H100" s="226">
        <f>IF([8]Vagt!H45&lt;&gt;"",[8]Vagt!H45,"")</f>
        <v>0</v>
      </c>
      <c r="I100" s="586">
        <f>IF([8]Vagt!I45&lt;&gt;"",[8]Vagt!I45,"")</f>
        <v>0</v>
      </c>
      <c r="J100" s="586">
        <f>IF([8]Vagt!J45&lt;&gt;"",[8]Vagt!J45,"")</f>
        <v>0</v>
      </c>
      <c r="K100" s="702">
        <f>IF([8]Vagt!K45&lt;&gt;"",[8]Vagt!K45,"")</f>
        <v>0</v>
      </c>
      <c r="L100" s="464">
        <f>IF([8]Vagt!L45&lt;&gt;"",[8]Vagt!L45,"")</f>
        <v>0</v>
      </c>
      <c r="M100" s="592"/>
      <c r="N100" s="595">
        <f>IF([8]Vagt!N45&lt;&gt;"",[8]Vagt!N45,"")</f>
        <v>0</v>
      </c>
      <c r="O100" s="327">
        <f>IF([8]Vagt!O45&lt;&gt;"",[8]Vagt!O45,"")</f>
        <v>0</v>
      </c>
      <c r="P100" s="244"/>
      <c r="Q100" s="227"/>
    </row>
    <row r="101" spans="1:17">
      <c r="A101" s="226">
        <f>IF([8]Vagt!A46&lt;&gt;"",[8]Vagt!A46,"")</f>
        <v>0</v>
      </c>
      <c r="B101" s="299">
        <f>IF([8]Vagt!B46&lt;&gt;"",[8]Vagt!B46,"")</f>
        <v>0</v>
      </c>
      <c r="C101" s="299">
        <f>IF([8]Vagt!C46&lt;&gt;"",[8]Vagt!C46,"")</f>
        <v>0</v>
      </c>
      <c r="D101" s="299">
        <f>IF([8]Vagt!D46&lt;&gt;"",[8]Vagt!D46,"")</f>
        <v>0</v>
      </c>
      <c r="E101" s="299">
        <f>IF([8]Vagt!E46&lt;&gt;"",[8]Vagt!E46,"")</f>
        <v>0</v>
      </c>
      <c r="F101" s="299">
        <f>IF([8]Vagt!F46&lt;&gt;"",[8]Vagt!F46,"")</f>
        <v>0</v>
      </c>
      <c r="G101" s="299">
        <f>IF([8]Vagt!G46&lt;&gt;"",[8]Vagt!G46,"")</f>
        <v>0</v>
      </c>
      <c r="H101" s="299">
        <f>IF([8]Vagt!H46&lt;&gt;"",[8]Vagt!H46,"")</f>
        <v>0</v>
      </c>
      <c r="I101" s="585" t="e">
        <f>IF([8]Vagt!I46&lt;&gt;"",[8]Vagt!I46,"")</f>
        <v>#REF!</v>
      </c>
      <c r="J101" s="585" t="str">
        <f>IF([8]Vagt!J46&lt;&gt;"",[8]Vagt!J46,"")</f>
        <v>Årligt</v>
      </c>
      <c r="K101" s="585">
        <f>IF([8]Vagt!K46&lt;&gt;"",[8]Vagt!K46,"")</f>
        <v>0</v>
      </c>
      <c r="L101" s="554">
        <f>IF([8]Vagt!L46&lt;&gt;"",[8]Vagt!L46,"")</f>
        <v>0</v>
      </c>
      <c r="M101" s="593">
        <f>IF([8]Vagt!M46&lt;&gt;"",[8]Vagt!M46,"")</f>
        <v>0</v>
      </c>
      <c r="N101" s="596">
        <f>IF([8]Vagt!N46&lt;&gt;"",[8]Vagt!N46,"")</f>
        <v>13405196</v>
      </c>
      <c r="O101" s="327">
        <f>IF([8]Vagt!O46&lt;&gt;"",[8]Vagt!O46,"")</f>
        <v>0</v>
      </c>
      <c r="P101" s="244"/>
      <c r="Q101" s="227"/>
    </row>
    <row r="102" spans="1:17">
      <c r="A102" s="226">
        <f>IF([8]Vagt!A47&lt;&gt;"",[8]Vagt!A47,"")</f>
        <v>0</v>
      </c>
      <c r="B102" s="299">
        <f>IF([8]Vagt!B47&lt;&gt;"",[8]Vagt!B47,"")</f>
        <v>0</v>
      </c>
      <c r="C102" s="299">
        <f>IF([8]Vagt!C47&lt;&gt;"",[8]Vagt!C47,"")</f>
        <v>0</v>
      </c>
      <c r="D102" s="299">
        <f>IF([8]Vagt!D47&lt;&gt;"",[8]Vagt!D47,"")</f>
        <v>0</v>
      </c>
      <c r="E102" s="299">
        <f>IF([8]Vagt!E47&lt;&gt;"",[8]Vagt!E47,"")</f>
        <v>0</v>
      </c>
      <c r="F102" s="299">
        <f>IF([8]Vagt!F47&lt;&gt;"",[8]Vagt!F47,"")</f>
        <v>0</v>
      </c>
      <c r="G102" s="299">
        <f>IF([8]Vagt!G47&lt;&gt;"",[8]Vagt!G47,"")</f>
        <v>0</v>
      </c>
      <c r="H102" s="299">
        <f>IF([8]Vagt!H47&lt;&gt;"",[8]Vagt!H47,"")</f>
        <v>0</v>
      </c>
      <c r="I102" s="527" t="e">
        <f>IF([8]Vagt!I47&lt;&gt;"",[8]Vagt!I47,"")</f>
        <v>#REF!</v>
      </c>
      <c r="J102" s="527">
        <f>IF([8]Vagt!J47&lt;&gt;"",[8]Vagt!J47,"")</f>
        <v>0</v>
      </c>
      <c r="K102" s="527">
        <f>IF([8]Vagt!K47&lt;&gt;"",[8]Vagt!K47,"")</f>
        <v>0</v>
      </c>
      <c r="L102" s="283">
        <f>IF([8]Vagt!L47&lt;&gt;"",[8]Vagt!L47,"")</f>
        <v>0</v>
      </c>
      <c r="M102" s="288">
        <f>IF([8]Vagt!M47&lt;&gt;"",[8]Vagt!M47,"")</f>
        <v>0</v>
      </c>
      <c r="N102" s="599">
        <f>IF([8]Vagt!N47&lt;&gt;"",[8]Vagt!N47,"")</f>
        <v>0</v>
      </c>
      <c r="O102" s="327">
        <f>IF([8]Vagt!O47&lt;&gt;"",[8]Vagt!O47,"")</f>
        <v>0</v>
      </c>
      <c r="P102" s="244"/>
      <c r="Q102" s="227"/>
    </row>
    <row r="103" spans="1:17">
      <c r="A103" s="226" t="e">
        <f>IF([8]Vagt!A48&lt;&gt;"",[8]Vagt!A48,"")</f>
        <v>#REF!</v>
      </c>
      <c r="B103" s="299" t="e">
        <f>IF([8]Vagt!B48&lt;&gt;"",[8]Vagt!B48,"")</f>
        <v>#REF!</v>
      </c>
      <c r="C103" s="299" t="e">
        <f>IF([8]Vagt!C48&lt;&gt;"",[8]Vagt!C48,"")</f>
        <v>#REF!</v>
      </c>
      <c r="D103" s="299" t="e">
        <f>IF([8]Vagt!D48&lt;&gt;"",[8]Vagt!D48,"")</f>
        <v>#REF!</v>
      </c>
      <c r="E103" s="299" t="e">
        <f>IF([8]Vagt!E48&lt;&gt;"",[8]Vagt!E48,"")</f>
        <v>#REF!</v>
      </c>
      <c r="F103" s="299" t="e">
        <f>IF([8]Vagt!F48&lt;&gt;"",[8]Vagt!F48,"")</f>
        <v>#REF!</v>
      </c>
      <c r="G103" s="299" t="e">
        <f>IF([8]Vagt!G48&lt;&gt;"",[8]Vagt!G48,"")</f>
        <v>#REF!</v>
      </c>
      <c r="H103" s="299">
        <f>IF([8]Vagt!H48&lt;&gt;"",[8]Vagt!H48,"")</f>
        <v>0</v>
      </c>
      <c r="I103" s="527" t="e">
        <f>IF([8]Vagt!I48&lt;&gt;"",[8]Vagt!I48,"")</f>
        <v>#REF!</v>
      </c>
      <c r="J103" s="527" t="str">
        <f>IF([8]Vagt!J48&lt;&gt;"",[8]Vagt!J48,"")</f>
        <v>Månedligt</v>
      </c>
      <c r="K103" s="527">
        <f>IF([8]Vagt!K48&lt;&gt;"",[8]Vagt!K48,"")</f>
        <v>0</v>
      </c>
      <c r="L103" s="283">
        <f>IF([8]Vagt!L48&lt;&gt;"",[8]Vagt!L48,"")</f>
        <v>0</v>
      </c>
      <c r="M103" s="288">
        <f>IF([8]Vagt!M48&lt;&gt;"",[8]Vagt!M48,"")</f>
        <v>0</v>
      </c>
      <c r="N103" s="599">
        <f>IF([8]Vagt!N48&lt;&gt;"",[8]Vagt!N48,"")</f>
        <v>1117099.6666666667</v>
      </c>
      <c r="O103" s="320" t="e">
        <f>IF([8]Vagt!O48&lt;&gt;"",[8]Vagt!O48,"")</f>
        <v>#REF!</v>
      </c>
      <c r="P103" s="244"/>
      <c r="Q103" s="227"/>
    </row>
    <row r="104" spans="1:17">
      <c r="A104" s="226" t="e">
        <f>IF([8]Vagt!A49&lt;&gt;"",[8]Vagt!A49,"")</f>
        <v>#REF!</v>
      </c>
      <c r="B104" s="299" t="e">
        <f>IF([8]Vagt!B49&lt;&gt;"",[8]Vagt!B49,"")</f>
        <v>#REF!</v>
      </c>
      <c r="C104" s="299" t="e">
        <f>IF([8]Vagt!C49&lt;&gt;"",[8]Vagt!C49,"")</f>
        <v>#REF!</v>
      </c>
      <c r="D104" s="299" t="e">
        <f>IF([8]Vagt!D49&lt;&gt;"",[8]Vagt!D49,"")</f>
        <v>#REF!</v>
      </c>
      <c r="E104" s="299" t="e">
        <f>IF([8]Vagt!E49&lt;&gt;"",[8]Vagt!E49,"")</f>
        <v>#REF!</v>
      </c>
      <c r="F104" s="299" t="e">
        <f>IF([8]Vagt!F49&lt;&gt;"",[8]Vagt!F49,"")</f>
        <v>#REF!</v>
      </c>
      <c r="G104" s="299">
        <f>IF([8]Vagt!G49&lt;&gt;"",[8]Vagt!G49,"")</f>
        <v>0</v>
      </c>
      <c r="H104" s="299">
        <f>IF([8]Vagt!H49&lt;&gt;"",[8]Vagt!H49,"")</f>
        <v>0</v>
      </c>
      <c r="I104" s="299" t="e">
        <f>IF([8]Vagt!I49&lt;&gt;"",[8]Vagt!I49,"")</f>
        <v>#REF!</v>
      </c>
      <c r="J104" s="299" t="e">
        <f>IF([8]Vagt!J49&lt;&gt;"",[8]Vagt!J49,"")</f>
        <v>#REF!</v>
      </c>
      <c r="K104" s="299" t="e">
        <f>IF([8]Vagt!K49&lt;&gt;"",[8]Vagt!K49,"")</f>
        <v>#REF!</v>
      </c>
      <c r="L104" s="299" t="e">
        <f>IF([8]Vagt!L49&lt;&gt;"",[8]Vagt!L49,"")</f>
        <v>#REF!</v>
      </c>
      <c r="M104" s="299" t="e">
        <f>IF([8]Vagt!M49&lt;&gt;"",[8]Vagt!M49,"")</f>
        <v>#REF!</v>
      </c>
      <c r="N104" s="683" t="e">
        <f>IF([8]Vagt!N49&lt;&gt;"",[8]Vagt!N49,"")</f>
        <v>#REF!</v>
      </c>
      <c r="O104" s="320" t="e">
        <f>IF([8]Vagt!O49&lt;&gt;"",[8]Vagt!O49,"")</f>
        <v>#REF!</v>
      </c>
      <c r="P104" s="244"/>
      <c r="Q104" s="227"/>
    </row>
    <row r="105" spans="1:17">
      <c r="A105" s="226" t="e">
        <f>IF([8]Vagt!A50&lt;&gt;"",[8]Vagt!A50,"")</f>
        <v>#REF!</v>
      </c>
      <c r="B105" s="299" t="e">
        <f>IF([8]Vagt!B50&lt;&gt;"",[8]Vagt!B50,"")</f>
        <v>#REF!</v>
      </c>
      <c r="C105" s="299" t="e">
        <f>IF([8]Vagt!C50&lt;&gt;"",[8]Vagt!C50,"")</f>
        <v>#REF!</v>
      </c>
      <c r="D105" s="299" t="e">
        <f>IF([8]Vagt!D50&lt;&gt;"",[8]Vagt!D50,"")</f>
        <v>#REF!</v>
      </c>
      <c r="E105" s="299" t="e">
        <f>IF([8]Vagt!E50&lt;&gt;"",[8]Vagt!E50,"")</f>
        <v>#REF!</v>
      </c>
      <c r="F105" s="299" t="e">
        <f>IF([8]Vagt!F50&lt;&gt;"",[8]Vagt!F50,"")</f>
        <v>#REF!</v>
      </c>
      <c r="G105" s="299">
        <f>IF([8]Vagt!G50&lt;&gt;"",[8]Vagt!G50,"")</f>
        <v>0</v>
      </c>
      <c r="H105" s="299">
        <f>IF([8]Vagt!H50&lt;&gt;"",[8]Vagt!H50,"")</f>
        <v>0</v>
      </c>
      <c r="I105" s="299" t="e">
        <f>IF([8]Vagt!I50&lt;&gt;"",[8]Vagt!I50,"")</f>
        <v>#REF!</v>
      </c>
      <c r="J105" s="299" t="e">
        <f>IF([8]Vagt!J50&lt;&gt;"",[8]Vagt!J50,"")</f>
        <v>#REF!</v>
      </c>
      <c r="K105" s="299" t="e">
        <f>IF([8]Vagt!K50&lt;&gt;"",[8]Vagt!K50,"")</f>
        <v>#REF!</v>
      </c>
      <c r="L105" s="299" t="e">
        <f>IF([8]Vagt!L50&lt;&gt;"",[8]Vagt!L50,"")</f>
        <v>#REF!</v>
      </c>
      <c r="M105" s="299" t="e">
        <f>IF([8]Vagt!M50&lt;&gt;"",[8]Vagt!M50,"")</f>
        <v>#REF!</v>
      </c>
      <c r="N105" s="683" t="e">
        <f>IF([8]Vagt!N50&lt;&gt;"",[8]Vagt!N50,"")</f>
        <v>#REF!</v>
      </c>
      <c r="O105" s="320" t="e">
        <f>IF([8]Vagt!O50&lt;&gt;"",[8]Vagt!O50,"")</f>
        <v>#REF!</v>
      </c>
      <c r="P105" s="244"/>
      <c r="Q105" s="227"/>
    </row>
    <row r="106" spans="1:17">
      <c r="A106" s="226" t="e">
        <f>IF([8]Vagt!A51&lt;&gt;"",[8]Vagt!A51,"")</f>
        <v>#REF!</v>
      </c>
      <c r="B106" s="299" t="e">
        <f>IF([8]Vagt!B51&lt;&gt;"",[8]Vagt!B51,"")</f>
        <v>#REF!</v>
      </c>
      <c r="C106" s="299" t="e">
        <f>IF([8]Vagt!C51&lt;&gt;"",[8]Vagt!C51,"")</f>
        <v>#REF!</v>
      </c>
      <c r="D106" s="299" t="e">
        <f>IF([8]Vagt!D51&lt;&gt;"",[8]Vagt!D51,"")</f>
        <v>#REF!</v>
      </c>
      <c r="E106" s="299" t="e">
        <f>IF([8]Vagt!E51&lt;&gt;"",[8]Vagt!E51,"")</f>
        <v>#REF!</v>
      </c>
      <c r="F106" s="299" t="e">
        <f>IF([8]Vagt!F51&lt;&gt;"",[8]Vagt!F51,"")</f>
        <v>#REF!</v>
      </c>
      <c r="G106" s="299">
        <f>IF([8]Vagt!G51&lt;&gt;"",[8]Vagt!G51,"")</f>
        <v>0</v>
      </c>
      <c r="H106" s="299">
        <f>IF([8]Vagt!H51&lt;&gt;"",[8]Vagt!H51,"")</f>
        <v>0</v>
      </c>
      <c r="I106" s="299" t="e">
        <f>IF([8]Vagt!I51&lt;&gt;"",[8]Vagt!I51,"")</f>
        <v>#REF!</v>
      </c>
      <c r="J106" s="299" t="e">
        <f>IF([8]Vagt!J51&lt;&gt;"",[8]Vagt!J51,"")</f>
        <v>#REF!</v>
      </c>
      <c r="K106" s="299" t="e">
        <f>IF([8]Vagt!K51&lt;&gt;"",[8]Vagt!K51,"")</f>
        <v>#REF!</v>
      </c>
      <c r="L106" s="299" t="e">
        <f>IF([8]Vagt!L51&lt;&gt;"",[8]Vagt!L51,"")</f>
        <v>#REF!</v>
      </c>
      <c r="M106" s="299" t="e">
        <f>IF([8]Vagt!M51&lt;&gt;"",[8]Vagt!M51,"")</f>
        <v>#REF!</v>
      </c>
      <c r="N106" s="683" t="e">
        <f>IF([8]Vagt!N51&lt;&gt;"",[8]Vagt!N51,"")</f>
        <v>#REF!</v>
      </c>
      <c r="O106" s="320" t="e">
        <f>IF([8]Vagt!O51&lt;&gt;"",[8]Vagt!O51,"")</f>
        <v>#REF!</v>
      </c>
      <c r="P106" s="244"/>
      <c r="Q106" s="227"/>
    </row>
    <row r="107" spans="1:17" ht="13.5" thickBot="1">
      <c r="A107" s="226" t="e">
        <f>IF([8]Vagt!A52&lt;&gt;"",[8]Vagt!A52,"")</f>
        <v>#REF!</v>
      </c>
      <c r="B107" s="299" t="e">
        <f>IF([8]Vagt!B52&lt;&gt;"",[8]Vagt!B52,"")</f>
        <v>#REF!</v>
      </c>
      <c r="C107" s="299" t="e">
        <f>IF([8]Vagt!C52&lt;&gt;"",[8]Vagt!C52,"")</f>
        <v>#REF!</v>
      </c>
      <c r="D107" s="299" t="e">
        <f>IF([8]Vagt!D52&lt;&gt;"",[8]Vagt!D52,"")</f>
        <v>#REF!</v>
      </c>
      <c r="E107" s="299" t="e">
        <f>IF([8]Vagt!E52&lt;&gt;"",[8]Vagt!E52,"")</f>
        <v>#REF!</v>
      </c>
      <c r="F107" s="299" t="e">
        <f>IF([8]Vagt!F52&lt;&gt;"",[8]Vagt!F52,"")</f>
        <v>#REF!</v>
      </c>
      <c r="G107" s="299">
        <f>IF([8]Vagt!G52&lt;&gt;"",[8]Vagt!G52,"")</f>
        <v>0</v>
      </c>
      <c r="H107" s="299">
        <f>IF([8]Vagt!H52&lt;&gt;"",[8]Vagt!H52,"")</f>
        <v>0</v>
      </c>
      <c r="I107" s="684" t="e">
        <f>IF([8]Vagt!I52&lt;&gt;"",[8]Vagt!I52,"")</f>
        <v>#REF!</v>
      </c>
      <c r="J107" s="684" t="e">
        <f>IF([8]Vagt!J52&lt;&gt;"",[8]Vagt!J52,"")</f>
        <v>#REF!</v>
      </c>
      <c r="K107" s="684" t="e">
        <f>IF([8]Vagt!K52&lt;&gt;"",[8]Vagt!K52,"")</f>
        <v>#REF!</v>
      </c>
      <c r="L107" s="684" t="e">
        <f>IF([8]Vagt!L52&lt;&gt;"",[8]Vagt!L52,"")</f>
        <v>#REF!</v>
      </c>
      <c r="M107" s="684" t="e">
        <f>IF([8]Vagt!M52&lt;&gt;"",[8]Vagt!M52,"")</f>
        <v>#REF!</v>
      </c>
      <c r="N107" s="685" t="e">
        <f>IF([8]Vagt!N52&lt;&gt;"",[8]Vagt!N52,"")</f>
        <v>#REF!</v>
      </c>
      <c r="O107" s="320" t="e">
        <f>IF([8]Vagt!O52&lt;&gt;"",[8]Vagt!O52,"")</f>
        <v>#REF!</v>
      </c>
      <c r="P107" s="244"/>
      <c r="Q107" s="227"/>
    </row>
    <row r="108" spans="1:17">
      <c r="C108" s="291"/>
      <c r="D108" s="291"/>
      <c r="E108" s="291"/>
      <c r="F108" s="291"/>
      <c r="G108" s="291"/>
      <c r="L108" s="300"/>
      <c r="M108" s="326"/>
      <c r="N108" s="326"/>
      <c r="O108" s="291"/>
      <c r="P108" s="244"/>
      <c r="Q108" s="227"/>
    </row>
    <row r="109" spans="1:17">
      <c r="C109" s="291"/>
      <c r="D109" s="291"/>
      <c r="L109" s="300"/>
      <c r="M109" s="326"/>
      <c r="N109" s="326"/>
    </row>
    <row r="110" spans="1:17">
      <c r="A110" s="299" t="s">
        <v>112</v>
      </c>
      <c r="B110" s="328" t="s">
        <v>113</v>
      </c>
      <c r="C110" s="232" t="s">
        <v>44</v>
      </c>
      <c r="D110" s="232" t="s">
        <v>45</v>
      </c>
      <c r="E110" s="232" t="s">
        <v>46</v>
      </c>
      <c r="F110" s="232" t="s">
        <v>47</v>
      </c>
      <c r="G110" s="232" t="s">
        <v>48</v>
      </c>
      <c r="H110" s="232" t="s">
        <v>49</v>
      </c>
      <c r="I110" s="232" t="s">
        <v>38</v>
      </c>
      <c r="J110" s="232" t="s">
        <v>39</v>
      </c>
      <c r="K110" s="232" t="s">
        <v>40</v>
      </c>
      <c r="L110" s="232" t="s">
        <v>41</v>
      </c>
      <c r="M110" s="232" t="s">
        <v>42</v>
      </c>
      <c r="N110" s="232" t="s">
        <v>43</v>
      </c>
      <c r="O110" s="228"/>
    </row>
    <row r="111" spans="1:17">
      <c r="B111" s="231" t="s">
        <v>115</v>
      </c>
      <c r="C111" s="329">
        <f>$D$70</f>
        <v>463244.91666666669</v>
      </c>
      <c r="D111" s="329">
        <f t="shared" ref="D111:N111" si="12">$D$70</f>
        <v>463244.91666666669</v>
      </c>
      <c r="E111" s="329">
        <f t="shared" si="12"/>
        <v>463244.91666666669</v>
      </c>
      <c r="F111" s="329">
        <f t="shared" si="12"/>
        <v>463244.91666666669</v>
      </c>
      <c r="G111" s="329">
        <f t="shared" si="12"/>
        <v>463244.91666666669</v>
      </c>
      <c r="H111" s="329">
        <f t="shared" si="12"/>
        <v>463244.91666666669</v>
      </c>
      <c r="I111" s="329">
        <f t="shared" si="12"/>
        <v>463244.91666666669</v>
      </c>
      <c r="J111" s="329">
        <f t="shared" si="12"/>
        <v>463244.91666666669</v>
      </c>
      <c r="K111" s="329">
        <f t="shared" si="12"/>
        <v>463244.91666666669</v>
      </c>
      <c r="L111" s="329">
        <f t="shared" si="12"/>
        <v>463244.91666666669</v>
      </c>
      <c r="M111" s="329">
        <f t="shared" si="12"/>
        <v>463244.91666666669</v>
      </c>
      <c r="N111" s="329">
        <f t="shared" si="12"/>
        <v>463244.91666666669</v>
      </c>
      <c r="O111" s="330">
        <f t="shared" ref="O111:O142" si="13">SUM(C111:N111)</f>
        <v>5558939</v>
      </c>
    </row>
    <row r="112" spans="1:17" ht="13.5" thickBot="1">
      <c r="B112" s="247" t="s">
        <v>116</v>
      </c>
      <c r="C112" s="331">
        <f>$N$103</f>
        <v>1117099.6666666667</v>
      </c>
      <c r="D112" s="331">
        <f t="shared" ref="D112:N112" si="14">$N$103</f>
        <v>1117099.6666666667</v>
      </c>
      <c r="E112" s="331">
        <f t="shared" si="14"/>
        <v>1117099.6666666667</v>
      </c>
      <c r="F112" s="331">
        <f t="shared" si="14"/>
        <v>1117099.6666666667</v>
      </c>
      <c r="G112" s="331">
        <f t="shared" si="14"/>
        <v>1117099.6666666667</v>
      </c>
      <c r="H112" s="331">
        <f t="shared" si="14"/>
        <v>1117099.6666666667</v>
      </c>
      <c r="I112" s="331">
        <f t="shared" si="14"/>
        <v>1117099.6666666667</v>
      </c>
      <c r="J112" s="331">
        <f t="shared" si="14"/>
        <v>1117099.6666666667</v>
      </c>
      <c r="K112" s="331">
        <f t="shared" si="14"/>
        <v>1117099.6666666667</v>
      </c>
      <c r="L112" s="331">
        <f t="shared" si="14"/>
        <v>1117099.6666666667</v>
      </c>
      <c r="M112" s="331">
        <f t="shared" si="14"/>
        <v>1117099.6666666667</v>
      </c>
      <c r="N112" s="331">
        <f t="shared" si="14"/>
        <v>1117099.6666666667</v>
      </c>
      <c r="O112" s="332">
        <f t="shared" si="13"/>
        <v>13405195.999999998</v>
      </c>
      <c r="Q112" s="525" t="s">
        <v>232</v>
      </c>
    </row>
    <row r="113" spans="1:17" ht="13.5" thickBot="1">
      <c r="A113" s="226">
        <v>9845400000</v>
      </c>
      <c r="B113" s="333" t="s">
        <v>117</v>
      </c>
      <c r="C113" s="334">
        <f t="shared" ref="C113:N113" si="15">SUM(C111:C112)</f>
        <v>1580344.5833333335</v>
      </c>
      <c r="D113" s="334">
        <f t="shared" si="15"/>
        <v>1580344.5833333335</v>
      </c>
      <c r="E113" s="334">
        <f t="shared" si="15"/>
        <v>1580344.5833333335</v>
      </c>
      <c r="F113" s="334">
        <f t="shared" si="15"/>
        <v>1580344.5833333335</v>
      </c>
      <c r="G113" s="334">
        <f t="shared" si="15"/>
        <v>1580344.5833333335</v>
      </c>
      <c r="H113" s="334">
        <f t="shared" si="15"/>
        <v>1580344.5833333335</v>
      </c>
      <c r="I113" s="334">
        <f t="shared" si="15"/>
        <v>1580344.5833333335</v>
      </c>
      <c r="J113" s="334">
        <f t="shared" si="15"/>
        <v>1580344.5833333335</v>
      </c>
      <c r="K113" s="334">
        <f t="shared" si="15"/>
        <v>1580344.5833333335</v>
      </c>
      <c r="L113" s="334">
        <f t="shared" si="15"/>
        <v>1580344.5833333335</v>
      </c>
      <c r="M113" s="334">
        <f t="shared" si="15"/>
        <v>1580344.5833333335</v>
      </c>
      <c r="N113" s="334">
        <f t="shared" si="15"/>
        <v>1580344.5833333335</v>
      </c>
      <c r="O113" s="334">
        <f t="shared" si="13"/>
        <v>18964135.000000004</v>
      </c>
      <c r="P113" s="708">
        <v>18832196</v>
      </c>
      <c r="Q113" s="226" t="s">
        <v>233</v>
      </c>
    </row>
    <row r="114" spans="1:17">
      <c r="B114" s="336"/>
      <c r="C114" s="337"/>
      <c r="D114" s="337"/>
      <c r="E114" s="337"/>
      <c r="F114" s="337"/>
      <c r="G114" s="337"/>
      <c r="H114" s="338"/>
      <c r="I114" s="338"/>
      <c r="J114" s="338"/>
      <c r="K114" s="338"/>
      <c r="L114" s="338"/>
      <c r="M114" s="338"/>
      <c r="N114" s="338"/>
      <c r="O114" s="332">
        <f t="shared" si="13"/>
        <v>0</v>
      </c>
      <c r="P114" s="708"/>
      <c r="Q114" s="226" t="s">
        <v>234</v>
      </c>
    </row>
    <row r="115" spans="1:17">
      <c r="A115" s="226">
        <v>9870000000</v>
      </c>
      <c r="B115" s="228" t="s">
        <v>118</v>
      </c>
      <c r="C115" s="330">
        <v>236507</v>
      </c>
      <c r="D115" s="330">
        <v>116283</v>
      </c>
      <c r="E115" s="330">
        <v>208219</v>
      </c>
      <c r="F115" s="330">
        <v>184573</v>
      </c>
      <c r="G115" s="330">
        <v>169014</v>
      </c>
      <c r="H115" s="330">
        <v>80735</v>
      </c>
      <c r="I115" s="330">
        <v>34852</v>
      </c>
      <c r="J115" s="330">
        <v>65140</v>
      </c>
      <c r="K115" s="330">
        <v>48341</v>
      </c>
      <c r="L115" s="330">
        <v>304954</v>
      </c>
      <c r="M115" s="330">
        <v>148479</v>
      </c>
      <c r="N115" s="330">
        <v>93942</v>
      </c>
      <c r="O115" s="332">
        <f t="shared" si="13"/>
        <v>1691039</v>
      </c>
      <c r="P115" s="708">
        <v>1500000</v>
      </c>
    </row>
    <row r="116" spans="1:17">
      <c r="A116" s="226">
        <v>9820100000</v>
      </c>
      <c r="B116" s="228" t="s">
        <v>119</v>
      </c>
      <c r="C116" s="330">
        <v>2250</v>
      </c>
      <c r="D116" s="329">
        <v>2060</v>
      </c>
      <c r="E116" s="329">
        <v>2130</v>
      </c>
      <c r="F116" s="329">
        <v>18130</v>
      </c>
      <c r="G116" s="329">
        <v>2840</v>
      </c>
      <c r="H116" s="329">
        <v>510</v>
      </c>
      <c r="I116" s="329">
        <v>600</v>
      </c>
      <c r="J116" s="329">
        <v>2630</v>
      </c>
      <c r="K116" s="329">
        <v>2540</v>
      </c>
      <c r="L116" s="329">
        <v>2620</v>
      </c>
      <c r="M116" s="329">
        <v>3030</v>
      </c>
      <c r="N116" s="329">
        <v>900</v>
      </c>
      <c r="O116" s="332">
        <f t="shared" si="13"/>
        <v>40240</v>
      </c>
      <c r="P116" s="708">
        <v>21000</v>
      </c>
      <c r="Q116" s="226">
        <v>30000</v>
      </c>
    </row>
    <row r="117" spans="1:17">
      <c r="B117" s="228"/>
      <c r="C117" s="330"/>
      <c r="D117" s="329"/>
      <c r="E117" s="329"/>
      <c r="F117" s="329"/>
      <c r="G117" s="329"/>
      <c r="H117" s="329"/>
      <c r="I117" s="329"/>
      <c r="J117" s="329"/>
      <c r="K117" s="329"/>
      <c r="L117" s="329"/>
      <c r="M117" s="329"/>
      <c r="N117" s="329"/>
      <c r="O117" s="332">
        <f t="shared" si="13"/>
        <v>0</v>
      </c>
      <c r="P117" s="584"/>
    </row>
    <row r="118" spans="1:17">
      <c r="A118" s="226">
        <v>7210400000</v>
      </c>
      <c r="B118" s="228" t="s">
        <v>120</v>
      </c>
      <c r="C118" s="330">
        <v>10635</v>
      </c>
      <c r="D118" s="330">
        <v>18205</v>
      </c>
      <c r="E118" s="330">
        <v>17040</v>
      </c>
      <c r="F118" s="330">
        <v>54082</v>
      </c>
      <c r="G118" s="330">
        <v>37475</v>
      </c>
      <c r="H118" s="330">
        <v>38100</v>
      </c>
      <c r="I118" s="330">
        <v>47073</v>
      </c>
      <c r="J118" s="330">
        <v>34120</v>
      </c>
      <c r="K118" s="330">
        <v>36890</v>
      </c>
      <c r="L118" s="330">
        <v>24820</v>
      </c>
      <c r="M118" s="330">
        <v>16990</v>
      </c>
      <c r="N118" s="330">
        <v>15980</v>
      </c>
      <c r="O118" s="332">
        <f t="shared" si="13"/>
        <v>351410</v>
      </c>
      <c r="P118" s="708">
        <v>220000</v>
      </c>
      <c r="Q118" s="226">
        <v>320000</v>
      </c>
    </row>
    <row r="119" spans="1:17">
      <c r="A119" s="226">
        <v>7909900000</v>
      </c>
      <c r="B119" s="228" t="s">
        <v>121</v>
      </c>
      <c r="C119" s="330">
        <v>53215</v>
      </c>
      <c r="D119" s="329">
        <v>63125</v>
      </c>
      <c r="E119" s="329">
        <v>122243</v>
      </c>
      <c r="F119" s="329">
        <v>85370</v>
      </c>
      <c r="G119" s="329">
        <v>73795</v>
      </c>
      <c r="H119" s="329">
        <v>47665</v>
      </c>
      <c r="I119" s="329"/>
      <c r="J119" s="329">
        <v>61865</v>
      </c>
      <c r="K119" s="329">
        <v>133529</v>
      </c>
      <c r="L119" s="329">
        <v>85473</v>
      </c>
      <c r="M119" s="329">
        <v>80389</v>
      </c>
      <c r="N119" s="329">
        <v>78057</v>
      </c>
      <c r="O119" s="332">
        <f t="shared" si="13"/>
        <v>884726</v>
      </c>
      <c r="P119" s="708">
        <v>600000</v>
      </c>
    </row>
    <row r="120" spans="1:17">
      <c r="B120" s="228"/>
      <c r="C120" s="330"/>
      <c r="D120" s="330"/>
      <c r="E120" s="330"/>
      <c r="F120" s="330"/>
      <c r="G120" s="330"/>
      <c r="H120" s="330"/>
      <c r="I120" s="330"/>
      <c r="J120" s="330"/>
      <c r="K120" s="330"/>
      <c r="L120" s="330"/>
      <c r="M120" s="330"/>
      <c r="N120" s="330"/>
      <c r="O120" s="332">
        <f t="shared" si="13"/>
        <v>0</v>
      </c>
      <c r="P120" s="708"/>
    </row>
    <row r="121" spans="1:17">
      <c r="B121" s="292"/>
      <c r="C121" s="292"/>
      <c r="D121" s="292"/>
      <c r="E121" s="292"/>
      <c r="F121" s="292"/>
      <c r="G121" s="292"/>
      <c r="H121" s="292"/>
      <c r="I121" s="292"/>
      <c r="J121" s="292"/>
      <c r="K121" s="292"/>
      <c r="L121" s="292"/>
      <c r="M121" s="292"/>
      <c r="N121" s="292"/>
      <c r="O121" s="332">
        <f t="shared" si="13"/>
        <v>0</v>
      </c>
      <c r="P121" s="584"/>
    </row>
    <row r="122" spans="1:17" ht="13.5" thickBot="1">
      <c r="B122" s="228" t="s">
        <v>125</v>
      </c>
      <c r="C122" s="330">
        <v>50000</v>
      </c>
      <c r="D122" s="329"/>
      <c r="E122" s="329"/>
      <c r="F122" s="329"/>
      <c r="G122" s="329"/>
      <c r="H122" s="329">
        <v>91525</v>
      </c>
      <c r="I122" s="329"/>
      <c r="J122" s="329"/>
      <c r="K122" s="329"/>
      <c r="L122" s="329"/>
      <c r="M122" s="329"/>
      <c r="N122" s="329">
        <v>75688</v>
      </c>
      <c r="O122" s="332">
        <f t="shared" si="13"/>
        <v>217213</v>
      </c>
      <c r="P122" s="708">
        <v>50000</v>
      </c>
    </row>
    <row r="123" spans="1:17" ht="13.5" thickBot="1">
      <c r="B123" s="341" t="s">
        <v>126</v>
      </c>
      <c r="C123" s="342">
        <f t="shared" ref="C123:N123" si="16">SUM(C114:C122)</f>
        <v>352607</v>
      </c>
      <c r="D123" s="342">
        <f t="shared" si="16"/>
        <v>199673</v>
      </c>
      <c r="E123" s="342">
        <f t="shared" si="16"/>
        <v>349632</v>
      </c>
      <c r="F123" s="342">
        <f t="shared" si="16"/>
        <v>342155</v>
      </c>
      <c r="G123" s="342">
        <f t="shared" si="16"/>
        <v>283124</v>
      </c>
      <c r="H123" s="342">
        <f t="shared" si="16"/>
        <v>258535</v>
      </c>
      <c r="I123" s="342">
        <f t="shared" si="16"/>
        <v>82525</v>
      </c>
      <c r="J123" s="342">
        <f t="shared" si="16"/>
        <v>163755</v>
      </c>
      <c r="K123" s="342">
        <f t="shared" si="16"/>
        <v>221300</v>
      </c>
      <c r="L123" s="342">
        <f t="shared" si="16"/>
        <v>417867</v>
      </c>
      <c r="M123" s="342">
        <f t="shared" si="16"/>
        <v>248888</v>
      </c>
      <c r="N123" s="342">
        <f t="shared" si="16"/>
        <v>264567</v>
      </c>
      <c r="O123" s="334">
        <f t="shared" si="13"/>
        <v>3184628</v>
      </c>
      <c r="P123" s="584"/>
    </row>
    <row r="124" spans="1:17" ht="13.5" thickBot="1">
      <c r="B124" s="336" t="s">
        <v>127</v>
      </c>
      <c r="C124" s="673"/>
      <c r="D124" s="344"/>
      <c r="E124" s="344"/>
      <c r="F124" s="344"/>
      <c r="G124" s="344"/>
      <c r="H124" s="344"/>
      <c r="I124" s="344"/>
      <c r="J124" s="344"/>
      <c r="K124" s="344"/>
      <c r="L124" s="344"/>
      <c r="M124" s="344"/>
      <c r="N124" s="344"/>
      <c r="O124" s="332">
        <f t="shared" si="13"/>
        <v>0</v>
      </c>
      <c r="P124" s="584"/>
    </row>
    <row r="125" spans="1:17">
      <c r="B125" s="345" t="s">
        <v>129</v>
      </c>
      <c r="C125" s="346">
        <f t="shared" ref="C125:N125" si="17">SUM(C113,C123,C124)</f>
        <v>1932951.5833333335</v>
      </c>
      <c r="D125" s="346">
        <f t="shared" si="17"/>
        <v>1780017.5833333335</v>
      </c>
      <c r="E125" s="346">
        <f t="shared" si="17"/>
        <v>1929976.5833333335</v>
      </c>
      <c r="F125" s="346">
        <f t="shared" si="17"/>
        <v>1922499.5833333335</v>
      </c>
      <c r="G125" s="346">
        <f t="shared" si="17"/>
        <v>1863468.5833333335</v>
      </c>
      <c r="H125" s="346">
        <f t="shared" si="17"/>
        <v>1838879.5833333335</v>
      </c>
      <c r="I125" s="346">
        <f t="shared" si="17"/>
        <v>1662869.5833333335</v>
      </c>
      <c r="J125" s="346">
        <f t="shared" si="17"/>
        <v>1744099.5833333335</v>
      </c>
      <c r="K125" s="346">
        <f t="shared" si="17"/>
        <v>1801644.5833333335</v>
      </c>
      <c r="L125" s="346">
        <f t="shared" si="17"/>
        <v>1998211.5833333335</v>
      </c>
      <c r="M125" s="346">
        <f t="shared" si="17"/>
        <v>1829232.5833333335</v>
      </c>
      <c r="N125" s="346">
        <f t="shared" si="17"/>
        <v>1844911.5833333335</v>
      </c>
      <c r="O125" s="709">
        <f t="shared" si="13"/>
        <v>22148763</v>
      </c>
      <c r="P125" s="708">
        <f>SUM(P113:P124)</f>
        <v>21223196</v>
      </c>
    </row>
    <row r="126" spans="1:17" s="710" customFormat="1">
      <c r="A126" s="713" t="s">
        <v>130</v>
      </c>
      <c r="B126" s="711"/>
      <c r="C126" s="712"/>
      <c r="D126" s="712"/>
      <c r="E126" s="712"/>
      <c r="F126" s="712"/>
      <c r="G126" s="712"/>
      <c r="H126" s="712"/>
      <c r="I126" s="712"/>
      <c r="J126" s="712"/>
      <c r="K126" s="712"/>
      <c r="L126" s="712"/>
      <c r="M126" s="712"/>
      <c r="N126" s="712"/>
      <c r="O126" s="712"/>
    </row>
    <row r="127" spans="1:17">
      <c r="A127" s="314"/>
      <c r="B127" s="400" t="s">
        <v>131</v>
      </c>
      <c r="C127" s="329">
        <v>1348250</v>
      </c>
      <c r="D127" s="329">
        <v>1636245</v>
      </c>
      <c r="E127" s="329">
        <v>1629335</v>
      </c>
      <c r="F127" s="329">
        <v>1993573</v>
      </c>
      <c r="G127" s="329">
        <v>2209344</v>
      </c>
      <c r="H127" s="329">
        <v>1955148</v>
      </c>
      <c r="I127" s="329">
        <v>2035084</v>
      </c>
      <c r="J127" s="329">
        <v>1871783</v>
      </c>
      <c r="K127" s="329">
        <v>1893703</v>
      </c>
      <c r="L127" s="329">
        <v>1854581</v>
      </c>
      <c r="M127" s="329">
        <v>1614337</v>
      </c>
      <c r="N127" s="329">
        <v>1636245</v>
      </c>
      <c r="O127" s="329">
        <f>SUM(C127:N127)</f>
        <v>21677628</v>
      </c>
      <c r="P127" s="708">
        <v>18500000</v>
      </c>
      <c r="Q127" s="525" t="s">
        <v>235</v>
      </c>
    </row>
    <row r="128" spans="1:17">
      <c r="A128" s="388">
        <v>2909900000</v>
      </c>
      <c r="B128" s="228" t="s">
        <v>133</v>
      </c>
      <c r="C128" s="329"/>
      <c r="D128" s="329">
        <v>9411</v>
      </c>
      <c r="E128" s="329">
        <v>4606</v>
      </c>
      <c r="F128" s="329">
        <v>19015</v>
      </c>
      <c r="G128" s="329">
        <v>5066</v>
      </c>
      <c r="H128" s="329">
        <v>13320</v>
      </c>
      <c r="I128" s="329">
        <v>5485</v>
      </c>
      <c r="J128" s="329">
        <v>1195</v>
      </c>
      <c r="K128" s="329">
        <v>4241</v>
      </c>
      <c r="L128" s="329">
        <v>3213</v>
      </c>
      <c r="M128" s="329"/>
      <c r="N128" s="329"/>
      <c r="O128" s="330">
        <f t="shared" si="13"/>
        <v>65552</v>
      </c>
      <c r="P128" s="708">
        <v>80000</v>
      </c>
    </row>
    <row r="129" spans="1:17">
      <c r="A129" s="388">
        <v>2910300000</v>
      </c>
      <c r="B129" s="228" t="s">
        <v>134</v>
      </c>
      <c r="C129" s="329"/>
      <c r="D129" s="329"/>
      <c r="E129" s="329">
        <v>1200</v>
      </c>
      <c r="F129" s="329"/>
      <c r="G129" s="329"/>
      <c r="H129" s="329"/>
      <c r="I129" s="329"/>
      <c r="J129" s="329"/>
      <c r="K129" s="329"/>
      <c r="L129" s="329"/>
      <c r="M129" s="329"/>
      <c r="N129" s="329"/>
      <c r="O129" s="330">
        <f t="shared" si="13"/>
        <v>1200</v>
      </c>
      <c r="P129" s="708">
        <v>20000</v>
      </c>
    </row>
    <row r="130" spans="1:17">
      <c r="A130" s="388">
        <v>2911800000</v>
      </c>
      <c r="B130" s="228" t="s">
        <v>135</v>
      </c>
      <c r="C130" s="329">
        <v>1693</v>
      </c>
      <c r="D130" s="329">
        <v>1996</v>
      </c>
      <c r="E130" s="329"/>
      <c r="F130" s="329">
        <v>24752</v>
      </c>
      <c r="G130" s="329">
        <v>122826</v>
      </c>
      <c r="H130" s="329">
        <v>42397</v>
      </c>
      <c r="I130" s="329">
        <v>24512</v>
      </c>
      <c r="J130" s="329">
        <v>2636</v>
      </c>
      <c r="K130" s="329">
        <v>11518</v>
      </c>
      <c r="L130" s="329">
        <v>9418</v>
      </c>
      <c r="M130" s="329"/>
      <c r="N130" s="329"/>
      <c r="O130" s="330">
        <f t="shared" si="13"/>
        <v>241748</v>
      </c>
      <c r="P130" s="708">
        <v>240000</v>
      </c>
      <c r="Q130" s="226">
        <v>-270000</v>
      </c>
    </row>
    <row r="131" spans="1:17">
      <c r="A131" s="388">
        <v>4009900000</v>
      </c>
      <c r="B131" s="228" t="s">
        <v>136</v>
      </c>
      <c r="C131" s="329"/>
      <c r="D131" s="329">
        <v>1799</v>
      </c>
      <c r="E131" s="329">
        <v>153</v>
      </c>
      <c r="F131" s="329"/>
      <c r="G131" s="329">
        <v>100</v>
      </c>
      <c r="H131" s="329">
        <v>3647</v>
      </c>
      <c r="I131" s="329">
        <v>5732</v>
      </c>
      <c r="J131" s="329"/>
      <c r="K131" s="329"/>
      <c r="L131" s="329"/>
      <c r="M131" s="329"/>
      <c r="N131" s="329"/>
      <c r="O131" s="330">
        <f t="shared" si="13"/>
        <v>11431</v>
      </c>
      <c r="P131" s="708">
        <v>10000</v>
      </c>
    </row>
    <row r="132" spans="1:17">
      <c r="A132" s="388">
        <v>9820000000</v>
      </c>
      <c r="B132" s="228" t="s">
        <v>137</v>
      </c>
      <c r="C132" s="329">
        <v>0</v>
      </c>
      <c r="D132" s="329">
        <v>3227</v>
      </c>
      <c r="E132" s="329">
        <v>4135</v>
      </c>
      <c r="F132" s="329">
        <v>6141</v>
      </c>
      <c r="G132" s="329">
        <v>0</v>
      </c>
      <c r="H132" s="329">
        <v>6130</v>
      </c>
      <c r="I132" s="329">
        <v>4576</v>
      </c>
      <c r="J132" s="329">
        <v>4152</v>
      </c>
      <c r="K132" s="329">
        <v>663</v>
      </c>
      <c r="L132" s="329"/>
      <c r="M132" s="329"/>
      <c r="N132" s="329"/>
      <c r="O132" s="330">
        <f t="shared" si="13"/>
        <v>29024</v>
      </c>
      <c r="P132" s="708">
        <v>60000</v>
      </c>
    </row>
    <row r="133" spans="1:17">
      <c r="A133" s="388">
        <v>4013600000</v>
      </c>
      <c r="B133" s="228" t="s">
        <v>138</v>
      </c>
      <c r="C133" s="329">
        <v>2700</v>
      </c>
      <c r="D133" s="329"/>
      <c r="E133" s="329"/>
      <c r="F133" s="329"/>
      <c r="G133" s="329"/>
      <c r="H133" s="329"/>
      <c r="I133" s="329"/>
      <c r="J133" s="329"/>
      <c r="K133" s="329"/>
      <c r="L133" s="329"/>
      <c r="M133" s="329"/>
      <c r="N133" s="329"/>
      <c r="O133" s="330">
        <f t="shared" si="13"/>
        <v>2700</v>
      </c>
      <c r="P133" s="708">
        <v>3000</v>
      </c>
      <c r="Q133" s="525" t="s">
        <v>236</v>
      </c>
    </row>
    <row r="134" spans="1:17">
      <c r="A134" s="388">
        <v>4909900000</v>
      </c>
      <c r="B134" s="228" t="s">
        <v>139</v>
      </c>
      <c r="C134" s="329">
        <v>19600</v>
      </c>
      <c r="D134" s="329">
        <v>1630</v>
      </c>
      <c r="E134" s="329">
        <v>15342</v>
      </c>
      <c r="F134" s="329">
        <v>54891</v>
      </c>
      <c r="G134" s="329">
        <v>12371</v>
      </c>
      <c r="H134" s="329">
        <v>25907</v>
      </c>
      <c r="I134" s="329">
        <v>176</v>
      </c>
      <c r="J134" s="329">
        <v>1256</v>
      </c>
      <c r="K134" s="329">
        <v>8287</v>
      </c>
      <c r="L134" s="329">
        <v>17179</v>
      </c>
      <c r="M134" s="329"/>
      <c r="N134" s="329"/>
      <c r="O134" s="330">
        <f t="shared" si="13"/>
        <v>156639</v>
      </c>
      <c r="P134" s="708">
        <v>240000</v>
      </c>
    </row>
    <row r="135" spans="1:17">
      <c r="A135" s="388">
        <v>4011400000</v>
      </c>
      <c r="B135" s="228" t="s">
        <v>140</v>
      </c>
      <c r="C135" s="329"/>
      <c r="D135" s="329"/>
      <c r="E135" s="329"/>
      <c r="F135" s="329"/>
      <c r="G135" s="329"/>
      <c r="H135" s="329"/>
      <c r="I135" s="329"/>
      <c r="J135" s="329"/>
      <c r="K135" s="329"/>
      <c r="L135" s="329"/>
      <c r="M135" s="329"/>
      <c r="N135" s="329"/>
      <c r="O135" s="330">
        <f t="shared" si="13"/>
        <v>0</v>
      </c>
      <c r="P135" s="708">
        <v>5000</v>
      </c>
    </row>
    <row r="136" spans="1:17">
      <c r="A136" s="388">
        <v>9845500000</v>
      </c>
      <c r="B136" s="228" t="s">
        <v>141</v>
      </c>
      <c r="C136" s="329">
        <v>4411</v>
      </c>
      <c r="D136" s="329">
        <v>5990</v>
      </c>
      <c r="E136" s="329">
        <v>4412</v>
      </c>
      <c r="F136" s="329">
        <v>4412</v>
      </c>
      <c r="G136" s="329">
        <v>4412</v>
      </c>
      <c r="H136" s="329">
        <v>4412</v>
      </c>
      <c r="I136" s="329">
        <v>5517</v>
      </c>
      <c r="J136" s="329">
        <v>5106</v>
      </c>
      <c r="K136" s="329">
        <v>5106</v>
      </c>
      <c r="L136" s="329">
        <v>5106</v>
      </c>
      <c r="M136" s="329">
        <v>5106</v>
      </c>
      <c r="N136" s="329">
        <v>5106</v>
      </c>
      <c r="O136" s="330">
        <f t="shared" si="13"/>
        <v>59096</v>
      </c>
      <c r="P136" s="708">
        <v>65000</v>
      </c>
    </row>
    <row r="137" spans="1:17">
      <c r="A137" s="388"/>
      <c r="B137" s="228"/>
      <c r="C137" s="329"/>
      <c r="D137" s="329"/>
      <c r="E137" s="329"/>
      <c r="F137" s="329"/>
      <c r="G137" s="329"/>
      <c r="H137" s="329"/>
      <c r="I137" s="329"/>
      <c r="J137" s="329"/>
      <c r="K137" s="329"/>
      <c r="L137" s="329"/>
      <c r="M137" s="329"/>
      <c r="N137" s="329"/>
      <c r="O137" s="330">
        <f t="shared" si="13"/>
        <v>0</v>
      </c>
      <c r="P137" s="708"/>
    </row>
    <row r="138" spans="1:17">
      <c r="A138" s="388"/>
      <c r="B138" s="228"/>
      <c r="C138" s="329"/>
      <c r="D138" s="329"/>
      <c r="E138" s="329"/>
      <c r="F138" s="329"/>
      <c r="G138" s="329"/>
      <c r="H138" s="329"/>
      <c r="I138" s="329"/>
      <c r="J138" s="329"/>
      <c r="K138" s="329"/>
      <c r="L138" s="329"/>
      <c r="M138" s="329"/>
      <c r="N138" s="329"/>
      <c r="O138" s="330">
        <f t="shared" si="13"/>
        <v>0</v>
      </c>
      <c r="P138" s="708"/>
    </row>
    <row r="139" spans="1:17">
      <c r="A139" s="388"/>
      <c r="B139" s="228"/>
      <c r="C139" s="329"/>
      <c r="D139" s="329"/>
      <c r="E139" s="329"/>
      <c r="F139" s="329"/>
      <c r="G139" s="329"/>
      <c r="H139" s="329"/>
      <c r="I139" s="329"/>
      <c r="J139" s="329"/>
      <c r="K139" s="329"/>
      <c r="L139" s="329"/>
      <c r="M139" s="329"/>
      <c r="N139" s="329"/>
      <c r="O139" s="330">
        <f t="shared" si="13"/>
        <v>0</v>
      </c>
      <c r="P139" s="708"/>
    </row>
    <row r="140" spans="1:17">
      <c r="A140" s="388"/>
      <c r="B140" s="292"/>
      <c r="C140" s="292"/>
      <c r="D140" s="292"/>
      <c r="E140" s="292"/>
      <c r="F140" s="292"/>
      <c r="G140" s="292"/>
      <c r="H140" s="292"/>
      <c r="I140" s="292"/>
      <c r="J140" s="292"/>
      <c r="K140" s="292"/>
      <c r="L140" s="292"/>
      <c r="M140" s="292"/>
      <c r="N140" s="292"/>
      <c r="O140" s="330">
        <f t="shared" si="13"/>
        <v>0</v>
      </c>
      <c r="P140" s="708"/>
    </row>
    <row r="141" spans="1:17" ht="13.5" thickBot="1">
      <c r="A141" s="388"/>
      <c r="B141" s="345" t="s">
        <v>145</v>
      </c>
      <c r="C141" s="346">
        <f>SUM(C127:C140)</f>
        <v>1376654</v>
      </c>
      <c r="D141" s="346">
        <f t="shared" ref="D141:N141" si="18">SUM(D127:D140)</f>
        <v>1660298</v>
      </c>
      <c r="E141" s="346">
        <f t="shared" si="18"/>
        <v>1659183</v>
      </c>
      <c r="F141" s="346">
        <f t="shared" si="18"/>
        <v>2102784</v>
      </c>
      <c r="G141" s="346">
        <f t="shared" si="18"/>
        <v>2354119</v>
      </c>
      <c r="H141" s="346">
        <f t="shared" si="18"/>
        <v>2050961</v>
      </c>
      <c r="I141" s="346">
        <f t="shared" si="18"/>
        <v>2081082</v>
      </c>
      <c r="J141" s="346">
        <f t="shared" si="18"/>
        <v>1886128</v>
      </c>
      <c r="K141" s="346">
        <f t="shared" si="18"/>
        <v>1923518</v>
      </c>
      <c r="L141" s="346">
        <f t="shared" si="18"/>
        <v>1889497</v>
      </c>
      <c r="M141" s="346">
        <f t="shared" si="18"/>
        <v>1619443</v>
      </c>
      <c r="N141" s="346">
        <f t="shared" si="18"/>
        <v>1641351</v>
      </c>
      <c r="O141" s="346">
        <f t="shared" si="13"/>
        <v>22245018</v>
      </c>
      <c r="P141" s="708">
        <f>SUM(P127:P140)</f>
        <v>19223000</v>
      </c>
    </row>
    <row r="142" spans="1:17" ht="13.5" thickBot="1">
      <c r="B142" s="350" t="s">
        <v>146</v>
      </c>
      <c r="C142" s="351">
        <f>C125-C141</f>
        <v>556297.58333333349</v>
      </c>
      <c r="D142" s="351">
        <f t="shared" ref="D142:N142" si="19">D125-D141</f>
        <v>119719.58333333349</v>
      </c>
      <c r="E142" s="351">
        <f t="shared" si="19"/>
        <v>270793.58333333349</v>
      </c>
      <c r="F142" s="351">
        <f t="shared" si="19"/>
        <v>-180284.41666666651</v>
      </c>
      <c r="G142" s="351">
        <f t="shared" si="19"/>
        <v>-490650.41666666651</v>
      </c>
      <c r="H142" s="351">
        <f t="shared" si="19"/>
        <v>-212081.41666666651</v>
      </c>
      <c r="I142" s="351">
        <f t="shared" si="19"/>
        <v>-418212.41666666651</v>
      </c>
      <c r="J142" s="351">
        <f t="shared" si="19"/>
        <v>-142028.41666666651</v>
      </c>
      <c r="K142" s="351">
        <f t="shared" si="19"/>
        <v>-121873.41666666651</v>
      </c>
      <c r="L142" s="351">
        <f t="shared" si="19"/>
        <v>108714.58333333349</v>
      </c>
      <c r="M142" s="351">
        <f t="shared" si="19"/>
        <v>209789.58333333349</v>
      </c>
      <c r="N142" s="351">
        <f t="shared" si="19"/>
        <v>203560.58333333349</v>
      </c>
      <c r="O142" s="351">
        <f t="shared" si="13"/>
        <v>-96254.999999998137</v>
      </c>
    </row>
    <row r="143" spans="1:17" ht="13.5" thickBot="1">
      <c r="A143" s="352"/>
      <c r="B143" s="353"/>
      <c r="C143" s="353"/>
      <c r="D143" s="353"/>
      <c r="E143" s="353"/>
      <c r="F143" s="353"/>
      <c r="G143" s="353"/>
      <c r="H143" s="353"/>
      <c r="I143" s="353"/>
      <c r="J143" s="353"/>
      <c r="K143" s="353"/>
      <c r="L143" s="353"/>
      <c r="M143" s="353"/>
      <c r="N143" s="353"/>
    </row>
    <row r="144" spans="1:17" ht="20.25">
      <c r="A144" s="825" t="s">
        <v>237</v>
      </c>
      <c r="B144" s="825"/>
      <c r="C144" s="825"/>
      <c r="D144" s="825"/>
      <c r="E144" s="825"/>
      <c r="F144" s="825"/>
      <c r="G144" s="825"/>
      <c r="H144" s="825"/>
      <c r="I144" s="825"/>
      <c r="J144" s="825"/>
      <c r="K144" s="825"/>
      <c r="L144" s="825"/>
      <c r="M144" s="825"/>
      <c r="N144" s="825"/>
    </row>
    <row r="145" spans="1:14">
      <c r="A145" s="227"/>
      <c r="B145" s="227"/>
      <c r="C145" s="227"/>
      <c r="D145" s="227"/>
      <c r="E145" s="227"/>
      <c r="F145" s="227"/>
      <c r="G145" s="227"/>
      <c r="H145" s="227"/>
      <c r="I145" s="227"/>
      <c r="J145" s="227"/>
      <c r="K145" s="227"/>
      <c r="L145" s="227"/>
      <c r="M145" s="227"/>
    </row>
    <row r="146" spans="1:14">
      <c r="A146" s="228"/>
      <c r="B146" s="229" t="s">
        <v>44</v>
      </c>
      <c r="C146" s="229" t="s">
        <v>45</v>
      </c>
      <c r="D146" s="230" t="s">
        <v>46</v>
      </c>
      <c r="E146" s="229" t="s">
        <v>47</v>
      </c>
      <c r="F146" s="229" t="s">
        <v>48</v>
      </c>
      <c r="G146" s="230" t="s">
        <v>49</v>
      </c>
      <c r="H146" s="229" t="s">
        <v>38</v>
      </c>
      <c r="I146" s="229" t="s">
        <v>39</v>
      </c>
      <c r="J146" s="229" t="s">
        <v>40</v>
      </c>
      <c r="K146" s="229" t="s">
        <v>41</v>
      </c>
      <c r="L146" s="229" t="s">
        <v>42</v>
      </c>
      <c r="M146" s="229" t="s">
        <v>43</v>
      </c>
      <c r="N146" s="228" t="s">
        <v>64</v>
      </c>
    </row>
    <row r="147" spans="1:14">
      <c r="A147" s="231" t="s">
        <v>65</v>
      </c>
      <c r="B147" s="620">
        <v>2565</v>
      </c>
      <c r="C147" s="620">
        <v>2565</v>
      </c>
      <c r="D147" s="620">
        <v>2565</v>
      </c>
      <c r="E147" s="620">
        <v>2565</v>
      </c>
      <c r="F147" s="620">
        <v>2565</v>
      </c>
      <c r="G147" s="620">
        <v>2565</v>
      </c>
      <c r="H147" s="620">
        <v>2565</v>
      </c>
      <c r="I147" s="620">
        <v>2565</v>
      </c>
      <c r="J147" s="620">
        <v>2565</v>
      </c>
      <c r="K147" s="620">
        <v>2565</v>
      </c>
      <c r="L147" s="620">
        <v>2565</v>
      </c>
      <c r="M147" s="620">
        <v>2565</v>
      </c>
      <c r="N147" s="620">
        <f t="shared" ref="N147:N157" si="20">SUM(B147:M147)</f>
        <v>30780</v>
      </c>
    </row>
    <row r="148" spans="1:14">
      <c r="A148" s="231" t="s">
        <v>66</v>
      </c>
      <c r="B148" s="620"/>
      <c r="C148" s="620"/>
      <c r="D148" s="620"/>
      <c r="E148" s="620"/>
      <c r="F148" s="620"/>
      <c r="G148" s="621"/>
      <c r="H148" s="620"/>
      <c r="I148" s="620">
        <v>22.5</v>
      </c>
      <c r="J148" s="622"/>
      <c r="K148" s="620"/>
      <c r="L148" s="620"/>
      <c r="M148" s="620"/>
      <c r="N148" s="620">
        <f t="shared" si="20"/>
        <v>22.5</v>
      </c>
    </row>
    <row r="149" spans="1:14">
      <c r="A149" s="231" t="s">
        <v>148</v>
      </c>
      <c r="B149" s="620"/>
      <c r="C149" s="620"/>
      <c r="D149" s="620"/>
      <c r="E149" s="620"/>
      <c r="F149" s="620"/>
      <c r="G149" s="621"/>
      <c r="H149" s="620"/>
      <c r="I149" s="620"/>
      <c r="J149" s="620"/>
      <c r="K149" s="620"/>
      <c r="L149" s="620"/>
      <c r="M149" s="620"/>
      <c r="N149" s="620">
        <f t="shared" si="20"/>
        <v>0</v>
      </c>
    </row>
    <row r="150" spans="1:14">
      <c r="A150" s="231" t="s">
        <v>69</v>
      </c>
      <c r="B150" s="620">
        <v>159.75</v>
      </c>
      <c r="C150" s="620">
        <v>56</v>
      </c>
      <c r="D150" s="620">
        <v>111.5</v>
      </c>
      <c r="E150" s="620">
        <v>198.5</v>
      </c>
      <c r="F150" s="620">
        <v>37</v>
      </c>
      <c r="G150" s="621">
        <v>171.25</v>
      </c>
      <c r="H150" s="620">
        <v>1344</v>
      </c>
      <c r="I150" s="620">
        <v>451.75</v>
      </c>
      <c r="J150" s="620">
        <v>154</v>
      </c>
      <c r="K150" s="620">
        <v>151.25</v>
      </c>
      <c r="L150" s="620">
        <v>66.25</v>
      </c>
      <c r="M150" s="620">
        <v>444.75</v>
      </c>
      <c r="N150" s="620">
        <f t="shared" si="20"/>
        <v>3346</v>
      </c>
    </row>
    <row r="151" spans="1:14">
      <c r="A151" s="231" t="s">
        <v>70</v>
      </c>
      <c r="B151" s="620">
        <v>37</v>
      </c>
      <c r="C151" s="620">
        <v>43</v>
      </c>
      <c r="D151" s="620">
        <v>74</v>
      </c>
      <c r="E151" s="620">
        <v>91</v>
      </c>
      <c r="F151" s="620"/>
      <c r="G151" s="621">
        <v>7.75</v>
      </c>
      <c r="H151" s="620">
        <v>7.75</v>
      </c>
      <c r="I151" s="620"/>
      <c r="J151" s="620">
        <v>13.75</v>
      </c>
      <c r="K151" s="620"/>
      <c r="L151" s="620"/>
      <c r="M151" s="620"/>
      <c r="N151" s="620">
        <f t="shared" si="20"/>
        <v>274.25</v>
      </c>
    </row>
    <row r="152" spans="1:14">
      <c r="A152" s="231" t="s">
        <v>71</v>
      </c>
      <c r="B152" s="620">
        <v>44.75</v>
      </c>
      <c r="C152" s="620">
        <v>23.25</v>
      </c>
      <c r="D152" s="620">
        <v>87.75</v>
      </c>
      <c r="E152" s="620">
        <v>47</v>
      </c>
      <c r="F152" s="620"/>
      <c r="G152" s="621"/>
      <c r="H152" s="620"/>
      <c r="I152" s="620">
        <v>80</v>
      </c>
      <c r="J152" s="620">
        <v>52.5</v>
      </c>
      <c r="K152" s="620">
        <v>93.75</v>
      </c>
      <c r="L152" s="620">
        <v>141.75</v>
      </c>
      <c r="M152" s="620">
        <v>61</v>
      </c>
      <c r="N152" s="620">
        <f t="shared" si="20"/>
        <v>631.75</v>
      </c>
    </row>
    <row r="153" spans="1:14">
      <c r="A153" s="231" t="s">
        <v>72</v>
      </c>
      <c r="B153" s="620">
        <v>7.75</v>
      </c>
      <c r="C153" s="620">
        <v>7.75</v>
      </c>
      <c r="D153" s="620"/>
      <c r="E153" s="620"/>
      <c r="F153" s="620"/>
      <c r="G153" s="621"/>
      <c r="H153" s="620"/>
      <c r="I153" s="620"/>
      <c r="J153" s="620"/>
      <c r="K153" s="620"/>
      <c r="L153" s="620"/>
      <c r="M153" s="620"/>
      <c r="N153" s="620">
        <f t="shared" si="20"/>
        <v>15.5</v>
      </c>
    </row>
    <row r="154" spans="1:14">
      <c r="A154" s="231" t="s">
        <v>73</v>
      </c>
      <c r="B154" s="620">
        <v>36</v>
      </c>
      <c r="C154" s="620">
        <v>96.25</v>
      </c>
      <c r="D154" s="620">
        <v>52.5</v>
      </c>
      <c r="E154" s="620">
        <v>82.25</v>
      </c>
      <c r="F154" s="620">
        <v>25.75</v>
      </c>
      <c r="G154" s="621">
        <v>129</v>
      </c>
      <c r="H154" s="620">
        <v>101.5</v>
      </c>
      <c r="I154" s="620">
        <v>126.5</v>
      </c>
      <c r="J154" s="620">
        <v>73</v>
      </c>
      <c r="K154" s="620">
        <v>69.75</v>
      </c>
      <c r="L154" s="620">
        <v>10</v>
      </c>
      <c r="M154" s="620">
        <v>116.5</v>
      </c>
      <c r="N154" s="620">
        <f t="shared" si="20"/>
        <v>919</v>
      </c>
    </row>
    <row r="155" spans="1:14">
      <c r="A155" s="231" t="s">
        <v>74</v>
      </c>
      <c r="B155" s="620"/>
      <c r="C155" s="620"/>
      <c r="D155" s="620"/>
      <c r="E155" s="620"/>
      <c r="F155" s="620"/>
      <c r="G155" s="621"/>
      <c r="H155" s="620"/>
      <c r="I155" s="620"/>
      <c r="J155" s="620"/>
      <c r="K155" s="620"/>
      <c r="L155" s="620"/>
      <c r="M155" s="620"/>
      <c r="N155" s="620">
        <f t="shared" si="20"/>
        <v>0</v>
      </c>
    </row>
    <row r="156" spans="1:14">
      <c r="A156" s="231" t="s">
        <v>75</v>
      </c>
      <c r="B156" s="620"/>
      <c r="C156" s="620"/>
      <c r="D156" s="620"/>
      <c r="E156" s="620"/>
      <c r="F156" s="620"/>
      <c r="G156" s="621"/>
      <c r="H156" s="620"/>
      <c r="I156" s="620"/>
      <c r="J156" s="620">
        <v>17.5</v>
      </c>
      <c r="K156" s="620"/>
      <c r="L156" s="620">
        <v>3</v>
      </c>
      <c r="M156" s="620"/>
      <c r="N156" s="620">
        <f t="shared" si="20"/>
        <v>20.5</v>
      </c>
    </row>
    <row r="157" spans="1:14" ht="13.5" thickBot="1">
      <c r="A157" s="235" t="s">
        <v>76</v>
      </c>
      <c r="B157" s="623"/>
      <c r="C157" s="623"/>
      <c r="D157" s="623"/>
      <c r="E157" s="623"/>
      <c r="F157" s="623"/>
      <c r="G157" s="624"/>
      <c r="H157" s="623"/>
      <c r="I157" s="623"/>
      <c r="J157" s="623">
        <v>52.5</v>
      </c>
      <c r="K157" s="623"/>
      <c r="L157" s="623"/>
      <c r="M157" s="623"/>
      <c r="N157" s="625">
        <f t="shared" si="20"/>
        <v>52.5</v>
      </c>
    </row>
    <row r="158" spans="1:14" ht="13.5" thickBot="1">
      <c r="A158" s="239" t="s">
        <v>77</v>
      </c>
      <c r="B158" s="626">
        <f>SUM(B147:B157)</f>
        <v>2850.25</v>
      </c>
      <c r="C158" s="626">
        <f t="shared" ref="C158:N158" si="21">SUM(C147:C157)</f>
        <v>2791.25</v>
      </c>
      <c r="D158" s="626">
        <f t="shared" si="21"/>
        <v>2890.75</v>
      </c>
      <c r="E158" s="626">
        <f t="shared" si="21"/>
        <v>2983.75</v>
      </c>
      <c r="F158" s="626">
        <f t="shared" si="21"/>
        <v>2627.75</v>
      </c>
      <c r="G158" s="626">
        <f t="shared" si="21"/>
        <v>2873</v>
      </c>
      <c r="H158" s="626">
        <f t="shared" si="21"/>
        <v>4018.25</v>
      </c>
      <c r="I158" s="626">
        <f t="shared" si="21"/>
        <v>3245.75</v>
      </c>
      <c r="J158" s="626">
        <f t="shared" si="21"/>
        <v>2928.25</v>
      </c>
      <c r="K158" s="626">
        <f t="shared" si="21"/>
        <v>2879.75</v>
      </c>
      <c r="L158" s="626">
        <f t="shared" si="21"/>
        <v>2786</v>
      </c>
      <c r="M158" s="626">
        <f t="shared" si="21"/>
        <v>3187.25</v>
      </c>
      <c r="N158" s="632">
        <f t="shared" si="21"/>
        <v>36062</v>
      </c>
    </row>
    <row r="159" spans="1:14">
      <c r="A159" s="243"/>
      <c r="B159" s="261"/>
      <c r="C159" s="261"/>
      <c r="D159" s="261"/>
      <c r="E159" s="261"/>
      <c r="F159" s="261"/>
      <c r="G159" s="261"/>
      <c r="H159" s="261"/>
      <c r="I159" s="261"/>
      <c r="J159" s="261"/>
      <c r="K159" s="261"/>
      <c r="L159" s="261"/>
      <c r="M159" s="261"/>
      <c r="N159" s="261"/>
    </row>
    <row r="160" spans="1:14">
      <c r="A160" s="243"/>
      <c r="B160" s="261"/>
      <c r="C160" s="261"/>
      <c r="D160" s="261"/>
      <c r="E160" s="261"/>
      <c r="F160" s="261"/>
      <c r="G160" s="261"/>
      <c r="H160" s="261"/>
      <c r="I160" s="261"/>
      <c r="J160" s="261"/>
      <c r="K160" s="261"/>
      <c r="L160" s="261"/>
      <c r="M160" s="261"/>
      <c r="N160" s="629" t="s">
        <v>78</v>
      </c>
    </row>
    <row r="161" spans="1:14">
      <c r="A161" s="231" t="s">
        <v>79</v>
      </c>
      <c r="B161" s="620">
        <f t="shared" ref="B161:M161" si="22">SUM(B148*100/B158)</f>
        <v>0</v>
      </c>
      <c r="C161" s="620">
        <f t="shared" si="22"/>
        <v>0</v>
      </c>
      <c r="D161" s="620">
        <f t="shared" si="22"/>
        <v>0</v>
      </c>
      <c r="E161" s="620">
        <f t="shared" si="22"/>
        <v>0</v>
      </c>
      <c r="F161" s="620">
        <f t="shared" si="22"/>
        <v>0</v>
      </c>
      <c r="G161" s="620">
        <f t="shared" si="22"/>
        <v>0</v>
      </c>
      <c r="H161" s="620">
        <f t="shared" si="22"/>
        <v>0</v>
      </c>
      <c r="I161" s="620">
        <f t="shared" si="22"/>
        <v>0.69321420318878535</v>
      </c>
      <c r="J161" s="620">
        <f t="shared" si="22"/>
        <v>0</v>
      </c>
      <c r="K161" s="620">
        <f t="shared" si="22"/>
        <v>0</v>
      </c>
      <c r="L161" s="620">
        <f t="shared" si="22"/>
        <v>0</v>
      </c>
      <c r="M161" s="620">
        <f t="shared" si="22"/>
        <v>0</v>
      </c>
      <c r="N161" s="630">
        <f>SUM(B161:M161)/12</f>
        <v>5.7767850265732112E-2</v>
      </c>
    </row>
    <row r="162" spans="1:14">
      <c r="A162" s="243"/>
      <c r="B162" s="261"/>
      <c r="C162" s="261"/>
      <c r="D162" s="261"/>
      <c r="E162" s="261"/>
      <c r="F162" s="261"/>
      <c r="G162" s="261"/>
      <c r="H162" s="261"/>
      <c r="I162" s="261"/>
      <c r="J162" s="261"/>
      <c r="K162" s="261"/>
      <c r="L162" s="261"/>
      <c r="M162" s="261"/>
      <c r="N162" s="261"/>
    </row>
    <row r="163" spans="1:14">
      <c r="A163" s="231" t="s">
        <v>80</v>
      </c>
      <c r="B163" s="620">
        <f t="shared" ref="B163:M163" si="23">SUM(B152*100/B158)</f>
        <v>1.5700377159898256</v>
      </c>
      <c r="C163" s="620">
        <f t="shared" si="23"/>
        <v>0.83296014330497092</v>
      </c>
      <c r="D163" s="620">
        <f t="shared" si="23"/>
        <v>3.0355444088904262</v>
      </c>
      <c r="E163" s="620">
        <f t="shared" si="23"/>
        <v>1.5751989945538332</v>
      </c>
      <c r="F163" s="620">
        <f t="shared" si="23"/>
        <v>0</v>
      </c>
      <c r="G163" s="620">
        <f t="shared" si="23"/>
        <v>0</v>
      </c>
      <c r="H163" s="620">
        <f t="shared" si="23"/>
        <v>0</v>
      </c>
      <c r="I163" s="620">
        <f t="shared" si="23"/>
        <v>2.4647616113379036</v>
      </c>
      <c r="J163" s="620">
        <f t="shared" si="23"/>
        <v>1.792879706309229</v>
      </c>
      <c r="K163" s="620">
        <f t="shared" si="23"/>
        <v>3.2554909280319473</v>
      </c>
      <c r="L163" s="620">
        <f t="shared" si="23"/>
        <v>5.0879396984924625</v>
      </c>
      <c r="M163" s="620">
        <f t="shared" si="23"/>
        <v>1.9138755980861244</v>
      </c>
      <c r="N163" s="630">
        <f>SUM(B163:M163)/12</f>
        <v>1.7940574004163936</v>
      </c>
    </row>
    <row r="164" spans="1:14" ht="13.5" thickBot="1">
      <c r="A164" s="247" t="s">
        <v>81</v>
      </c>
      <c r="B164" s="625">
        <f t="shared" ref="B164:M164" si="24">SUM(B153*100/B158)</f>
        <v>0.27190597316024911</v>
      </c>
      <c r="C164" s="625">
        <f t="shared" si="24"/>
        <v>0.27765338110165694</v>
      </c>
      <c r="D164" s="625">
        <f t="shared" si="24"/>
        <v>0</v>
      </c>
      <c r="E164" s="625">
        <f t="shared" si="24"/>
        <v>0</v>
      </c>
      <c r="F164" s="625">
        <f t="shared" si="24"/>
        <v>0</v>
      </c>
      <c r="G164" s="625">
        <f t="shared" si="24"/>
        <v>0</v>
      </c>
      <c r="H164" s="625">
        <f t="shared" si="24"/>
        <v>0</v>
      </c>
      <c r="I164" s="625">
        <f t="shared" si="24"/>
        <v>0</v>
      </c>
      <c r="J164" s="625">
        <f t="shared" si="24"/>
        <v>0</v>
      </c>
      <c r="K164" s="625">
        <f t="shared" si="24"/>
        <v>0</v>
      </c>
      <c r="L164" s="625">
        <f t="shared" si="24"/>
        <v>0</v>
      </c>
      <c r="M164" s="625">
        <f t="shared" si="24"/>
        <v>0</v>
      </c>
      <c r="N164" s="631">
        <f>SUM(B164:M164)/12</f>
        <v>4.579661285515884E-2</v>
      </c>
    </row>
    <row r="165" spans="1:14" ht="13.5" thickBot="1">
      <c r="A165" s="249" t="s">
        <v>82</v>
      </c>
      <c r="B165" s="632">
        <f t="shared" ref="B165:M165" si="25">SUM(B163:B163)</f>
        <v>1.5700377159898256</v>
      </c>
      <c r="C165" s="632">
        <f t="shared" si="25"/>
        <v>0.83296014330497092</v>
      </c>
      <c r="D165" s="632">
        <f t="shared" si="25"/>
        <v>3.0355444088904262</v>
      </c>
      <c r="E165" s="632">
        <f t="shared" si="25"/>
        <v>1.5751989945538332</v>
      </c>
      <c r="F165" s="632">
        <f t="shared" si="25"/>
        <v>0</v>
      </c>
      <c r="G165" s="632">
        <f t="shared" si="25"/>
        <v>0</v>
      </c>
      <c r="H165" s="632">
        <f t="shared" si="25"/>
        <v>0</v>
      </c>
      <c r="I165" s="632">
        <f t="shared" si="25"/>
        <v>2.4647616113379036</v>
      </c>
      <c r="J165" s="632">
        <f t="shared" si="25"/>
        <v>1.792879706309229</v>
      </c>
      <c r="K165" s="632">
        <f t="shared" si="25"/>
        <v>3.2554909280319473</v>
      </c>
      <c r="L165" s="632">
        <f t="shared" si="25"/>
        <v>5.0879396984924625</v>
      </c>
      <c r="M165" s="632">
        <f t="shared" si="25"/>
        <v>1.9138755980861244</v>
      </c>
      <c r="N165" s="633">
        <f>SUM(N163:N164)</f>
        <v>1.8398540132715524</v>
      </c>
    </row>
    <row r="166" spans="1:14">
      <c r="A166" s="243" t="s">
        <v>83</v>
      </c>
      <c r="B166" s="261"/>
      <c r="C166" s="261"/>
      <c r="D166" s="634">
        <f>SUM(B165:D165)/3</f>
        <v>1.8128474227284075</v>
      </c>
      <c r="E166" s="261"/>
      <c r="F166" s="261"/>
      <c r="G166" s="634">
        <f>SUM(E165,F165,G165)/3</f>
        <v>0.52506633151794435</v>
      </c>
      <c r="H166" s="261"/>
      <c r="I166" s="261"/>
      <c r="J166" s="634">
        <f>SUM(H165,I165,J165)/3</f>
        <v>1.4192137725490444</v>
      </c>
      <c r="K166" s="261"/>
      <c r="L166" s="261"/>
      <c r="M166" s="634">
        <f>SUM(K165,L165,M165)/3</f>
        <v>3.4191020748701777</v>
      </c>
      <c r="N166" s="635">
        <f>SUM(D166:M166)/4</f>
        <v>1.7940574004163934</v>
      </c>
    </row>
    <row r="167" spans="1:14">
      <c r="A167" s="243" t="s">
        <v>84</v>
      </c>
      <c r="B167" s="261"/>
      <c r="C167" s="261"/>
      <c r="D167" s="262"/>
      <c r="E167" s="261"/>
      <c r="F167" s="261"/>
      <c r="G167" s="262"/>
      <c r="H167" s="261"/>
      <c r="I167" s="261"/>
      <c r="J167" s="262"/>
      <c r="K167" s="261"/>
      <c r="L167" s="261"/>
      <c r="M167" s="262"/>
      <c r="N167" s="630">
        <f>SUM(D167:G167,J167,M167)/4</f>
        <v>0</v>
      </c>
    </row>
    <row r="168" spans="1:14">
      <c r="A168" s="243"/>
      <c r="B168" s="261"/>
      <c r="C168" s="261"/>
      <c r="D168" s="261"/>
      <c r="E168" s="261"/>
      <c r="F168" s="261"/>
      <c r="G168" s="261"/>
      <c r="H168" s="261"/>
      <c r="I168" s="261"/>
      <c r="J168" s="261"/>
      <c r="K168" s="261"/>
      <c r="L168" s="261"/>
      <c r="M168" s="261"/>
      <c r="N168" s="261"/>
    </row>
    <row r="169" spans="1:14">
      <c r="A169" s="231" t="s">
        <v>85</v>
      </c>
      <c r="B169" s="620">
        <f t="shared" ref="B169:M169" si="26">B156*100/B158</f>
        <v>0</v>
      </c>
      <c r="C169" s="620">
        <f t="shared" si="26"/>
        <v>0</v>
      </c>
      <c r="D169" s="620">
        <f t="shared" si="26"/>
        <v>0</v>
      </c>
      <c r="E169" s="620">
        <f t="shared" si="26"/>
        <v>0</v>
      </c>
      <c r="F169" s="620">
        <f t="shared" si="26"/>
        <v>0</v>
      </c>
      <c r="G169" s="620">
        <f t="shared" si="26"/>
        <v>0</v>
      </c>
      <c r="H169" s="620">
        <f t="shared" si="26"/>
        <v>0</v>
      </c>
      <c r="I169" s="620">
        <f t="shared" si="26"/>
        <v>0</v>
      </c>
      <c r="J169" s="620">
        <f t="shared" si="26"/>
        <v>0.59762656876974307</v>
      </c>
      <c r="K169" s="620">
        <f t="shared" si="26"/>
        <v>0</v>
      </c>
      <c r="L169" s="620">
        <f t="shared" si="26"/>
        <v>0.10768126346015794</v>
      </c>
      <c r="M169" s="620">
        <f t="shared" si="26"/>
        <v>0</v>
      </c>
      <c r="N169" s="630">
        <f>SUM(B169:M169)/12</f>
        <v>5.8775652685825082E-2</v>
      </c>
    </row>
    <row r="170" spans="1:14">
      <c r="A170" s="231" t="s">
        <v>86</v>
      </c>
      <c r="B170" s="620">
        <f t="shared" ref="B170:M170" si="27">B154*100/B158</f>
        <v>1.2630471011314797</v>
      </c>
      <c r="C170" s="620">
        <f t="shared" si="27"/>
        <v>3.4482758620689653</v>
      </c>
      <c r="D170" s="620">
        <f t="shared" si="27"/>
        <v>1.8161376805327336</v>
      </c>
      <c r="E170" s="620">
        <f t="shared" si="27"/>
        <v>2.7565982404692084</v>
      </c>
      <c r="F170" s="620">
        <f t="shared" si="27"/>
        <v>0.97992579202739982</v>
      </c>
      <c r="G170" s="620">
        <f t="shared" si="27"/>
        <v>4.4900800556909157</v>
      </c>
      <c r="H170" s="620">
        <f t="shared" si="27"/>
        <v>2.5259752379767311</v>
      </c>
      <c r="I170" s="620">
        <f t="shared" si="27"/>
        <v>3.8974042979280599</v>
      </c>
      <c r="J170" s="620">
        <f t="shared" si="27"/>
        <v>2.4929565440109278</v>
      </c>
      <c r="K170" s="620">
        <f t="shared" si="27"/>
        <v>2.4220852504557686</v>
      </c>
      <c r="L170" s="620">
        <f t="shared" si="27"/>
        <v>0.35893754486719309</v>
      </c>
      <c r="M170" s="620">
        <f t="shared" si="27"/>
        <v>3.6551886422464506</v>
      </c>
      <c r="N170" s="630">
        <f>SUM(B170:M170)/12</f>
        <v>2.5088843541171526</v>
      </c>
    </row>
    <row r="171" spans="1:14" ht="13.5" thickBot="1">
      <c r="A171" s="231" t="s">
        <v>87</v>
      </c>
      <c r="B171" s="620">
        <f t="shared" ref="B171:M171" si="28">B150*100/B158</f>
        <v>5.6047715112709415</v>
      </c>
      <c r="C171" s="620">
        <f t="shared" si="28"/>
        <v>2.0062695924764888</v>
      </c>
      <c r="D171" s="620">
        <f t="shared" si="28"/>
        <v>3.8571305024647584</v>
      </c>
      <c r="E171" s="620">
        <f t="shared" si="28"/>
        <v>6.6527021365731045</v>
      </c>
      <c r="F171" s="620">
        <f t="shared" si="28"/>
        <v>1.408048710874322</v>
      </c>
      <c r="G171" s="620">
        <f t="shared" si="28"/>
        <v>5.9606682909850335</v>
      </c>
      <c r="H171" s="620">
        <f t="shared" si="28"/>
        <v>33.44739625458844</v>
      </c>
      <c r="I171" s="620">
        <f t="shared" si="28"/>
        <v>13.918200724023723</v>
      </c>
      <c r="J171" s="620">
        <f t="shared" si="28"/>
        <v>5.2591138051737385</v>
      </c>
      <c r="K171" s="620">
        <f t="shared" si="28"/>
        <v>5.2521920305582084</v>
      </c>
      <c r="L171" s="620">
        <f t="shared" si="28"/>
        <v>2.3779612347451544</v>
      </c>
      <c r="M171" s="620">
        <f t="shared" si="28"/>
        <v>13.954035610636128</v>
      </c>
      <c r="N171" s="630">
        <f>SUM(B171:M171)/12</f>
        <v>8.3082075336975034</v>
      </c>
    </row>
    <row r="172" spans="1:14" ht="13.5" thickBot="1">
      <c r="A172" s="255" t="s">
        <v>88</v>
      </c>
      <c r="B172" s="636">
        <f t="shared" ref="B172:M172" si="29">SUM(B147-B158)*100/B158</f>
        <v>-10.007894044382072</v>
      </c>
      <c r="C172" s="636">
        <f t="shared" si="29"/>
        <v>-8.105687416032243</v>
      </c>
      <c r="D172" s="636">
        <f t="shared" si="29"/>
        <v>-11.268701893972153</v>
      </c>
      <c r="E172" s="636">
        <f t="shared" si="29"/>
        <v>-14.034352744030164</v>
      </c>
      <c r="F172" s="636">
        <f t="shared" si="29"/>
        <v>-2.3879745029017219</v>
      </c>
      <c r="G172" s="636">
        <f t="shared" si="29"/>
        <v>-10.720501218238775</v>
      </c>
      <c r="H172" s="636">
        <f t="shared" si="29"/>
        <v>-36.166241523051077</v>
      </c>
      <c r="I172" s="636">
        <f t="shared" si="29"/>
        <v>-20.973580836478472</v>
      </c>
      <c r="J172" s="636">
        <f t="shared" si="29"/>
        <v>-12.405020063177666</v>
      </c>
      <c r="K172" s="636">
        <f t="shared" si="29"/>
        <v>-10.929768209045925</v>
      </c>
      <c r="L172" s="636">
        <f t="shared" si="29"/>
        <v>-7.9325197415649678</v>
      </c>
      <c r="M172" s="636">
        <f t="shared" si="29"/>
        <v>-19.523099850968702</v>
      </c>
      <c r="N172" s="637">
        <f>SUM(B172:M172)/12</f>
        <v>-13.704611836986993</v>
      </c>
    </row>
    <row r="173" spans="1:14">
      <c r="A173" s="243"/>
      <c r="B173" s="244"/>
      <c r="C173" s="244"/>
      <c r="D173" s="244"/>
      <c r="E173" s="244"/>
      <c r="F173" s="244"/>
      <c r="G173" s="244"/>
      <c r="H173" s="244"/>
      <c r="I173" s="244"/>
      <c r="J173" s="244"/>
      <c r="K173" s="244"/>
      <c r="L173" s="244"/>
      <c r="M173" s="244"/>
      <c r="N173" s="227"/>
    </row>
    <row r="174" spans="1:14">
      <c r="A174" s="258" t="s">
        <v>89</v>
      </c>
      <c r="B174" s="244"/>
      <c r="C174" s="244"/>
      <c r="D174" s="244"/>
      <c r="E174" s="244"/>
      <c r="F174" s="244"/>
      <c r="G174" s="244"/>
      <c r="H174" s="244"/>
      <c r="I174" s="244"/>
      <c r="J174" s="244"/>
      <c r="K174" s="244"/>
      <c r="L174" s="244"/>
      <c r="M174" s="244"/>
      <c r="N174" s="227"/>
    </row>
    <row r="175" spans="1:14">
      <c r="A175" s="231" t="s">
        <v>90</v>
      </c>
      <c r="B175" s="259">
        <v>16</v>
      </c>
      <c r="C175" s="259">
        <v>16</v>
      </c>
      <c r="D175" s="259">
        <v>16</v>
      </c>
      <c r="E175" s="259">
        <v>16</v>
      </c>
      <c r="F175" s="259">
        <v>16</v>
      </c>
      <c r="G175" s="259">
        <v>16</v>
      </c>
      <c r="H175" s="259">
        <v>16</v>
      </c>
      <c r="I175" s="259">
        <f t="shared" ref="I175:N175" si="30">H178</f>
        <v>16</v>
      </c>
      <c r="J175" s="259">
        <f t="shared" si="30"/>
        <v>16</v>
      </c>
      <c r="K175" s="259">
        <f t="shared" si="30"/>
        <v>16</v>
      </c>
      <c r="L175" s="259">
        <f t="shared" si="30"/>
        <v>16</v>
      </c>
      <c r="M175" s="259">
        <f t="shared" si="30"/>
        <v>16</v>
      </c>
      <c r="N175" s="259">
        <f t="shared" si="30"/>
        <v>16</v>
      </c>
    </row>
    <row r="176" spans="1:14">
      <c r="A176" s="231" t="s">
        <v>91</v>
      </c>
      <c r="B176" s="259"/>
      <c r="C176" s="259"/>
      <c r="D176" s="259"/>
      <c r="E176" s="259"/>
      <c r="F176" s="259"/>
      <c r="G176" s="259"/>
      <c r="H176" s="259"/>
      <c r="I176" s="259"/>
      <c r="J176" s="259"/>
      <c r="K176" s="259"/>
      <c r="L176" s="259"/>
      <c r="M176" s="259"/>
      <c r="N176" s="259">
        <f>SUM(B176:M176)/12</f>
        <v>0</v>
      </c>
    </row>
    <row r="177" spans="1:14">
      <c r="A177" s="231" t="s">
        <v>92</v>
      </c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59"/>
      <c r="N177" s="259">
        <f>SUM(B176:M176)/12</f>
        <v>0</v>
      </c>
    </row>
    <row r="178" spans="1:14">
      <c r="A178" s="231" t="s">
        <v>89</v>
      </c>
      <c r="B178" s="259">
        <f t="shared" ref="B178:M178" si="31">SUM(B175+B176-B177)</f>
        <v>16</v>
      </c>
      <c r="C178" s="259">
        <f t="shared" si="31"/>
        <v>16</v>
      </c>
      <c r="D178" s="259">
        <f t="shared" si="31"/>
        <v>16</v>
      </c>
      <c r="E178" s="259">
        <f t="shared" si="31"/>
        <v>16</v>
      </c>
      <c r="F178" s="259">
        <f t="shared" si="31"/>
        <v>16</v>
      </c>
      <c r="G178" s="259">
        <f t="shared" si="31"/>
        <v>16</v>
      </c>
      <c r="H178" s="259">
        <f t="shared" si="31"/>
        <v>16</v>
      </c>
      <c r="I178" s="259">
        <f t="shared" si="31"/>
        <v>16</v>
      </c>
      <c r="J178" s="259">
        <f t="shared" si="31"/>
        <v>16</v>
      </c>
      <c r="K178" s="259">
        <f t="shared" si="31"/>
        <v>16</v>
      </c>
      <c r="L178" s="259">
        <f t="shared" si="31"/>
        <v>16</v>
      </c>
      <c r="M178" s="259">
        <f t="shared" si="31"/>
        <v>16</v>
      </c>
      <c r="N178" s="259">
        <f>SUM(B177:M177)/12</f>
        <v>0</v>
      </c>
    </row>
    <row r="179" spans="1:14">
      <c r="A179" s="231" t="s">
        <v>93</v>
      </c>
      <c r="B179" s="260">
        <f t="shared" ref="B179:M179" si="32">SUM(B178*100)/B175-100</f>
        <v>0</v>
      </c>
      <c r="C179" s="260">
        <f t="shared" si="32"/>
        <v>0</v>
      </c>
      <c r="D179" s="260">
        <f t="shared" si="32"/>
        <v>0</v>
      </c>
      <c r="E179" s="260">
        <f t="shared" si="32"/>
        <v>0</v>
      </c>
      <c r="F179" s="260">
        <f t="shared" si="32"/>
        <v>0</v>
      </c>
      <c r="G179" s="260">
        <f t="shared" si="32"/>
        <v>0</v>
      </c>
      <c r="H179" s="260">
        <f t="shared" si="32"/>
        <v>0</v>
      </c>
      <c r="I179" s="260">
        <f t="shared" si="32"/>
        <v>0</v>
      </c>
      <c r="J179" s="260">
        <f t="shared" si="32"/>
        <v>0</v>
      </c>
      <c r="K179" s="260">
        <f t="shared" si="32"/>
        <v>0</v>
      </c>
      <c r="L179" s="260">
        <f t="shared" si="32"/>
        <v>0</v>
      </c>
      <c r="M179" s="260">
        <f t="shared" si="32"/>
        <v>0</v>
      </c>
      <c r="N179" s="259"/>
    </row>
    <row r="180" spans="1:14">
      <c r="A180" s="243" t="s">
        <v>94</v>
      </c>
      <c r="B180" s="261"/>
      <c r="C180" s="261"/>
      <c r="D180" s="262">
        <f>SUM(B179:D179/3)</f>
        <v>0</v>
      </c>
      <c r="E180" s="261"/>
      <c r="F180" s="261"/>
      <c r="G180" s="262">
        <f>SUM(E179:G179)/3</f>
        <v>0</v>
      </c>
      <c r="H180" s="261"/>
      <c r="I180" s="261"/>
      <c r="J180" s="262">
        <f>SUM(H179:J179)/3</f>
        <v>0</v>
      </c>
      <c r="K180" s="261"/>
      <c r="L180" s="261"/>
      <c r="M180" s="262">
        <f>SUM(K179:M179)/3</f>
        <v>0</v>
      </c>
      <c r="N180" s="261"/>
    </row>
    <row r="181" spans="1:14">
      <c r="A181" s="243"/>
      <c r="B181" s="244"/>
      <c r="C181" s="244"/>
      <c r="D181" s="244"/>
      <c r="E181" s="244"/>
      <c r="F181" s="244"/>
      <c r="G181" s="244"/>
      <c r="H181" s="244"/>
      <c r="I181" s="244"/>
      <c r="J181" s="244"/>
      <c r="K181" s="244"/>
      <c r="L181" s="244"/>
      <c r="M181" s="244"/>
      <c r="N181" s="227"/>
    </row>
    <row r="182" spans="1:14" ht="15.75">
      <c r="A182" s="258"/>
      <c r="B182" s="326"/>
      <c r="C182" s="326"/>
      <c r="D182" s="326"/>
      <c r="E182" s="326"/>
      <c r="F182" s="326"/>
      <c r="G182" s="355"/>
      <c r="H182" s="326"/>
      <c r="I182" s="326"/>
      <c r="J182" s="326"/>
      <c r="K182" s="326"/>
      <c r="L182" s="326"/>
      <c r="M182" s="326"/>
      <c r="N182" s="227"/>
    </row>
    <row r="183" spans="1:14">
      <c r="A183" s="328" t="s">
        <v>150</v>
      </c>
      <c r="B183" s="232" t="s">
        <v>44</v>
      </c>
      <c r="C183" s="232" t="s">
        <v>45</v>
      </c>
      <c r="D183" s="232" t="s">
        <v>46</v>
      </c>
      <c r="E183" s="232" t="s">
        <v>47</v>
      </c>
      <c r="F183" s="232" t="s">
        <v>48</v>
      </c>
      <c r="G183" s="232" t="s">
        <v>49</v>
      </c>
      <c r="H183" s="232" t="s">
        <v>38</v>
      </c>
      <c r="I183" s="232" t="s">
        <v>39</v>
      </c>
      <c r="J183" s="232" t="s">
        <v>40</v>
      </c>
      <c r="K183" s="232" t="s">
        <v>41</v>
      </c>
      <c r="L183" s="232" t="s">
        <v>42</v>
      </c>
      <c r="M183" s="232" t="s">
        <v>43</v>
      </c>
      <c r="N183" s="228" t="s">
        <v>64</v>
      </c>
    </row>
    <row r="184" spans="1:14">
      <c r="A184" s="231" t="s">
        <v>238</v>
      </c>
      <c r="B184" s="329">
        <v>309000</v>
      </c>
      <c r="C184" s="329">
        <v>309000</v>
      </c>
      <c r="D184" s="329">
        <v>309000</v>
      </c>
      <c r="E184" s="329">
        <v>309000</v>
      </c>
      <c r="F184" s="329">
        <v>309000</v>
      </c>
      <c r="G184" s="329">
        <v>309000</v>
      </c>
      <c r="H184" s="329">
        <v>309000</v>
      </c>
      <c r="I184" s="329">
        <v>309000</v>
      </c>
      <c r="J184" s="329">
        <v>309000</v>
      </c>
      <c r="K184" s="329">
        <v>309000</v>
      </c>
      <c r="L184" s="329">
        <v>309000</v>
      </c>
      <c r="M184" s="329">
        <v>309000</v>
      </c>
      <c r="N184" s="329">
        <f t="shared" ref="N184:N199" si="33">SUM(B184:M184)</f>
        <v>3708000</v>
      </c>
    </row>
    <row r="185" spans="1:14">
      <c r="A185" s="231" t="s">
        <v>239</v>
      </c>
      <c r="B185" s="329">
        <v>81500</v>
      </c>
      <c r="C185" s="329">
        <v>81500</v>
      </c>
      <c r="D185" s="329">
        <v>81500</v>
      </c>
      <c r="E185" s="329">
        <v>81500</v>
      </c>
      <c r="F185" s="329">
        <v>81500</v>
      </c>
      <c r="G185" s="329">
        <v>81500</v>
      </c>
      <c r="H185" s="329">
        <v>81500</v>
      </c>
      <c r="I185" s="329">
        <v>81500</v>
      </c>
      <c r="J185" s="329">
        <v>81500</v>
      </c>
      <c r="K185" s="329">
        <v>81500</v>
      </c>
      <c r="L185" s="329">
        <v>81500</v>
      </c>
      <c r="M185" s="329">
        <v>81500</v>
      </c>
      <c r="N185" s="329">
        <f t="shared" si="33"/>
        <v>978000</v>
      </c>
    </row>
    <row r="186" spans="1:14">
      <c r="A186" s="231"/>
      <c r="B186" s="329"/>
      <c r="C186" s="329">
        <v>0</v>
      </c>
      <c r="D186" s="329">
        <v>0</v>
      </c>
      <c r="E186" s="329">
        <v>0</v>
      </c>
      <c r="F186" s="329">
        <v>0</v>
      </c>
      <c r="G186" s="329">
        <v>0</v>
      </c>
      <c r="H186" s="329">
        <v>0</v>
      </c>
      <c r="I186" s="329">
        <v>0</v>
      </c>
      <c r="J186" s="329">
        <v>0</v>
      </c>
      <c r="K186" s="329">
        <v>0</v>
      </c>
      <c r="L186" s="329">
        <v>0</v>
      </c>
      <c r="M186" s="329">
        <v>0</v>
      </c>
      <c r="N186" s="329">
        <f t="shared" si="33"/>
        <v>0</v>
      </c>
    </row>
    <row r="187" spans="1:14" ht="13.5" thickBot="1">
      <c r="A187" s="356"/>
      <c r="B187" s="357"/>
      <c r="C187" s="357"/>
      <c r="D187" s="357"/>
      <c r="E187" s="357"/>
      <c r="F187" s="357"/>
      <c r="G187" s="357"/>
      <c r="H187" s="357"/>
      <c r="I187" s="357"/>
      <c r="J187" s="357"/>
      <c r="K187" s="357"/>
      <c r="L187" s="357"/>
      <c r="M187" s="357"/>
      <c r="N187" s="329">
        <f t="shared" si="33"/>
        <v>0</v>
      </c>
    </row>
    <row r="188" spans="1:14" ht="13.5" thickBot="1">
      <c r="A188" s="333" t="s">
        <v>151</v>
      </c>
      <c r="B188" s="334">
        <f t="shared" ref="B188:M188" si="34">SUM(B184:B187)</f>
        <v>390500</v>
      </c>
      <c r="C188" s="334">
        <f t="shared" si="34"/>
        <v>390500</v>
      </c>
      <c r="D188" s="334">
        <f t="shared" si="34"/>
        <v>390500</v>
      </c>
      <c r="E188" s="334">
        <f t="shared" si="34"/>
        <v>390500</v>
      </c>
      <c r="F188" s="334">
        <f t="shared" si="34"/>
        <v>390500</v>
      </c>
      <c r="G188" s="334">
        <f t="shared" si="34"/>
        <v>390500</v>
      </c>
      <c r="H188" s="334">
        <f t="shared" si="34"/>
        <v>390500</v>
      </c>
      <c r="I188" s="334">
        <f t="shared" si="34"/>
        <v>390500</v>
      </c>
      <c r="J188" s="334">
        <f t="shared" si="34"/>
        <v>390500</v>
      </c>
      <c r="K188" s="334">
        <f t="shared" si="34"/>
        <v>390500</v>
      </c>
      <c r="L188" s="334">
        <f t="shared" si="34"/>
        <v>390500</v>
      </c>
      <c r="M188" s="334">
        <f t="shared" si="34"/>
        <v>390500</v>
      </c>
      <c r="N188" s="334">
        <f t="shared" si="33"/>
        <v>4686000</v>
      </c>
    </row>
    <row r="189" spans="1:14">
      <c r="A189" s="228" t="s">
        <v>152</v>
      </c>
      <c r="B189" s="329">
        <v>1225</v>
      </c>
      <c r="C189" s="329">
        <v>3600</v>
      </c>
      <c r="D189" s="329">
        <v>1650</v>
      </c>
      <c r="E189" s="329">
        <v>4025</v>
      </c>
      <c r="F189" s="329">
        <v>8225</v>
      </c>
      <c r="G189" s="329">
        <v>3500</v>
      </c>
      <c r="H189" s="329"/>
      <c r="I189" s="329">
        <v>6650</v>
      </c>
      <c r="J189" s="329"/>
      <c r="K189" s="329">
        <v>5425</v>
      </c>
      <c r="L189" s="329">
        <v>2100</v>
      </c>
      <c r="M189" s="329"/>
      <c r="N189" s="329">
        <f t="shared" si="33"/>
        <v>36400</v>
      </c>
    </row>
    <row r="190" spans="1:14">
      <c r="A190" s="231" t="s">
        <v>153</v>
      </c>
      <c r="B190" s="329"/>
      <c r="C190" s="329"/>
      <c r="D190" s="329"/>
      <c r="E190" s="329"/>
      <c r="F190" s="329"/>
      <c r="G190" s="358"/>
      <c r="H190" s="329"/>
      <c r="I190" s="329"/>
      <c r="J190" s="329"/>
      <c r="K190" s="329"/>
      <c r="L190" s="329"/>
      <c r="M190" s="329"/>
      <c r="N190" s="329">
        <f t="shared" si="33"/>
        <v>0</v>
      </c>
    </row>
    <row r="191" spans="1:14">
      <c r="A191" s="356" t="s">
        <v>154</v>
      </c>
      <c r="B191" s="329">
        <v>90000</v>
      </c>
      <c r="C191" s="329">
        <v>90000</v>
      </c>
      <c r="D191" s="329">
        <v>90000</v>
      </c>
      <c r="E191" s="329">
        <v>90000</v>
      </c>
      <c r="F191" s="329">
        <v>90000</v>
      </c>
      <c r="G191" s="329">
        <v>90000</v>
      </c>
      <c r="H191" s="329">
        <v>90000</v>
      </c>
      <c r="I191" s="329">
        <v>90000</v>
      </c>
      <c r="J191" s="329">
        <v>90000</v>
      </c>
      <c r="K191" s="329">
        <v>90000</v>
      </c>
      <c r="L191" s="329">
        <v>90000</v>
      </c>
      <c r="M191" s="329">
        <v>90000</v>
      </c>
      <c r="N191" s="329">
        <f t="shared" si="33"/>
        <v>1080000</v>
      </c>
    </row>
    <row r="192" spans="1:14">
      <c r="A192" s="228" t="s">
        <v>211</v>
      </c>
      <c r="B192" s="329">
        <v>232925</v>
      </c>
      <c r="C192" s="329">
        <v>209387.5</v>
      </c>
      <c r="D192" s="329">
        <v>255427.75</v>
      </c>
      <c r="E192" s="329">
        <v>173328.13</v>
      </c>
      <c r="F192" s="329">
        <v>220332.4</v>
      </c>
      <c r="G192" s="329">
        <v>123510.13</v>
      </c>
      <c r="H192" s="329">
        <v>6475</v>
      </c>
      <c r="I192" s="329">
        <v>83691.710000000006</v>
      </c>
      <c r="J192" s="329">
        <v>146264.53</v>
      </c>
      <c r="K192" s="329">
        <v>217972.38</v>
      </c>
      <c r="L192" s="329">
        <v>175511.88</v>
      </c>
      <c r="M192" s="329">
        <v>93749.51</v>
      </c>
      <c r="N192" s="329">
        <f t="shared" si="33"/>
        <v>1938575.9200000002</v>
      </c>
    </row>
    <row r="193" spans="1:15" ht="13.5" thickBot="1">
      <c r="A193" s="359" t="s">
        <v>156</v>
      </c>
      <c r="B193" s="357">
        <v>22377.75</v>
      </c>
      <c r="C193" s="357">
        <v>24739.75</v>
      </c>
      <c r="D193" s="357">
        <v>34867.75</v>
      </c>
      <c r="E193" s="357">
        <v>19959.5</v>
      </c>
      <c r="F193" s="357">
        <v>27897</v>
      </c>
      <c r="G193" s="357">
        <v>19212.5</v>
      </c>
      <c r="H193" s="357">
        <v>565</v>
      </c>
      <c r="I193" s="357">
        <v>16549</v>
      </c>
      <c r="J193" s="357">
        <v>26883.75</v>
      </c>
      <c r="K193" s="357">
        <v>22912.75</v>
      </c>
      <c r="L193" s="357">
        <v>29327.75</v>
      </c>
      <c r="M193" s="329">
        <v>22793</v>
      </c>
      <c r="N193" s="329">
        <f t="shared" si="33"/>
        <v>268085.5</v>
      </c>
    </row>
    <row r="194" spans="1:15" ht="13.5" thickBot="1">
      <c r="A194" s="360" t="s">
        <v>126</v>
      </c>
      <c r="B194" s="334">
        <f t="shared" ref="B194:M194" si="35">SUM(B189:B193)</f>
        <v>346527.75</v>
      </c>
      <c r="C194" s="334">
        <f t="shared" si="35"/>
        <v>327727.25</v>
      </c>
      <c r="D194" s="334">
        <f t="shared" si="35"/>
        <v>381945.5</v>
      </c>
      <c r="E194" s="334">
        <f t="shared" si="35"/>
        <v>287312.63</v>
      </c>
      <c r="F194" s="334">
        <f t="shared" si="35"/>
        <v>346454.4</v>
      </c>
      <c r="G194" s="334">
        <f t="shared" si="35"/>
        <v>236222.63</v>
      </c>
      <c r="H194" s="334">
        <f t="shared" si="35"/>
        <v>97040</v>
      </c>
      <c r="I194" s="334">
        <f t="shared" si="35"/>
        <v>196890.71000000002</v>
      </c>
      <c r="J194" s="334">
        <f t="shared" si="35"/>
        <v>263148.28000000003</v>
      </c>
      <c r="K194" s="334">
        <f t="shared" si="35"/>
        <v>336310.13</v>
      </c>
      <c r="L194" s="334">
        <f t="shared" si="35"/>
        <v>296939.63</v>
      </c>
      <c r="M194" s="334">
        <f t="shared" si="35"/>
        <v>206542.51</v>
      </c>
      <c r="N194" s="334">
        <f t="shared" si="33"/>
        <v>3323061.419999999</v>
      </c>
    </row>
    <row r="195" spans="1:15" ht="13.5" thickBot="1">
      <c r="A195" s="228" t="s">
        <v>127</v>
      </c>
      <c r="B195" s="331"/>
      <c r="C195" s="331"/>
      <c r="D195" s="331"/>
      <c r="E195" s="331"/>
      <c r="F195" s="331"/>
      <c r="G195" s="331"/>
      <c r="H195" s="331"/>
      <c r="I195" s="331"/>
      <c r="J195" s="331"/>
      <c r="K195" s="331"/>
      <c r="L195" s="331"/>
      <c r="M195" s="357">
        <v>0</v>
      </c>
      <c r="N195" s="329">
        <f t="shared" si="33"/>
        <v>0</v>
      </c>
      <c r="O195" s="291"/>
    </row>
    <row r="196" spans="1:15" ht="13.5" thickBot="1">
      <c r="A196" s="363" t="s">
        <v>129</v>
      </c>
      <c r="B196" s="364">
        <f t="shared" ref="B196:M196" si="36">SUM(B188,B194,B195)</f>
        <v>737027.75</v>
      </c>
      <c r="C196" s="364">
        <f t="shared" si="36"/>
        <v>718227.25</v>
      </c>
      <c r="D196" s="364">
        <f t="shared" si="36"/>
        <v>772445.5</v>
      </c>
      <c r="E196" s="364">
        <f t="shared" si="36"/>
        <v>677812.63</v>
      </c>
      <c r="F196" s="364">
        <f t="shared" si="36"/>
        <v>736954.4</v>
      </c>
      <c r="G196" s="364">
        <f t="shared" si="36"/>
        <v>626722.63</v>
      </c>
      <c r="H196" s="364">
        <f t="shared" si="36"/>
        <v>487540</v>
      </c>
      <c r="I196" s="364">
        <f t="shared" si="36"/>
        <v>587390.71</v>
      </c>
      <c r="J196" s="364">
        <f t="shared" si="36"/>
        <v>653648.28</v>
      </c>
      <c r="K196" s="364">
        <f t="shared" si="36"/>
        <v>726810.13</v>
      </c>
      <c r="L196" s="364">
        <f t="shared" si="36"/>
        <v>687439.63</v>
      </c>
      <c r="M196" s="334">
        <f t="shared" si="36"/>
        <v>597042.51</v>
      </c>
      <c r="N196" s="334">
        <f t="shared" si="33"/>
        <v>8009061.4199999999</v>
      </c>
    </row>
    <row r="197" spans="1:15">
      <c r="A197" s="336" t="s">
        <v>131</v>
      </c>
      <c r="B197" s="365">
        <v>554373</v>
      </c>
      <c r="C197" s="365">
        <v>540308</v>
      </c>
      <c r="D197" s="365">
        <v>539308</v>
      </c>
      <c r="E197" s="365">
        <v>492186</v>
      </c>
      <c r="F197" s="365">
        <v>508194</v>
      </c>
      <c r="G197" s="365">
        <v>555000</v>
      </c>
      <c r="H197" s="365">
        <v>542000</v>
      </c>
      <c r="I197" s="365">
        <v>434593</v>
      </c>
      <c r="J197" s="365">
        <v>542000</v>
      </c>
      <c r="K197" s="365">
        <v>542000</v>
      </c>
      <c r="L197" s="365">
        <v>542000</v>
      </c>
      <c r="M197" s="365">
        <v>542000</v>
      </c>
      <c r="N197" s="329">
        <f t="shared" si="33"/>
        <v>6333962</v>
      </c>
    </row>
    <row r="198" spans="1:15">
      <c r="A198" s="336" t="s">
        <v>157</v>
      </c>
      <c r="B198" s="365"/>
      <c r="C198" s="365"/>
      <c r="D198" s="365"/>
      <c r="E198" s="365"/>
      <c r="F198" s="365"/>
      <c r="G198" s="365"/>
      <c r="H198" s="365"/>
      <c r="I198" s="365"/>
      <c r="J198" s="365"/>
      <c r="K198" s="365"/>
      <c r="L198" s="365"/>
      <c r="M198" s="365"/>
      <c r="N198" s="329">
        <f t="shared" si="33"/>
        <v>0</v>
      </c>
    </row>
    <row r="199" spans="1:15">
      <c r="A199" s="336" t="s">
        <v>158</v>
      </c>
      <c r="B199" s="365"/>
      <c r="C199" s="365"/>
      <c r="D199" s="365"/>
      <c r="E199" s="365"/>
      <c r="F199" s="365"/>
      <c r="G199" s="365"/>
      <c r="H199" s="365"/>
      <c r="I199" s="365"/>
      <c r="J199" s="365"/>
      <c r="K199" s="365"/>
      <c r="L199" s="365"/>
      <c r="M199" s="365"/>
      <c r="N199" s="329">
        <f t="shared" si="33"/>
        <v>0</v>
      </c>
    </row>
    <row r="200" spans="1:15">
      <c r="A200" s="367" t="s">
        <v>146</v>
      </c>
      <c r="B200" s="368">
        <f t="shared" ref="B200:N200" si="37">B196-SUM(B197:B199)</f>
        <v>182654.75</v>
      </c>
      <c r="C200" s="368">
        <f t="shared" si="37"/>
        <v>177919.25</v>
      </c>
      <c r="D200" s="368">
        <f t="shared" si="37"/>
        <v>233137.5</v>
      </c>
      <c r="E200" s="368">
        <f t="shared" si="37"/>
        <v>185626.63</v>
      </c>
      <c r="F200" s="368">
        <f t="shared" si="37"/>
        <v>228760.40000000002</v>
      </c>
      <c r="G200" s="368">
        <f t="shared" si="37"/>
        <v>71722.63</v>
      </c>
      <c r="H200" s="368">
        <f t="shared" si="37"/>
        <v>-54460</v>
      </c>
      <c r="I200" s="368">
        <f t="shared" si="37"/>
        <v>152797.70999999996</v>
      </c>
      <c r="J200" s="368">
        <f t="shared" si="37"/>
        <v>111648.28000000003</v>
      </c>
      <c r="K200" s="368">
        <f t="shared" si="37"/>
        <v>184810.13</v>
      </c>
      <c r="L200" s="368">
        <f t="shared" si="37"/>
        <v>145439.63</v>
      </c>
      <c r="M200" s="368">
        <f t="shared" si="37"/>
        <v>55042.510000000009</v>
      </c>
      <c r="N200" s="368">
        <f t="shared" si="37"/>
        <v>1675099.42</v>
      </c>
    </row>
    <row r="201" spans="1:15" ht="13.5" thickBot="1">
      <c r="A201" s="369">
        <v>206552</v>
      </c>
      <c r="B201" s="369"/>
      <c r="C201" s="369"/>
      <c r="D201" s="369"/>
      <c r="E201" s="369"/>
      <c r="F201" s="369"/>
      <c r="G201" s="369"/>
      <c r="H201" s="369"/>
      <c r="I201" s="369"/>
      <c r="J201" s="369"/>
      <c r="K201" s="369"/>
      <c r="L201" s="369"/>
      <c r="M201" s="369"/>
      <c r="N201" s="369"/>
    </row>
    <row r="202" spans="1:15" ht="13.5" thickBot="1"/>
    <row r="203" spans="1:15" ht="20.25">
      <c r="A203" s="826" t="s">
        <v>240</v>
      </c>
      <c r="B203" s="826"/>
      <c r="C203" s="826"/>
      <c r="D203" s="826"/>
      <c r="E203" s="826"/>
      <c r="F203" s="826"/>
      <c r="G203" s="826"/>
      <c r="H203" s="826"/>
      <c r="I203" s="826"/>
      <c r="J203" s="826"/>
      <c r="K203" s="826"/>
      <c r="L203" s="826"/>
      <c r="M203" s="826"/>
      <c r="N203" s="826"/>
    </row>
    <row r="204" spans="1:15">
      <c r="A204" s="227"/>
      <c r="B204" s="227"/>
      <c r="C204" s="227"/>
      <c r="D204" s="227"/>
      <c r="E204" s="227"/>
      <c r="F204" s="227"/>
      <c r="G204" s="227"/>
      <c r="H204" s="227"/>
      <c r="I204" s="227"/>
      <c r="J204" s="227"/>
      <c r="K204" s="227"/>
      <c r="L204" s="227"/>
      <c r="M204" s="227"/>
    </row>
    <row r="205" spans="1:15">
      <c r="A205" s="228"/>
      <c r="B205" s="229" t="s">
        <v>44</v>
      </c>
      <c r="C205" s="229" t="s">
        <v>45</v>
      </c>
      <c r="D205" s="230" t="s">
        <v>46</v>
      </c>
      <c r="E205" s="229" t="s">
        <v>47</v>
      </c>
      <c r="F205" s="229" t="s">
        <v>48</v>
      </c>
      <c r="G205" s="230" t="s">
        <v>49</v>
      </c>
      <c r="H205" s="229" t="s">
        <v>38</v>
      </c>
      <c r="I205" s="229" t="s">
        <v>39</v>
      </c>
      <c r="J205" s="229" t="s">
        <v>40</v>
      </c>
      <c r="K205" s="229" t="s">
        <v>41</v>
      </c>
      <c r="L205" s="229" t="s">
        <v>42</v>
      </c>
      <c r="M205" s="229" t="s">
        <v>43</v>
      </c>
      <c r="N205" s="228" t="s">
        <v>64</v>
      </c>
    </row>
    <row r="206" spans="1:15">
      <c r="A206" s="231" t="s">
        <v>65</v>
      </c>
      <c r="B206" s="620">
        <v>1924</v>
      </c>
      <c r="C206" s="620">
        <v>1924</v>
      </c>
      <c r="D206" s="620">
        <v>1924</v>
      </c>
      <c r="E206" s="620">
        <v>1924</v>
      </c>
      <c r="F206" s="620">
        <v>1924</v>
      </c>
      <c r="G206" s="620">
        <v>1924</v>
      </c>
      <c r="H206" s="620">
        <v>1924</v>
      </c>
      <c r="I206" s="620">
        <v>1924</v>
      </c>
      <c r="J206" s="620">
        <v>1924</v>
      </c>
      <c r="K206" s="620">
        <v>1924</v>
      </c>
      <c r="L206" s="620">
        <v>1924</v>
      </c>
      <c r="M206" s="620">
        <v>1924</v>
      </c>
      <c r="N206" s="620">
        <f t="shared" ref="N206:N216" si="38">SUM(B206:M206)</f>
        <v>23088</v>
      </c>
    </row>
    <row r="207" spans="1:15">
      <c r="A207" s="231" t="s">
        <v>66</v>
      </c>
      <c r="B207" s="620"/>
      <c r="C207" s="620"/>
      <c r="D207" s="620">
        <v>4</v>
      </c>
      <c r="E207" s="620"/>
      <c r="F207" s="620"/>
      <c r="G207" s="621"/>
      <c r="H207" s="620"/>
      <c r="I207" s="620"/>
      <c r="J207" s="622"/>
      <c r="K207" s="620"/>
      <c r="L207" s="620">
        <v>4</v>
      </c>
      <c r="M207" s="620"/>
      <c r="N207" s="620">
        <f t="shared" si="38"/>
        <v>8</v>
      </c>
    </row>
    <row r="208" spans="1:15">
      <c r="A208" s="231" t="s">
        <v>67</v>
      </c>
      <c r="B208" s="620"/>
      <c r="C208" s="620"/>
      <c r="D208" s="620"/>
      <c r="E208" s="620"/>
      <c r="F208" s="620"/>
      <c r="G208" s="621"/>
      <c r="H208" s="620"/>
      <c r="I208" s="620"/>
      <c r="J208" s="620"/>
      <c r="K208" s="620"/>
      <c r="L208" s="620"/>
      <c r="M208" s="620"/>
      <c r="N208" s="620">
        <f t="shared" si="38"/>
        <v>0</v>
      </c>
    </row>
    <row r="209" spans="1:14">
      <c r="A209" s="231" t="s">
        <v>69</v>
      </c>
      <c r="B209" s="620">
        <v>224</v>
      </c>
      <c r="C209" s="620">
        <v>219.75</v>
      </c>
      <c r="D209" s="620">
        <v>75</v>
      </c>
      <c r="E209" s="620">
        <v>149.75</v>
      </c>
      <c r="F209" s="620">
        <v>58.5</v>
      </c>
      <c r="G209" s="621">
        <v>97</v>
      </c>
      <c r="H209" s="620">
        <v>354.5</v>
      </c>
      <c r="I209" s="620">
        <v>518</v>
      </c>
      <c r="J209" s="620">
        <v>192</v>
      </c>
      <c r="K209" s="620">
        <v>114.75</v>
      </c>
      <c r="L209" s="620"/>
      <c r="M209" s="620">
        <v>106.25</v>
      </c>
      <c r="N209" s="620">
        <f t="shared" si="38"/>
        <v>2109.5</v>
      </c>
    </row>
    <row r="210" spans="1:14">
      <c r="A210" s="231" t="s">
        <v>70</v>
      </c>
      <c r="B210" s="620"/>
      <c r="C210" s="620">
        <v>37</v>
      </c>
      <c r="D210" s="620">
        <v>14.5</v>
      </c>
      <c r="E210" s="620">
        <v>74</v>
      </c>
      <c r="F210" s="620"/>
      <c r="G210" s="621"/>
      <c r="H210" s="620">
        <v>7.75</v>
      </c>
      <c r="I210" s="620"/>
      <c r="J210" s="620">
        <v>7.5</v>
      </c>
      <c r="K210" s="620">
        <v>37</v>
      </c>
      <c r="L210" s="620"/>
      <c r="M210" s="620">
        <v>68.25</v>
      </c>
      <c r="N210" s="620">
        <f t="shared" si="38"/>
        <v>246</v>
      </c>
    </row>
    <row r="211" spans="1:14">
      <c r="A211" s="231" t="s">
        <v>71</v>
      </c>
      <c r="B211" s="620">
        <v>36.25</v>
      </c>
      <c r="C211" s="620"/>
      <c r="D211" s="620"/>
      <c r="E211" s="620">
        <v>97.5</v>
      </c>
      <c r="F211" s="620"/>
      <c r="G211" s="621">
        <v>22.5</v>
      </c>
      <c r="H211" s="620">
        <v>29</v>
      </c>
      <c r="I211" s="620">
        <v>13.75</v>
      </c>
      <c r="J211" s="620">
        <v>29.75</v>
      </c>
      <c r="K211" s="620">
        <v>43.25</v>
      </c>
      <c r="L211" s="620">
        <v>80.5</v>
      </c>
      <c r="M211" s="620"/>
      <c r="N211" s="620">
        <f t="shared" si="38"/>
        <v>352.5</v>
      </c>
    </row>
    <row r="212" spans="1:14">
      <c r="A212" s="231" t="s">
        <v>72</v>
      </c>
      <c r="B212" s="620"/>
      <c r="C212" s="620"/>
      <c r="D212" s="620"/>
      <c r="E212" s="620"/>
      <c r="F212" s="620">
        <v>15.5</v>
      </c>
      <c r="G212" s="621"/>
      <c r="H212" s="620"/>
      <c r="I212" s="620"/>
      <c r="J212" s="620"/>
      <c r="K212" s="620"/>
      <c r="L212" s="620"/>
      <c r="M212" s="620"/>
      <c r="N212" s="620">
        <f t="shared" si="38"/>
        <v>15.5</v>
      </c>
    </row>
    <row r="213" spans="1:14">
      <c r="A213" s="231" t="s">
        <v>73</v>
      </c>
      <c r="B213" s="620">
        <v>19</v>
      </c>
      <c r="C213" s="620"/>
      <c r="D213" s="620">
        <v>15.25</v>
      </c>
      <c r="E213" s="620"/>
      <c r="F213" s="620"/>
      <c r="G213" s="621">
        <v>42.75</v>
      </c>
      <c r="H213" s="620"/>
      <c r="I213" s="620"/>
      <c r="J213" s="620">
        <v>13.75</v>
      </c>
      <c r="K213" s="620">
        <v>6</v>
      </c>
      <c r="L213" s="620">
        <v>22</v>
      </c>
      <c r="M213" s="620">
        <v>6</v>
      </c>
      <c r="N213" s="620">
        <f t="shared" si="38"/>
        <v>124.75</v>
      </c>
    </row>
    <row r="214" spans="1:14">
      <c r="A214" s="231" t="s">
        <v>74</v>
      </c>
      <c r="B214" s="620"/>
      <c r="C214" s="620"/>
      <c r="D214" s="620"/>
      <c r="E214" s="620"/>
      <c r="F214" s="620"/>
      <c r="G214" s="621"/>
      <c r="H214" s="620"/>
      <c r="I214" s="620"/>
      <c r="J214" s="620"/>
      <c r="K214" s="620"/>
      <c r="L214" s="620"/>
      <c r="M214" s="620"/>
      <c r="N214" s="620">
        <f t="shared" si="38"/>
        <v>0</v>
      </c>
    </row>
    <row r="215" spans="1:14">
      <c r="A215" s="231" t="s">
        <v>75</v>
      </c>
      <c r="B215" s="620"/>
      <c r="C215" s="620"/>
      <c r="D215" s="620"/>
      <c r="E215" s="620"/>
      <c r="F215" s="620"/>
      <c r="G215" s="621"/>
      <c r="H215" s="620"/>
      <c r="I215" s="620"/>
      <c r="J215" s="620"/>
      <c r="K215" s="620"/>
      <c r="L215" s="620">
        <v>15.25</v>
      </c>
      <c r="M215" s="620"/>
      <c r="N215" s="620">
        <f t="shared" si="38"/>
        <v>15.25</v>
      </c>
    </row>
    <row r="216" spans="1:14" ht="13.5" thickBot="1">
      <c r="A216" s="235" t="s">
        <v>76</v>
      </c>
      <c r="B216" s="623">
        <v>6</v>
      </c>
      <c r="C216" s="623">
        <v>37</v>
      </c>
      <c r="D216" s="623"/>
      <c r="E216" s="623"/>
      <c r="F216" s="623"/>
      <c r="G216" s="624"/>
      <c r="H216" s="623"/>
      <c r="I216" s="623"/>
      <c r="J216" s="623"/>
      <c r="K216" s="623">
        <v>7.75</v>
      </c>
      <c r="L216" s="623">
        <v>7.75</v>
      </c>
      <c r="M216" s="623"/>
      <c r="N216" s="625">
        <f t="shared" si="38"/>
        <v>58.5</v>
      </c>
    </row>
    <row r="217" spans="1:14" ht="13.5" thickBot="1">
      <c r="A217" s="239" t="s">
        <v>77</v>
      </c>
      <c r="B217" s="626">
        <f>SUM(B206:B216)</f>
        <v>2209.25</v>
      </c>
      <c r="C217" s="626">
        <f t="shared" ref="C217:N217" si="39">SUM(C206:C216)</f>
        <v>2217.75</v>
      </c>
      <c r="D217" s="626">
        <f t="shared" si="39"/>
        <v>2032.75</v>
      </c>
      <c r="E217" s="626">
        <f t="shared" si="39"/>
        <v>2245.25</v>
      </c>
      <c r="F217" s="626">
        <f t="shared" si="39"/>
        <v>1998</v>
      </c>
      <c r="G217" s="626">
        <f t="shared" si="39"/>
        <v>2086.25</v>
      </c>
      <c r="H217" s="626">
        <f t="shared" si="39"/>
        <v>2315.25</v>
      </c>
      <c r="I217" s="626">
        <f t="shared" si="39"/>
        <v>2455.75</v>
      </c>
      <c r="J217" s="626">
        <f t="shared" si="39"/>
        <v>2167</v>
      </c>
      <c r="K217" s="626">
        <f t="shared" si="39"/>
        <v>2132.75</v>
      </c>
      <c r="L217" s="626">
        <f t="shared" si="39"/>
        <v>2053.5</v>
      </c>
      <c r="M217" s="626">
        <f t="shared" si="39"/>
        <v>2104.5</v>
      </c>
      <c r="N217" s="632">
        <f t="shared" si="39"/>
        <v>26018</v>
      </c>
    </row>
    <row r="218" spans="1:14">
      <c r="A218" s="243"/>
      <c r="B218" s="261"/>
      <c r="C218" s="261"/>
      <c r="D218" s="261"/>
      <c r="E218" s="261"/>
      <c r="F218" s="261"/>
      <c r="G218" s="261"/>
      <c r="H218" s="261"/>
      <c r="I218" s="261"/>
      <c r="J218" s="261"/>
      <c r="K218" s="261"/>
      <c r="L218" s="261"/>
      <c r="M218" s="261"/>
      <c r="N218" s="261"/>
    </row>
    <row r="219" spans="1:14">
      <c r="A219" s="243"/>
      <c r="B219" s="261"/>
      <c r="C219" s="261"/>
      <c r="D219" s="261"/>
      <c r="E219" s="261"/>
      <c r="F219" s="261"/>
      <c r="G219" s="261"/>
      <c r="H219" s="261"/>
      <c r="I219" s="261"/>
      <c r="J219" s="261"/>
      <c r="K219" s="261"/>
      <c r="L219" s="261"/>
      <c r="M219" s="261"/>
      <c r="N219" s="629" t="s">
        <v>78</v>
      </c>
    </row>
    <row r="220" spans="1:14">
      <c r="A220" s="231" t="s">
        <v>79</v>
      </c>
      <c r="B220" s="620">
        <f t="shared" ref="B220:M220" si="40">SUM(B207*100/B217)</f>
        <v>0</v>
      </c>
      <c r="C220" s="620">
        <f t="shared" si="40"/>
        <v>0</v>
      </c>
      <c r="D220" s="620">
        <f t="shared" si="40"/>
        <v>0.19677776411265527</v>
      </c>
      <c r="E220" s="620">
        <f t="shared" si="40"/>
        <v>0</v>
      </c>
      <c r="F220" s="620">
        <f t="shared" si="40"/>
        <v>0</v>
      </c>
      <c r="G220" s="620">
        <f t="shared" si="40"/>
        <v>0</v>
      </c>
      <c r="H220" s="620">
        <f t="shared" si="40"/>
        <v>0</v>
      </c>
      <c r="I220" s="620">
        <f t="shared" si="40"/>
        <v>0</v>
      </c>
      <c r="J220" s="620">
        <f t="shared" si="40"/>
        <v>0</v>
      </c>
      <c r="K220" s="620">
        <f t="shared" si="40"/>
        <v>0</v>
      </c>
      <c r="L220" s="620">
        <f t="shared" si="40"/>
        <v>0.19478938397857318</v>
      </c>
      <c r="M220" s="620">
        <f t="shared" si="40"/>
        <v>0</v>
      </c>
      <c r="N220" s="630">
        <f>SUM(B220:M220)/12</f>
        <v>3.2630595674269035E-2</v>
      </c>
    </row>
    <row r="221" spans="1:14">
      <c r="A221" s="243"/>
      <c r="B221" s="261"/>
      <c r="C221" s="261"/>
      <c r="D221" s="261"/>
      <c r="E221" s="261"/>
      <c r="F221" s="261"/>
      <c r="G221" s="261"/>
      <c r="H221" s="261"/>
      <c r="I221" s="261"/>
      <c r="J221" s="261"/>
      <c r="K221" s="261"/>
      <c r="L221" s="261"/>
      <c r="M221" s="261"/>
      <c r="N221" s="261"/>
    </row>
    <row r="222" spans="1:14">
      <c r="A222" s="231" t="s">
        <v>80</v>
      </c>
      <c r="B222" s="620">
        <f t="shared" ref="B222:M222" si="41">SUM(B211*100/B217)</f>
        <v>1.6408283354079438</v>
      </c>
      <c r="C222" s="620">
        <f t="shared" si="41"/>
        <v>0</v>
      </c>
      <c r="D222" s="620">
        <f t="shared" si="41"/>
        <v>0</v>
      </c>
      <c r="E222" s="620">
        <f t="shared" si="41"/>
        <v>4.3425008350963141</v>
      </c>
      <c r="F222" s="620">
        <f t="shared" si="41"/>
        <v>0</v>
      </c>
      <c r="G222" s="620">
        <f t="shared" si="41"/>
        <v>1.0784901138406231</v>
      </c>
      <c r="H222" s="620">
        <f t="shared" si="41"/>
        <v>1.2525645178706404</v>
      </c>
      <c r="I222" s="620">
        <f t="shared" si="41"/>
        <v>0.55991041433370659</v>
      </c>
      <c r="J222" s="620">
        <f t="shared" si="41"/>
        <v>1.3728657129672359</v>
      </c>
      <c r="K222" s="620">
        <f t="shared" si="41"/>
        <v>2.0278982534286718</v>
      </c>
      <c r="L222" s="620">
        <f t="shared" si="41"/>
        <v>3.9201363525687851</v>
      </c>
      <c r="M222" s="620">
        <f t="shared" si="41"/>
        <v>0</v>
      </c>
      <c r="N222" s="630">
        <f>SUM(B222:M222)/12</f>
        <v>1.3495995446261604</v>
      </c>
    </row>
    <row r="223" spans="1:14" ht="13.5" thickBot="1">
      <c r="A223" s="247" t="s">
        <v>81</v>
      </c>
      <c r="B223" s="625">
        <f t="shared" ref="B223:M223" si="42">SUM(B212*100/B217)</f>
        <v>0</v>
      </c>
      <c r="C223" s="625">
        <f t="shared" si="42"/>
        <v>0</v>
      </c>
      <c r="D223" s="625">
        <f t="shared" si="42"/>
        <v>0</v>
      </c>
      <c r="E223" s="625">
        <f t="shared" si="42"/>
        <v>0</v>
      </c>
      <c r="F223" s="625">
        <f t="shared" si="42"/>
        <v>0.77577577577577572</v>
      </c>
      <c r="G223" s="625">
        <f t="shared" si="42"/>
        <v>0</v>
      </c>
      <c r="H223" s="625">
        <f t="shared" si="42"/>
        <v>0</v>
      </c>
      <c r="I223" s="625">
        <f t="shared" si="42"/>
        <v>0</v>
      </c>
      <c r="J223" s="625">
        <f t="shared" si="42"/>
        <v>0</v>
      </c>
      <c r="K223" s="625">
        <f t="shared" si="42"/>
        <v>0</v>
      </c>
      <c r="L223" s="625">
        <f t="shared" si="42"/>
        <v>0</v>
      </c>
      <c r="M223" s="625">
        <f t="shared" si="42"/>
        <v>0</v>
      </c>
      <c r="N223" s="630">
        <f>SUM(B223:M223)/12</f>
        <v>6.4647981314647981E-2</v>
      </c>
    </row>
    <row r="224" spans="1:14" ht="13.5" thickBot="1">
      <c r="A224" s="249" t="s">
        <v>82</v>
      </c>
      <c r="B224" s="632">
        <f t="shared" ref="B224:M224" si="43">SUM(B222:B222)</f>
        <v>1.6408283354079438</v>
      </c>
      <c r="C224" s="632">
        <f t="shared" si="43"/>
        <v>0</v>
      </c>
      <c r="D224" s="632">
        <f t="shared" si="43"/>
        <v>0</v>
      </c>
      <c r="E224" s="632">
        <f t="shared" si="43"/>
        <v>4.3425008350963141</v>
      </c>
      <c r="F224" s="632">
        <f t="shared" si="43"/>
        <v>0</v>
      </c>
      <c r="G224" s="632">
        <f t="shared" si="43"/>
        <v>1.0784901138406231</v>
      </c>
      <c r="H224" s="632">
        <f t="shared" si="43"/>
        <v>1.2525645178706404</v>
      </c>
      <c r="I224" s="632">
        <f t="shared" si="43"/>
        <v>0.55991041433370659</v>
      </c>
      <c r="J224" s="632">
        <f t="shared" si="43"/>
        <v>1.3728657129672359</v>
      </c>
      <c r="K224" s="632">
        <f t="shared" si="43"/>
        <v>2.0278982534286718</v>
      </c>
      <c r="L224" s="632">
        <f t="shared" si="43"/>
        <v>3.9201363525687851</v>
      </c>
      <c r="M224" s="632">
        <f t="shared" si="43"/>
        <v>0</v>
      </c>
      <c r="N224" s="633">
        <f>SUM(N222:N223)</f>
        <v>1.4142475259408083</v>
      </c>
    </row>
    <row r="225" spans="1:14">
      <c r="A225" s="243" t="s">
        <v>83</v>
      </c>
      <c r="B225" s="261"/>
      <c r="C225" s="261"/>
      <c r="D225" s="634">
        <f>SUM(B224:D224)/3</f>
        <v>0.54694277846931461</v>
      </c>
      <c r="E225" s="261"/>
      <c r="F225" s="261"/>
      <c r="G225" s="634">
        <f>SUM(E224,F224,G224)/3</f>
        <v>1.8069969829789791</v>
      </c>
      <c r="H225" s="261"/>
      <c r="I225" s="261"/>
      <c r="J225" s="634">
        <f>SUM(H224,I224,J224)/3</f>
        <v>1.0617802150571942</v>
      </c>
      <c r="K225" s="261"/>
      <c r="L225" s="261"/>
      <c r="M225" s="634">
        <f>SUM(K224,L224,M224)/3</f>
        <v>1.9826782019991522</v>
      </c>
      <c r="N225" s="635">
        <f>SUM(D225:M225)/4</f>
        <v>1.3495995446261602</v>
      </c>
    </row>
    <row r="226" spans="1:14">
      <c r="A226" s="243" t="s">
        <v>84</v>
      </c>
      <c r="B226" s="261"/>
      <c r="C226" s="261"/>
      <c r="D226" s="262"/>
      <c r="E226" s="261"/>
      <c r="F226" s="261"/>
      <c r="G226" s="262"/>
      <c r="H226" s="261"/>
      <c r="I226" s="261"/>
      <c r="J226" s="262"/>
      <c r="K226" s="261"/>
      <c r="L226" s="261"/>
      <c r="M226" s="262"/>
      <c r="N226" s="630">
        <f>SUM(D226:G226,J226,M226)/4</f>
        <v>0</v>
      </c>
    </row>
    <row r="227" spans="1:14">
      <c r="A227" s="243"/>
      <c r="B227" s="261"/>
      <c r="C227" s="261"/>
      <c r="D227" s="261"/>
      <c r="E227" s="261"/>
      <c r="F227" s="261"/>
      <c r="G227" s="261"/>
      <c r="H227" s="261"/>
      <c r="I227" s="261"/>
      <c r="J227" s="261"/>
      <c r="K227" s="261"/>
      <c r="L227" s="261"/>
      <c r="M227" s="261"/>
      <c r="N227" s="261"/>
    </row>
    <row r="228" spans="1:14">
      <c r="A228" s="231" t="s">
        <v>85</v>
      </c>
      <c r="B228" s="620">
        <f t="shared" ref="B228:M228" si="44">B215*100/B217</f>
        <v>0</v>
      </c>
      <c r="C228" s="620">
        <f t="shared" si="44"/>
        <v>0</v>
      </c>
      <c r="D228" s="620">
        <f t="shared" si="44"/>
        <v>0</v>
      </c>
      <c r="E228" s="620">
        <f t="shared" si="44"/>
        <v>0</v>
      </c>
      <c r="F228" s="620">
        <f t="shared" si="44"/>
        <v>0</v>
      </c>
      <c r="G228" s="620">
        <f t="shared" si="44"/>
        <v>0</v>
      </c>
      <c r="H228" s="620">
        <f t="shared" si="44"/>
        <v>0</v>
      </c>
      <c r="I228" s="620">
        <f t="shared" si="44"/>
        <v>0</v>
      </c>
      <c r="J228" s="620">
        <f t="shared" si="44"/>
        <v>0</v>
      </c>
      <c r="K228" s="620">
        <f t="shared" si="44"/>
        <v>0</v>
      </c>
      <c r="L228" s="620">
        <f t="shared" si="44"/>
        <v>0.74263452641831018</v>
      </c>
      <c r="M228" s="620">
        <f t="shared" si="44"/>
        <v>0</v>
      </c>
      <c r="N228" s="630">
        <f>SUM(B228:M228)/12</f>
        <v>6.1886210534859182E-2</v>
      </c>
    </row>
    <row r="229" spans="1:14">
      <c r="A229" s="231" t="s">
        <v>86</v>
      </c>
      <c r="B229" s="620">
        <f t="shared" ref="B229:M229" si="45">B213*100/B217</f>
        <v>0.860020368903474</v>
      </c>
      <c r="C229" s="620">
        <f t="shared" si="45"/>
        <v>0</v>
      </c>
      <c r="D229" s="620">
        <f t="shared" si="45"/>
        <v>0.75021522567949817</v>
      </c>
      <c r="E229" s="620">
        <f t="shared" si="45"/>
        <v>0</v>
      </c>
      <c r="F229" s="620">
        <f t="shared" si="45"/>
        <v>0</v>
      </c>
      <c r="G229" s="620">
        <f t="shared" si="45"/>
        <v>2.0491312162971838</v>
      </c>
      <c r="H229" s="620">
        <f t="shared" si="45"/>
        <v>0</v>
      </c>
      <c r="I229" s="620">
        <f t="shared" si="45"/>
        <v>0</v>
      </c>
      <c r="J229" s="620">
        <f t="shared" si="45"/>
        <v>0.63451776649746194</v>
      </c>
      <c r="K229" s="620">
        <f t="shared" si="45"/>
        <v>0.28132692533114523</v>
      </c>
      <c r="L229" s="620">
        <f t="shared" si="45"/>
        <v>1.0713416118821524</v>
      </c>
      <c r="M229" s="620">
        <f t="shared" si="45"/>
        <v>0.2851033499643621</v>
      </c>
      <c r="N229" s="630">
        <f>SUM(B229:M229)/12</f>
        <v>0.49430470537960641</v>
      </c>
    </row>
    <row r="230" spans="1:14" ht="13.5" thickBot="1">
      <c r="A230" s="231" t="s">
        <v>87</v>
      </c>
      <c r="B230" s="620">
        <f t="shared" ref="B230:M230" si="46">B209*100/B217</f>
        <v>10.139187507072537</v>
      </c>
      <c r="C230" s="620">
        <f t="shared" si="46"/>
        <v>9.9086912411227601</v>
      </c>
      <c r="D230" s="620">
        <f t="shared" si="46"/>
        <v>3.6895830771122862</v>
      </c>
      <c r="E230" s="620">
        <f t="shared" si="46"/>
        <v>6.669635898006903</v>
      </c>
      <c r="F230" s="620">
        <f t="shared" si="46"/>
        <v>2.9279279279279278</v>
      </c>
      <c r="G230" s="620">
        <f t="shared" si="46"/>
        <v>4.6494907130017973</v>
      </c>
      <c r="H230" s="620">
        <f t="shared" si="46"/>
        <v>15.311521433970414</v>
      </c>
      <c r="I230" s="620">
        <f t="shared" si="46"/>
        <v>21.093352336353455</v>
      </c>
      <c r="J230" s="620">
        <f t="shared" si="46"/>
        <v>8.8601753576372868</v>
      </c>
      <c r="K230" s="620">
        <f t="shared" si="46"/>
        <v>5.3803774469581525</v>
      </c>
      <c r="L230" s="620">
        <f t="shared" si="46"/>
        <v>0</v>
      </c>
      <c r="M230" s="620">
        <f t="shared" si="46"/>
        <v>5.0487051556189115</v>
      </c>
      <c r="N230" s="631">
        <f>SUM(B230:M230)/12</f>
        <v>7.8065540078985363</v>
      </c>
    </row>
    <row r="231" spans="1:14" ht="13.5" thickBot="1">
      <c r="A231" s="255" t="s">
        <v>88</v>
      </c>
      <c r="B231" s="636">
        <f t="shared" ref="B231:M231" si="47">SUM(B206-B217)*100/B217</f>
        <v>-12.911621591037683</v>
      </c>
      <c r="C231" s="636">
        <f t="shared" si="47"/>
        <v>-13.245406380340436</v>
      </c>
      <c r="D231" s="636">
        <f t="shared" si="47"/>
        <v>-5.3498954618128147</v>
      </c>
      <c r="E231" s="636">
        <f t="shared" si="47"/>
        <v>-14.307983520766062</v>
      </c>
      <c r="F231" s="636">
        <f t="shared" si="47"/>
        <v>-3.7037037037037037</v>
      </c>
      <c r="G231" s="636">
        <f t="shared" si="47"/>
        <v>-7.7771120431396046</v>
      </c>
      <c r="H231" s="636">
        <f t="shared" si="47"/>
        <v>-16.898823021272001</v>
      </c>
      <c r="I231" s="636">
        <f t="shared" si="47"/>
        <v>-21.653262750687162</v>
      </c>
      <c r="J231" s="636">
        <f t="shared" si="47"/>
        <v>-11.21365943700969</v>
      </c>
      <c r="K231" s="636">
        <f t="shared" si="47"/>
        <v>-9.7878326104794287</v>
      </c>
      <c r="L231" s="636">
        <f t="shared" si="47"/>
        <v>-6.3063063063063067</v>
      </c>
      <c r="M231" s="638">
        <f t="shared" si="47"/>
        <v>-8.5768591114278934</v>
      </c>
      <c r="N231" s="639">
        <f>SUM(B231:M231)/12</f>
        <v>-10.9777054948319</v>
      </c>
    </row>
    <row r="232" spans="1:14">
      <c r="A232" s="243"/>
      <c r="B232" s="244"/>
      <c r="C232" s="244"/>
      <c r="D232" s="244"/>
      <c r="E232" s="244"/>
      <c r="F232" s="244"/>
      <c r="G232" s="244"/>
      <c r="H232" s="244"/>
      <c r="I232" s="244"/>
      <c r="J232" s="244"/>
      <c r="K232" s="244"/>
      <c r="L232" s="244"/>
      <c r="M232" s="244"/>
      <c r="N232" s="227"/>
    </row>
    <row r="233" spans="1:14">
      <c r="A233" s="258" t="s">
        <v>89</v>
      </c>
      <c r="B233" s="244"/>
      <c r="C233" s="244"/>
      <c r="D233" s="244"/>
      <c r="E233" s="244"/>
      <c r="F233" s="244"/>
      <c r="G233" s="244"/>
      <c r="H233" s="244"/>
      <c r="I233" s="244"/>
      <c r="J233" s="244"/>
      <c r="K233" s="244"/>
      <c r="L233" s="244"/>
      <c r="M233" s="244"/>
      <c r="N233" s="227"/>
    </row>
    <row r="234" spans="1:14">
      <c r="A234" s="231" t="s">
        <v>90</v>
      </c>
      <c r="B234" s="259">
        <v>12</v>
      </c>
      <c r="C234" s="259">
        <v>12</v>
      </c>
      <c r="D234" s="259">
        <v>12</v>
      </c>
      <c r="E234" s="259">
        <v>12</v>
      </c>
      <c r="F234" s="259">
        <f t="shared" ref="F234:N234" si="48">E237</f>
        <v>12</v>
      </c>
      <c r="G234" s="259">
        <f t="shared" si="48"/>
        <v>12</v>
      </c>
      <c r="H234" s="259">
        <f t="shared" si="48"/>
        <v>12</v>
      </c>
      <c r="I234" s="259">
        <f t="shared" si="48"/>
        <v>12</v>
      </c>
      <c r="J234" s="259">
        <f t="shared" si="48"/>
        <v>12</v>
      </c>
      <c r="K234" s="259">
        <f t="shared" si="48"/>
        <v>12</v>
      </c>
      <c r="L234" s="259">
        <f t="shared" si="48"/>
        <v>12</v>
      </c>
      <c r="M234" s="259">
        <f t="shared" si="48"/>
        <v>12</v>
      </c>
      <c r="N234" s="259">
        <f t="shared" si="48"/>
        <v>12</v>
      </c>
    </row>
    <row r="235" spans="1:14">
      <c r="A235" s="231" t="s">
        <v>91</v>
      </c>
      <c r="B235" s="259"/>
      <c r="C235" s="259"/>
      <c r="D235" s="259"/>
      <c r="E235" s="259"/>
      <c r="F235" s="259"/>
      <c r="G235" s="259"/>
      <c r="H235" s="259"/>
      <c r="I235" s="259"/>
      <c r="J235" s="259"/>
      <c r="K235" s="259"/>
      <c r="L235" s="259"/>
      <c r="M235" s="259"/>
      <c r="N235" s="259">
        <f>SUM(B235:M235)/12</f>
        <v>0</v>
      </c>
    </row>
    <row r="236" spans="1:14">
      <c r="A236" s="231" t="s">
        <v>92</v>
      </c>
      <c r="B236" s="259"/>
      <c r="C236" s="259"/>
      <c r="D236" s="259"/>
      <c r="E236" s="259"/>
      <c r="F236" s="259"/>
      <c r="G236" s="259"/>
      <c r="H236" s="259"/>
      <c r="I236" s="259"/>
      <c r="J236" s="259"/>
      <c r="K236" s="259"/>
      <c r="L236" s="259"/>
      <c r="M236" s="259"/>
      <c r="N236" s="259">
        <f>SUM(B235:M235)/12</f>
        <v>0</v>
      </c>
    </row>
    <row r="237" spans="1:14">
      <c r="A237" s="231" t="s">
        <v>89</v>
      </c>
      <c r="B237" s="259">
        <f t="shared" ref="B237:M237" si="49">SUM(B234+B235-B236)</f>
        <v>12</v>
      </c>
      <c r="C237" s="259">
        <f t="shared" si="49"/>
        <v>12</v>
      </c>
      <c r="D237" s="259">
        <f t="shared" si="49"/>
        <v>12</v>
      </c>
      <c r="E237" s="259">
        <f t="shared" si="49"/>
        <v>12</v>
      </c>
      <c r="F237" s="259">
        <f t="shared" si="49"/>
        <v>12</v>
      </c>
      <c r="G237" s="259">
        <f t="shared" si="49"/>
        <v>12</v>
      </c>
      <c r="H237" s="259">
        <f t="shared" si="49"/>
        <v>12</v>
      </c>
      <c r="I237" s="259">
        <f t="shared" si="49"/>
        <v>12</v>
      </c>
      <c r="J237" s="259">
        <f t="shared" si="49"/>
        <v>12</v>
      </c>
      <c r="K237" s="259">
        <f t="shared" si="49"/>
        <v>12</v>
      </c>
      <c r="L237" s="259">
        <f t="shared" si="49"/>
        <v>12</v>
      </c>
      <c r="M237" s="259">
        <f t="shared" si="49"/>
        <v>12</v>
      </c>
      <c r="N237" s="259">
        <f>SUM(B236:M236)/12</f>
        <v>0</v>
      </c>
    </row>
    <row r="238" spans="1:14">
      <c r="A238" s="231" t="s">
        <v>93</v>
      </c>
      <c r="B238" s="260">
        <f t="shared" ref="B238:M238" si="50">SUM(B237*100)/B234-100</f>
        <v>0</v>
      </c>
      <c r="C238" s="260">
        <f t="shared" si="50"/>
        <v>0</v>
      </c>
      <c r="D238" s="260">
        <f t="shared" si="50"/>
        <v>0</v>
      </c>
      <c r="E238" s="260">
        <f t="shared" si="50"/>
        <v>0</v>
      </c>
      <c r="F238" s="260">
        <f t="shared" si="50"/>
        <v>0</v>
      </c>
      <c r="G238" s="260">
        <f t="shared" si="50"/>
        <v>0</v>
      </c>
      <c r="H238" s="260">
        <f t="shared" si="50"/>
        <v>0</v>
      </c>
      <c r="I238" s="260">
        <f t="shared" si="50"/>
        <v>0</v>
      </c>
      <c r="J238" s="260">
        <f t="shared" si="50"/>
        <v>0</v>
      </c>
      <c r="K238" s="260">
        <f t="shared" si="50"/>
        <v>0</v>
      </c>
      <c r="L238" s="260">
        <f t="shared" si="50"/>
        <v>0</v>
      </c>
      <c r="M238" s="260">
        <f t="shared" si="50"/>
        <v>0</v>
      </c>
      <c r="N238" s="259"/>
    </row>
    <row r="239" spans="1:14">
      <c r="A239" s="243" t="s">
        <v>94</v>
      </c>
      <c r="B239" s="261"/>
      <c r="C239" s="261"/>
      <c r="D239" s="262">
        <f>SUM(B238:D238/3)</f>
        <v>0</v>
      </c>
      <c r="E239" s="261"/>
      <c r="F239" s="261"/>
      <c r="G239" s="262">
        <f>SUM(E238:G238)/3</f>
        <v>0</v>
      </c>
      <c r="H239" s="261"/>
      <c r="I239" s="261"/>
      <c r="J239" s="262">
        <f>SUM(H238:J238)/3</f>
        <v>0</v>
      </c>
      <c r="K239" s="261"/>
      <c r="L239" s="261"/>
      <c r="M239" s="262">
        <f>SUM(K238:M238)/3</f>
        <v>0</v>
      </c>
      <c r="N239" s="261"/>
    </row>
    <row r="240" spans="1:14">
      <c r="A240" s="243"/>
      <c r="B240" s="244"/>
      <c r="C240" s="244"/>
      <c r="D240" s="244"/>
      <c r="E240" s="244"/>
      <c r="F240" s="244"/>
      <c r="G240" s="244"/>
      <c r="H240" s="244"/>
      <c r="I240" s="244"/>
      <c r="J240" s="244"/>
      <c r="K240" s="244"/>
      <c r="L240" s="244"/>
      <c r="M240" s="244"/>
      <c r="N240" s="227"/>
    </row>
    <row r="241" spans="1:17" ht="15.75">
      <c r="E241" s="282"/>
      <c r="M241" s="244"/>
      <c r="N241" s="227"/>
    </row>
    <row r="242" spans="1:17">
      <c r="A242" s="299"/>
      <c r="B242" s="283" t="s">
        <v>160</v>
      </c>
      <c r="C242" s="377"/>
      <c r="D242" s="377"/>
      <c r="E242" s="377"/>
      <c r="F242" s="288"/>
      <c r="N242" s="227"/>
    </row>
    <row r="243" spans="1:17">
      <c r="A243" s="691"/>
      <c r="B243" s="455"/>
      <c r="C243" s="455" t="s">
        <v>161</v>
      </c>
      <c r="D243" s="510"/>
      <c r="E243" s="270" t="s">
        <v>162</v>
      </c>
      <c r="F243" s="487" t="s">
        <v>163</v>
      </c>
    </row>
    <row r="244" spans="1:17">
      <c r="A244" s="691"/>
      <c r="B244" s="286"/>
      <c r="C244" s="303"/>
      <c r="D244" s="289"/>
      <c r="E244" s="292"/>
      <c r="F244" s="311"/>
      <c r="H244" s="584" t="s">
        <v>164</v>
      </c>
      <c r="N244" s="227"/>
    </row>
    <row r="245" spans="1:17">
      <c r="A245" s="691"/>
      <c r="B245" s="286"/>
      <c r="C245" s="303"/>
      <c r="D245" s="289"/>
      <c r="E245" s="292"/>
      <c r="F245" s="290"/>
      <c r="N245" s="227"/>
    </row>
    <row r="246" spans="1:17" ht="13.5" thickBot="1">
      <c r="A246" s="691"/>
      <c r="B246" s="309" t="s">
        <v>165</v>
      </c>
      <c r="C246" s="528" t="s">
        <v>241</v>
      </c>
      <c r="D246" s="314"/>
      <c r="E246" s="312"/>
      <c r="F246" s="692">
        <f>'[10]Øvrige Kontrakter 2015'!$K$44</f>
        <v>2911020</v>
      </c>
      <c r="N246" s="300"/>
    </row>
    <row r="247" spans="1:17" ht="13.5" thickBot="1">
      <c r="A247" s="691"/>
      <c r="B247" s="382" t="s">
        <v>167</v>
      </c>
      <c r="C247" s="383"/>
      <c r="D247" s="384"/>
      <c r="E247" s="385"/>
      <c r="F247" s="488">
        <f>SUM(F244:F246)</f>
        <v>2911020</v>
      </c>
      <c r="N247" s="227"/>
    </row>
    <row r="248" spans="1:17">
      <c r="A248" s="691"/>
      <c r="B248" s="286" t="s">
        <v>168</v>
      </c>
      <c r="C248" s="284"/>
      <c r="D248" s="284"/>
      <c r="E248" s="386"/>
      <c r="F248" s="393">
        <f>F247/12</f>
        <v>242585</v>
      </c>
      <c r="N248" s="227"/>
    </row>
    <row r="249" spans="1:17">
      <c r="A249" s="299"/>
      <c r="B249" s="244"/>
      <c r="C249" s="244"/>
      <c r="D249" s="244"/>
      <c r="E249" s="320"/>
      <c r="F249" s="244"/>
      <c r="G249" s="244"/>
      <c r="H249" s="244"/>
      <c r="N249" s="227"/>
    </row>
    <row r="250" spans="1:17">
      <c r="A250" s="258" t="s">
        <v>113</v>
      </c>
      <c r="B250" s="244"/>
      <c r="C250" s="244"/>
      <c r="D250" s="244"/>
      <c r="E250" s="244"/>
      <c r="F250" s="244"/>
      <c r="G250" s="244"/>
      <c r="H250" s="244"/>
      <c r="I250" s="244"/>
      <c r="J250" s="244"/>
      <c r="K250" s="244"/>
      <c r="L250" s="244"/>
      <c r="M250" s="244"/>
      <c r="N250" s="227"/>
    </row>
    <row r="251" spans="1:17">
      <c r="A251" s="525" t="s">
        <v>112</v>
      </c>
      <c r="B251" s="328"/>
      <c r="C251" s="232" t="s">
        <v>44</v>
      </c>
      <c r="D251" s="232" t="s">
        <v>45</v>
      </c>
      <c r="E251" s="232" t="s">
        <v>46</v>
      </c>
      <c r="F251" s="232" t="s">
        <v>47</v>
      </c>
      <c r="G251" s="232" t="s">
        <v>48</v>
      </c>
      <c r="H251" s="232" t="s">
        <v>49</v>
      </c>
      <c r="I251" s="232" t="s">
        <v>38</v>
      </c>
      <c r="J251" s="232" t="s">
        <v>39</v>
      </c>
      <c r="K251" s="232" t="s">
        <v>40</v>
      </c>
      <c r="L251" s="232" t="s">
        <v>41</v>
      </c>
      <c r="M251" s="232" t="s">
        <v>42</v>
      </c>
      <c r="N251" s="232" t="s">
        <v>43</v>
      </c>
      <c r="O251" s="228"/>
    </row>
    <row r="252" spans="1:17" ht="13.5" thickBot="1">
      <c r="B252" s="247" t="s">
        <v>116</v>
      </c>
      <c r="C252" s="331">
        <f t="shared" ref="C252:N252" si="51">$F$248</f>
        <v>242585</v>
      </c>
      <c r="D252" s="331">
        <f t="shared" si="51"/>
        <v>242585</v>
      </c>
      <c r="E252" s="331">
        <f t="shared" si="51"/>
        <v>242585</v>
      </c>
      <c r="F252" s="331">
        <f t="shared" si="51"/>
        <v>242585</v>
      </c>
      <c r="G252" s="331">
        <f t="shared" si="51"/>
        <v>242585</v>
      </c>
      <c r="H252" s="331">
        <f t="shared" si="51"/>
        <v>242585</v>
      </c>
      <c r="I252" s="331">
        <f t="shared" si="51"/>
        <v>242585</v>
      </c>
      <c r="J252" s="331">
        <f t="shared" si="51"/>
        <v>242585</v>
      </c>
      <c r="K252" s="331">
        <f t="shared" si="51"/>
        <v>242585</v>
      </c>
      <c r="L252" s="331">
        <f t="shared" si="51"/>
        <v>242585</v>
      </c>
      <c r="M252" s="331">
        <f t="shared" si="51"/>
        <v>242585</v>
      </c>
      <c r="N252" s="331">
        <f t="shared" si="51"/>
        <v>242585</v>
      </c>
      <c r="O252" s="331">
        <f t="shared" ref="O252:O276" si="52">SUM(C252:N252)</f>
        <v>2911020</v>
      </c>
      <c r="P252" s="708"/>
    </row>
    <row r="253" spans="1:17" ht="13.5" thickBot="1">
      <c r="A253" s="226">
        <v>9845400000</v>
      </c>
      <c r="B253" s="333" t="s">
        <v>169</v>
      </c>
      <c r="C253" s="395">
        <f>C252</f>
        <v>242585</v>
      </c>
      <c r="D253" s="395">
        <f t="shared" ref="D253:N253" si="53">D252</f>
        <v>242585</v>
      </c>
      <c r="E253" s="395">
        <f t="shared" si="53"/>
        <v>242585</v>
      </c>
      <c r="F253" s="395">
        <f t="shared" si="53"/>
        <v>242585</v>
      </c>
      <c r="G253" s="395">
        <f t="shared" si="53"/>
        <v>242585</v>
      </c>
      <c r="H253" s="395">
        <f t="shared" si="53"/>
        <v>242585</v>
      </c>
      <c r="I253" s="395">
        <f t="shared" si="53"/>
        <v>242585</v>
      </c>
      <c r="J253" s="395">
        <f t="shared" si="53"/>
        <v>242585</v>
      </c>
      <c r="K253" s="395">
        <f t="shared" si="53"/>
        <v>242585</v>
      </c>
      <c r="L253" s="395">
        <f t="shared" si="53"/>
        <v>242585</v>
      </c>
      <c r="M253" s="395">
        <f t="shared" si="53"/>
        <v>242585</v>
      </c>
      <c r="N253" s="395">
        <f t="shared" si="53"/>
        <v>242585</v>
      </c>
      <c r="O253" s="395">
        <f t="shared" si="52"/>
        <v>2911020</v>
      </c>
      <c r="P253" s="708">
        <v>2980395</v>
      </c>
    </row>
    <row r="254" spans="1:17">
      <c r="A254" s="226">
        <v>9845400000</v>
      </c>
      <c r="B254" s="336" t="s">
        <v>170</v>
      </c>
      <c r="C254" s="365">
        <v>195134</v>
      </c>
      <c r="D254" s="365">
        <v>155632</v>
      </c>
      <c r="E254" s="365">
        <v>165081</v>
      </c>
      <c r="F254" s="365">
        <v>164951</v>
      </c>
      <c r="G254" s="365">
        <v>119406</v>
      </c>
      <c r="H254" s="693">
        <v>157006</v>
      </c>
      <c r="I254" s="365">
        <v>116482</v>
      </c>
      <c r="J254" s="365">
        <v>123996</v>
      </c>
      <c r="K254" s="365">
        <v>148580</v>
      </c>
      <c r="L254" s="365">
        <v>132318</v>
      </c>
      <c r="M254" s="365">
        <v>143675</v>
      </c>
      <c r="N254" s="365">
        <v>209203</v>
      </c>
      <c r="O254" s="365">
        <f t="shared" si="52"/>
        <v>1831464</v>
      </c>
      <c r="P254" s="708">
        <v>2600000</v>
      </c>
      <c r="Q254" s="291">
        <v>1900000</v>
      </c>
    </row>
    <row r="255" spans="1:17">
      <c r="A255" s="226">
        <v>9840000000</v>
      </c>
      <c r="B255" s="336" t="s">
        <v>171</v>
      </c>
      <c r="C255" s="365">
        <v>19500</v>
      </c>
      <c r="D255" s="365">
        <v>9475</v>
      </c>
      <c r="E255" s="365">
        <v>22741</v>
      </c>
      <c r="F255" s="365">
        <v>19217.5</v>
      </c>
      <c r="G255" s="365">
        <v>2937</v>
      </c>
      <c r="H255" s="365">
        <v>9538</v>
      </c>
      <c r="I255" s="365">
        <v>1300</v>
      </c>
      <c r="J255" s="365">
        <v>12490</v>
      </c>
      <c r="K255" s="365">
        <v>10825</v>
      </c>
      <c r="L255" s="365">
        <v>38000</v>
      </c>
      <c r="M255" s="365">
        <v>9975</v>
      </c>
      <c r="N255" s="365">
        <v>8700</v>
      </c>
      <c r="O255" s="365">
        <f t="shared" si="52"/>
        <v>164698.5</v>
      </c>
      <c r="P255" s="708">
        <v>50000</v>
      </c>
    </row>
    <row r="256" spans="1:17">
      <c r="A256" s="226">
        <v>7909900000</v>
      </c>
      <c r="B256" s="228" t="s">
        <v>121</v>
      </c>
      <c r="C256" s="329">
        <v>800</v>
      </c>
      <c r="D256" s="329">
        <v>600</v>
      </c>
      <c r="E256" s="329">
        <v>175</v>
      </c>
      <c r="F256" s="329">
        <v>175</v>
      </c>
      <c r="G256" s="329"/>
      <c r="H256" s="358"/>
      <c r="I256" s="329"/>
      <c r="J256" s="329"/>
      <c r="K256" s="329"/>
      <c r="L256" s="329"/>
      <c r="M256" s="329"/>
      <c r="N256" s="329"/>
      <c r="O256" s="365">
        <f t="shared" si="52"/>
        <v>1750</v>
      </c>
      <c r="P256" s="708">
        <v>50000</v>
      </c>
    </row>
    <row r="257" spans="1:18">
      <c r="B257" s="349"/>
      <c r="C257" s="329"/>
      <c r="D257" s="329"/>
      <c r="E257" s="329"/>
      <c r="F257" s="329"/>
      <c r="G257" s="329"/>
      <c r="H257" s="358"/>
      <c r="I257" s="329"/>
      <c r="J257" s="329"/>
      <c r="K257" s="329"/>
      <c r="L257" s="329"/>
      <c r="M257" s="329"/>
      <c r="N257" s="329"/>
      <c r="O257" s="365">
        <f t="shared" si="52"/>
        <v>0</v>
      </c>
      <c r="P257" s="708"/>
    </row>
    <row r="258" spans="1:18" ht="13.5" thickBot="1">
      <c r="B258" s="228"/>
      <c r="C258" s="357"/>
      <c r="D258" s="357"/>
      <c r="E258" s="357"/>
      <c r="F258" s="357"/>
      <c r="G258" s="357"/>
      <c r="H258" s="694"/>
      <c r="I258" s="357"/>
      <c r="J258" s="357"/>
      <c r="K258" s="329"/>
      <c r="L258" s="357"/>
      <c r="M258" s="357"/>
      <c r="N258" s="357"/>
      <c r="O258" s="365">
        <f t="shared" si="52"/>
        <v>0</v>
      </c>
      <c r="P258" s="708"/>
    </row>
    <row r="259" spans="1:18" ht="13.5" thickBot="1">
      <c r="B259" s="361" t="s">
        <v>112</v>
      </c>
      <c r="C259" s="395">
        <f t="shared" ref="C259:N259" si="54">SUM(C254:C258)</f>
        <v>215434</v>
      </c>
      <c r="D259" s="395">
        <f t="shared" si="54"/>
        <v>165707</v>
      </c>
      <c r="E259" s="395">
        <f t="shared" si="54"/>
        <v>187997</v>
      </c>
      <c r="F259" s="395">
        <f t="shared" si="54"/>
        <v>184343.5</v>
      </c>
      <c r="G259" s="395">
        <f t="shared" si="54"/>
        <v>122343</v>
      </c>
      <c r="H259" s="395">
        <f t="shared" si="54"/>
        <v>166544</v>
      </c>
      <c r="I259" s="395">
        <f t="shared" si="54"/>
        <v>117782</v>
      </c>
      <c r="J259" s="395">
        <f t="shared" si="54"/>
        <v>136486</v>
      </c>
      <c r="K259" s="395">
        <f t="shared" si="54"/>
        <v>159405</v>
      </c>
      <c r="L259" s="395">
        <f t="shared" si="54"/>
        <v>170318</v>
      </c>
      <c r="M259" s="395">
        <f t="shared" si="54"/>
        <v>153650</v>
      </c>
      <c r="N259" s="395">
        <f t="shared" si="54"/>
        <v>217903</v>
      </c>
      <c r="O259" s="395">
        <f t="shared" si="52"/>
        <v>1997912.5</v>
      </c>
      <c r="P259" s="708">
        <f>SUM(P253:P258)</f>
        <v>5680395</v>
      </c>
    </row>
    <row r="260" spans="1:18" ht="13.5" thickBot="1">
      <c r="B260" s="349" t="s">
        <v>127</v>
      </c>
      <c r="C260" s="332"/>
      <c r="D260" s="332"/>
      <c r="E260" s="332"/>
      <c r="F260" s="332"/>
      <c r="G260" s="332"/>
      <c r="H260" s="398"/>
      <c r="I260" s="332"/>
      <c r="J260" s="332"/>
      <c r="K260" s="332"/>
      <c r="L260" s="332"/>
      <c r="M260" s="332"/>
      <c r="N260" s="332"/>
      <c r="O260" s="331">
        <f t="shared" si="52"/>
        <v>0</v>
      </c>
      <c r="P260" s="708"/>
    </row>
    <row r="261" spans="1:18" ht="13.5" thickBot="1">
      <c r="B261" s="690" t="s">
        <v>129</v>
      </c>
      <c r="C261" s="334">
        <f t="shared" ref="C261:N261" si="55">SUM(C253,C259,C260)</f>
        <v>458019</v>
      </c>
      <c r="D261" s="334">
        <f t="shared" si="55"/>
        <v>408292</v>
      </c>
      <c r="E261" s="334">
        <f t="shared" si="55"/>
        <v>430582</v>
      </c>
      <c r="F261" s="334">
        <f t="shared" si="55"/>
        <v>426928.5</v>
      </c>
      <c r="G261" s="334">
        <f t="shared" si="55"/>
        <v>364928</v>
      </c>
      <c r="H261" s="334">
        <f t="shared" si="55"/>
        <v>409129</v>
      </c>
      <c r="I261" s="334">
        <f t="shared" si="55"/>
        <v>360367</v>
      </c>
      <c r="J261" s="334">
        <f t="shared" si="55"/>
        <v>379071</v>
      </c>
      <c r="K261" s="334">
        <f t="shared" si="55"/>
        <v>401990</v>
      </c>
      <c r="L261" s="334">
        <f t="shared" si="55"/>
        <v>412903</v>
      </c>
      <c r="M261" s="334">
        <f t="shared" si="55"/>
        <v>396235</v>
      </c>
      <c r="N261" s="334">
        <f t="shared" si="55"/>
        <v>460488</v>
      </c>
      <c r="O261" s="709">
        <f t="shared" si="52"/>
        <v>4908932.5</v>
      </c>
      <c r="P261" s="708"/>
    </row>
    <row r="262" spans="1:18">
      <c r="A262" s="525" t="s">
        <v>130</v>
      </c>
      <c r="B262" s="689" t="s">
        <v>172</v>
      </c>
      <c r="C262" s="357">
        <v>187951</v>
      </c>
      <c r="D262" s="357">
        <v>189967</v>
      </c>
      <c r="E262" s="357">
        <v>193499</v>
      </c>
      <c r="F262" s="357">
        <v>122216</v>
      </c>
      <c r="G262" s="357">
        <v>142333</v>
      </c>
      <c r="H262" s="357">
        <v>139832</v>
      </c>
      <c r="I262" s="357">
        <v>134978</v>
      </c>
      <c r="J262" s="357">
        <v>184787</v>
      </c>
      <c r="K262" s="357">
        <v>102320</v>
      </c>
      <c r="L262" s="357">
        <v>108247</v>
      </c>
      <c r="M262" s="357">
        <v>108903</v>
      </c>
      <c r="N262" s="357">
        <v>102123</v>
      </c>
      <c r="O262" s="329">
        <f t="shared" si="52"/>
        <v>1717156</v>
      </c>
      <c r="P262" s="708">
        <v>1478577</v>
      </c>
    </row>
    <row r="263" spans="1:18">
      <c r="A263" s="226">
        <v>9840000000</v>
      </c>
      <c r="B263" s="228" t="s">
        <v>174</v>
      </c>
      <c r="C263" s="331"/>
      <c r="D263" s="331"/>
      <c r="E263" s="331">
        <v>14023</v>
      </c>
      <c r="F263" s="331">
        <v>15456</v>
      </c>
      <c r="G263" s="331"/>
      <c r="H263" s="331"/>
      <c r="I263" s="331"/>
      <c r="J263" s="331"/>
      <c r="K263" s="331"/>
      <c r="L263" s="331"/>
      <c r="M263" s="331"/>
      <c r="N263" s="331"/>
      <c r="O263" s="365">
        <f t="shared" si="52"/>
        <v>29479</v>
      </c>
      <c r="P263" s="708">
        <v>40000</v>
      </c>
    </row>
    <row r="264" spans="1:18">
      <c r="A264" s="226">
        <v>4009900000</v>
      </c>
      <c r="B264" s="228" t="s">
        <v>136</v>
      </c>
      <c r="C264" s="331">
        <v>322</v>
      </c>
      <c r="D264" s="331">
        <v>281</v>
      </c>
      <c r="E264" s="331">
        <v>29</v>
      </c>
      <c r="F264" s="331">
        <v>11956</v>
      </c>
      <c r="G264" s="331">
        <v>1251</v>
      </c>
      <c r="H264" s="331">
        <v>429</v>
      </c>
      <c r="I264" s="331">
        <v>2356</v>
      </c>
      <c r="J264" s="331">
        <v>219</v>
      </c>
      <c r="K264" s="331">
        <v>4592</v>
      </c>
      <c r="L264" s="331">
        <v>5052</v>
      </c>
      <c r="M264" s="331"/>
      <c r="N264" s="331"/>
      <c r="O264" s="365">
        <f t="shared" si="52"/>
        <v>26487</v>
      </c>
      <c r="P264" s="708">
        <v>45000</v>
      </c>
      <c r="Q264" s="525"/>
    </row>
    <row r="265" spans="1:18">
      <c r="A265" s="226">
        <v>2709900000</v>
      </c>
      <c r="B265" s="228" t="s">
        <v>175</v>
      </c>
      <c r="C265" s="331">
        <v>200000</v>
      </c>
      <c r="D265" s="331"/>
      <c r="E265" s="331"/>
      <c r="F265" s="331"/>
      <c r="G265" s="331"/>
      <c r="H265" s="331"/>
      <c r="I265" s="331"/>
      <c r="J265" s="331"/>
      <c r="K265" s="331"/>
      <c r="L265" s="331"/>
      <c r="M265" s="331"/>
      <c r="N265" s="331"/>
      <c r="O265" s="365">
        <f t="shared" si="52"/>
        <v>200000</v>
      </c>
      <c r="P265" s="708">
        <v>300000</v>
      </c>
    </row>
    <row r="266" spans="1:18">
      <c r="A266" s="388">
        <v>2911800000</v>
      </c>
      <c r="B266" s="228" t="s">
        <v>135</v>
      </c>
      <c r="C266" s="331">
        <v>3600</v>
      </c>
      <c r="D266" s="331"/>
      <c r="E266" s="331"/>
      <c r="F266" s="331"/>
      <c r="G266" s="331">
        <v>18272</v>
      </c>
      <c r="H266" s="331"/>
      <c r="I266" s="331">
        <v>150</v>
      </c>
      <c r="J266" s="331"/>
      <c r="K266" s="331"/>
      <c r="L266" s="331"/>
      <c r="M266" s="331"/>
      <c r="N266" s="331"/>
      <c r="O266" s="365">
        <f t="shared" si="52"/>
        <v>22022</v>
      </c>
      <c r="P266" s="708">
        <v>31500</v>
      </c>
      <c r="Q266" s="525">
        <v>25000</v>
      </c>
    </row>
    <row r="267" spans="1:18">
      <c r="A267" s="226">
        <v>2310100000</v>
      </c>
      <c r="B267" s="228" t="s">
        <v>177</v>
      </c>
      <c r="C267" s="331">
        <f>'[3]KM tal på biler 2015'!$M$12</f>
        <v>6329.25</v>
      </c>
      <c r="D267" s="331">
        <f>'[3]KM tal på biler 2015'!$M$13</f>
        <v>6445.5999999999995</v>
      </c>
      <c r="E267" s="331">
        <f>'[3]KM tal på biler 2015'!$M$14</f>
        <v>7744.66</v>
      </c>
      <c r="F267" s="331">
        <f>'[3]KM tal på biler 2015'!$M$15</f>
        <v>7345.62</v>
      </c>
      <c r="G267" s="331">
        <f>'[3]KM tal på biler 2015'!$M$16</f>
        <v>6624.0700000000015</v>
      </c>
      <c r="H267" s="331">
        <f>'[3]KM tal på biler 2015'!$M$17</f>
        <v>6849.4100000000008</v>
      </c>
      <c r="I267" s="331">
        <f>'[3]KM tal på biler 2015'!$M$18</f>
        <v>6022.83</v>
      </c>
      <c r="J267" s="331">
        <f>'[3]KM tal på biler 2015'!$M$19</f>
        <v>5511.7199999999993</v>
      </c>
      <c r="K267" s="331">
        <f>'[3]KM tal på biler 2015'!$M$20</f>
        <v>3750.19</v>
      </c>
      <c r="L267" s="331">
        <f>'[3]KM tal på biler 2015'!$M$21</f>
        <v>4752.21</v>
      </c>
      <c r="M267" s="331">
        <f>'[3]KM tal på biler 2015'!$M$22</f>
        <v>5729.5999999999995</v>
      </c>
      <c r="N267" s="331">
        <f>'[3]KM tal på biler 2015'!$M$23</f>
        <v>2880.5800000000004</v>
      </c>
      <c r="O267" s="365">
        <f t="shared" si="52"/>
        <v>69985.740000000005</v>
      </c>
      <c r="P267" s="708">
        <v>120000</v>
      </c>
      <c r="Q267" s="226">
        <v>100000</v>
      </c>
      <c r="R267" s="525" t="s">
        <v>242</v>
      </c>
    </row>
    <row r="268" spans="1:18">
      <c r="A268" s="388">
        <v>9845500000</v>
      </c>
      <c r="B268" s="228" t="s">
        <v>178</v>
      </c>
      <c r="C268" s="331">
        <v>9750</v>
      </c>
      <c r="D268" s="331">
        <v>9750</v>
      </c>
      <c r="E268" s="331">
        <v>9750</v>
      </c>
      <c r="F268" s="331">
        <v>9750</v>
      </c>
      <c r="G268" s="331">
        <v>9750</v>
      </c>
      <c r="H268" s="331">
        <v>9750</v>
      </c>
      <c r="I268" s="331">
        <v>9750</v>
      </c>
      <c r="J268" s="331">
        <v>9750</v>
      </c>
      <c r="K268" s="331">
        <v>9750</v>
      </c>
      <c r="L268" s="331">
        <v>9750</v>
      </c>
      <c r="M268" s="331">
        <v>9750</v>
      </c>
      <c r="N268" s="331">
        <v>9750</v>
      </c>
      <c r="O268" s="329">
        <f t="shared" si="52"/>
        <v>117000</v>
      </c>
      <c r="P268" s="708">
        <v>117000</v>
      </c>
    </row>
    <row r="269" spans="1:18">
      <c r="A269" s="226">
        <v>4909900000</v>
      </c>
      <c r="B269" s="228" t="s">
        <v>179</v>
      </c>
      <c r="C269" s="331">
        <v>752</v>
      </c>
      <c r="D269" s="331">
        <v>13569</v>
      </c>
      <c r="E269" s="331">
        <v>73241</v>
      </c>
      <c r="F269" s="331">
        <v>-782</v>
      </c>
      <c r="G269" s="331">
        <v>7125</v>
      </c>
      <c r="H269" s="331">
        <v>20347</v>
      </c>
      <c r="I269" s="331">
        <v>22580</v>
      </c>
      <c r="J269" s="331">
        <v>18723</v>
      </c>
      <c r="K269" s="331">
        <v>17995</v>
      </c>
      <c r="L269" s="331">
        <v>589</v>
      </c>
      <c r="M269" s="331"/>
      <c r="N269" s="331"/>
      <c r="O269" s="329">
        <f t="shared" si="52"/>
        <v>174139</v>
      </c>
      <c r="P269" s="708">
        <v>150000</v>
      </c>
      <c r="Q269" s="584" t="s">
        <v>243</v>
      </c>
    </row>
    <row r="270" spans="1:18">
      <c r="A270" s="226">
        <v>4516500000</v>
      </c>
      <c r="B270" s="228" t="s">
        <v>180</v>
      </c>
      <c r="C270" s="331"/>
      <c r="D270" s="331">
        <v>34400</v>
      </c>
      <c r="E270" s="331"/>
      <c r="F270" s="331">
        <v>3905</v>
      </c>
      <c r="G270" s="331">
        <v>6118</v>
      </c>
      <c r="H270" s="331">
        <v>5868</v>
      </c>
      <c r="I270" s="331">
        <v>350</v>
      </c>
      <c r="J270" s="331">
        <v>350</v>
      </c>
      <c r="K270" s="331">
        <v>350</v>
      </c>
      <c r="L270" s="331">
        <v>350</v>
      </c>
      <c r="M270" s="331"/>
      <c r="N270" s="331"/>
      <c r="O270" s="329">
        <f t="shared" si="52"/>
        <v>51691</v>
      </c>
      <c r="P270" s="708">
        <v>45000</v>
      </c>
      <c r="R270" s="525"/>
    </row>
    <row r="271" spans="1:18">
      <c r="A271" s="226">
        <v>2909900000</v>
      </c>
      <c r="B271" s="228" t="s">
        <v>181</v>
      </c>
      <c r="C271" s="331">
        <v>259</v>
      </c>
      <c r="D271" s="331">
        <v>5809</v>
      </c>
      <c r="E271" s="331"/>
      <c r="F271" s="331">
        <v>492</v>
      </c>
      <c r="G271" s="331">
        <v>6448</v>
      </c>
      <c r="H271" s="331"/>
      <c r="I271" s="331"/>
      <c r="J271" s="331"/>
      <c r="K271" s="331">
        <v>8085</v>
      </c>
      <c r="L271" s="331"/>
      <c r="M271" s="331"/>
      <c r="N271" s="331"/>
      <c r="O271" s="329">
        <f t="shared" si="52"/>
        <v>21093</v>
      </c>
      <c r="P271" s="708">
        <v>25000</v>
      </c>
    </row>
    <row r="272" spans="1:18">
      <c r="A272" s="226">
        <v>4010400000</v>
      </c>
      <c r="B272" s="228" t="s">
        <v>182</v>
      </c>
      <c r="C272" s="331">
        <v>187875</v>
      </c>
      <c r="D272" s="331">
        <v>148556</v>
      </c>
      <c r="E272" s="331">
        <v>158826</v>
      </c>
      <c r="F272" s="331">
        <v>156570</v>
      </c>
      <c r="G272" s="331">
        <v>114199</v>
      </c>
      <c r="H272" s="331">
        <v>150675</v>
      </c>
      <c r="I272" s="331">
        <v>104177</v>
      </c>
      <c r="J272" s="331">
        <v>119511</v>
      </c>
      <c r="K272" s="331">
        <v>142580</v>
      </c>
      <c r="L272" s="331">
        <v>127170</v>
      </c>
      <c r="M272" s="331">
        <v>137846</v>
      </c>
      <c r="N272" s="331">
        <v>200938</v>
      </c>
      <c r="O272" s="329">
        <f t="shared" si="52"/>
        <v>1748923</v>
      </c>
      <c r="P272" s="708">
        <v>2500000</v>
      </c>
      <c r="Q272" s="291">
        <v>1800000</v>
      </c>
    </row>
    <row r="273" spans="1:17">
      <c r="A273" s="226">
        <v>4910300000</v>
      </c>
      <c r="B273" s="228" t="s">
        <v>171</v>
      </c>
      <c r="C273" s="329">
        <v>6406</v>
      </c>
      <c r="D273" s="329">
        <v>6177</v>
      </c>
      <c r="E273" s="329">
        <v>2790</v>
      </c>
      <c r="F273" s="329">
        <v>4228</v>
      </c>
      <c r="G273" s="329">
        <v>5302</v>
      </c>
      <c r="H273" s="329">
        <v>8581</v>
      </c>
      <c r="I273" s="329">
        <v>4878</v>
      </c>
      <c r="J273" s="329">
        <v>6440</v>
      </c>
      <c r="K273" s="329">
        <v>10501</v>
      </c>
      <c r="L273" s="329"/>
      <c r="M273" s="329"/>
      <c r="N273" s="329"/>
      <c r="O273" s="329">
        <f t="shared" si="52"/>
        <v>55303</v>
      </c>
      <c r="P273" s="708">
        <v>50000</v>
      </c>
      <c r="Q273" s="226">
        <v>60000</v>
      </c>
    </row>
    <row r="274" spans="1:17" ht="13.5" thickBot="1">
      <c r="A274" s="226">
        <v>4911800000</v>
      </c>
      <c r="B274" s="349" t="s">
        <v>183</v>
      </c>
      <c r="C274" s="331">
        <v>52077</v>
      </c>
      <c r="D274" s="331"/>
      <c r="E274" s="331">
        <v>25816</v>
      </c>
      <c r="F274" s="331"/>
      <c r="G274" s="331"/>
      <c r="H274" s="331">
        <v>26536</v>
      </c>
      <c r="I274" s="331">
        <v>3415</v>
      </c>
      <c r="J274" s="331"/>
      <c r="K274" s="331">
        <v>25816</v>
      </c>
      <c r="L274" s="331"/>
      <c r="M274" s="331"/>
      <c r="N274" s="331"/>
      <c r="O274" s="329">
        <f t="shared" si="52"/>
        <v>133660</v>
      </c>
      <c r="P274" s="708">
        <v>104000</v>
      </c>
      <c r="Q274" s="525" t="s">
        <v>244</v>
      </c>
    </row>
    <row r="275" spans="1:17" ht="13.5" thickBot="1">
      <c r="B275" s="690" t="s">
        <v>145</v>
      </c>
      <c r="C275" s="334">
        <f>SUM(C262:C274)</f>
        <v>655321.25</v>
      </c>
      <c r="D275" s="334">
        <f t="shared" ref="D275:O275" si="56">SUM(D262:D274)</f>
        <v>414954.6</v>
      </c>
      <c r="E275" s="334">
        <f t="shared" si="56"/>
        <v>485718.66000000003</v>
      </c>
      <c r="F275" s="334">
        <f t="shared" si="56"/>
        <v>331136.62</v>
      </c>
      <c r="G275" s="334">
        <f t="shared" si="56"/>
        <v>317422.07</v>
      </c>
      <c r="H275" s="334">
        <f t="shared" si="56"/>
        <v>368867.41000000003</v>
      </c>
      <c r="I275" s="334">
        <f t="shared" si="56"/>
        <v>288656.82999999996</v>
      </c>
      <c r="J275" s="334">
        <f t="shared" si="56"/>
        <v>345291.72</v>
      </c>
      <c r="K275" s="334">
        <f t="shared" si="56"/>
        <v>325739.19</v>
      </c>
      <c r="L275" s="334">
        <f t="shared" si="56"/>
        <v>255910.21000000002</v>
      </c>
      <c r="M275" s="334">
        <f t="shared" si="56"/>
        <v>262228.59999999998</v>
      </c>
      <c r="N275" s="334">
        <f t="shared" si="56"/>
        <v>315691.58</v>
      </c>
      <c r="O275" s="334">
        <f t="shared" si="56"/>
        <v>4366938.74</v>
      </c>
      <c r="P275" s="708">
        <f>SUM(P262:P274)</f>
        <v>5006077</v>
      </c>
    </row>
    <row r="276" spans="1:17" ht="13.5" thickBot="1">
      <c r="B276" s="695" t="s">
        <v>146</v>
      </c>
      <c r="C276" s="351">
        <f>C261-SUM(C262:C274)</f>
        <v>-197302.25</v>
      </c>
      <c r="D276" s="351">
        <f t="shared" ref="D276:N276" si="57">D261-SUM(D262:D274)</f>
        <v>-6662.5999999999767</v>
      </c>
      <c r="E276" s="351">
        <f t="shared" si="57"/>
        <v>-55136.660000000033</v>
      </c>
      <c r="F276" s="351">
        <f t="shared" si="57"/>
        <v>95791.88</v>
      </c>
      <c r="G276" s="351">
        <f t="shared" si="57"/>
        <v>47505.929999999993</v>
      </c>
      <c r="H276" s="351">
        <f t="shared" si="57"/>
        <v>40261.589999999967</v>
      </c>
      <c r="I276" s="351">
        <f t="shared" si="57"/>
        <v>71710.170000000042</v>
      </c>
      <c r="J276" s="351">
        <f t="shared" si="57"/>
        <v>33779.280000000028</v>
      </c>
      <c r="K276" s="351">
        <f t="shared" si="57"/>
        <v>76250.81</v>
      </c>
      <c r="L276" s="351">
        <f t="shared" si="57"/>
        <v>156992.78999999998</v>
      </c>
      <c r="M276" s="351">
        <f t="shared" si="57"/>
        <v>134006.40000000002</v>
      </c>
      <c r="N276" s="351">
        <f t="shared" si="57"/>
        <v>144796.41999999998</v>
      </c>
      <c r="O276" s="351">
        <f t="shared" si="52"/>
        <v>541993.76</v>
      </c>
    </row>
    <row r="277" spans="1:17" ht="15" customHeight="1">
      <c r="A277" s="406"/>
      <c r="B277" s="517"/>
      <c r="C277" s="517"/>
      <c r="D277" s="517"/>
      <c r="E277" s="517"/>
      <c r="F277" s="517"/>
      <c r="G277" s="517"/>
      <c r="H277" s="517"/>
      <c r="I277" s="517"/>
      <c r="J277" s="517"/>
      <c r="K277" s="517"/>
      <c r="L277" s="517"/>
      <c r="M277" s="517"/>
      <c r="N277" s="517"/>
    </row>
    <row r="278" spans="1:17" ht="15" customHeight="1" thickBot="1">
      <c r="A278" s="406"/>
      <c r="B278" s="517"/>
      <c r="C278" s="517"/>
      <c r="D278" s="517"/>
      <c r="E278" s="517"/>
      <c r="F278" s="517"/>
      <c r="G278" s="517"/>
      <c r="H278" s="517"/>
      <c r="I278" s="517"/>
      <c r="J278" s="517"/>
      <c r="K278" s="517"/>
      <c r="L278" s="517"/>
      <c r="M278" s="517"/>
      <c r="N278" s="517"/>
    </row>
    <row r="279" spans="1:17" ht="20.25">
      <c r="A279" s="826" t="s">
        <v>245</v>
      </c>
      <c r="B279" s="826"/>
      <c r="C279" s="826"/>
      <c r="D279" s="826"/>
      <c r="E279" s="826"/>
      <c r="F279" s="826"/>
      <c r="G279" s="826"/>
      <c r="H279" s="826"/>
      <c r="I279" s="826"/>
      <c r="J279" s="826"/>
      <c r="K279" s="826"/>
      <c r="L279" s="826"/>
      <c r="M279" s="826"/>
      <c r="N279" s="826"/>
    </row>
    <row r="280" spans="1:17">
      <c r="A280" s="227"/>
      <c r="B280" s="227"/>
      <c r="C280" s="227"/>
      <c r="D280" s="227"/>
      <c r="E280" s="227"/>
      <c r="F280" s="227"/>
      <c r="G280" s="227"/>
      <c r="H280" s="227"/>
      <c r="I280" s="227"/>
      <c r="J280" s="227"/>
      <c r="K280" s="227"/>
      <c r="L280" s="227"/>
      <c r="M280" s="227"/>
    </row>
    <row r="281" spans="1:17">
      <c r="A281" s="228"/>
      <c r="B281" s="229" t="s">
        <v>44</v>
      </c>
      <c r="C281" s="229" t="s">
        <v>45</v>
      </c>
      <c r="D281" s="230" t="s">
        <v>46</v>
      </c>
      <c r="E281" s="229" t="s">
        <v>47</v>
      </c>
      <c r="F281" s="229" t="s">
        <v>48</v>
      </c>
      <c r="G281" s="230" t="s">
        <v>49</v>
      </c>
      <c r="H281" s="229" t="s">
        <v>38</v>
      </c>
      <c r="I281" s="229" t="s">
        <v>39</v>
      </c>
      <c r="J281" s="229" t="s">
        <v>40</v>
      </c>
      <c r="K281" s="229" t="s">
        <v>41</v>
      </c>
      <c r="L281" s="229" t="s">
        <v>42</v>
      </c>
      <c r="M281" s="229" t="s">
        <v>43</v>
      </c>
      <c r="N281" s="228" t="s">
        <v>64</v>
      </c>
    </row>
    <row r="282" spans="1:17">
      <c r="A282" s="231" t="s">
        <v>65</v>
      </c>
      <c r="B282" s="620">
        <v>1924</v>
      </c>
      <c r="C282" s="620">
        <v>1924</v>
      </c>
      <c r="D282" s="620">
        <v>1924</v>
      </c>
      <c r="E282" s="620">
        <v>1924</v>
      </c>
      <c r="F282" s="620">
        <v>1924</v>
      </c>
      <c r="G282" s="620">
        <v>1924</v>
      </c>
      <c r="H282" s="620">
        <v>1924</v>
      </c>
      <c r="I282" s="620">
        <v>1924</v>
      </c>
      <c r="J282" s="620">
        <v>1924</v>
      </c>
      <c r="K282" s="620">
        <v>1924</v>
      </c>
      <c r="L282" s="620">
        <v>1924</v>
      </c>
      <c r="M282" s="620">
        <v>1924</v>
      </c>
      <c r="N282" s="620">
        <f t="shared" ref="N282:N292" si="58">SUM(B282:M282)</f>
        <v>23088</v>
      </c>
    </row>
    <row r="283" spans="1:17">
      <c r="A283" s="231" t="s">
        <v>66</v>
      </c>
      <c r="B283" s="620"/>
      <c r="C283" s="620"/>
      <c r="D283" s="620"/>
      <c r="E283" s="620"/>
      <c r="F283" s="620"/>
      <c r="G283" s="621"/>
      <c r="H283" s="620"/>
      <c r="I283" s="620"/>
      <c r="J283" s="622"/>
      <c r="K283" s="620"/>
      <c r="L283" s="620"/>
      <c r="M283" s="620"/>
      <c r="N283" s="620">
        <f t="shared" si="58"/>
        <v>0</v>
      </c>
    </row>
    <row r="284" spans="1:17">
      <c r="A284" s="231" t="s">
        <v>67</v>
      </c>
      <c r="B284" s="620"/>
      <c r="C284" s="620"/>
      <c r="D284" s="620"/>
      <c r="E284" s="620"/>
      <c r="F284" s="620"/>
      <c r="G284" s="621"/>
      <c r="H284" s="620"/>
      <c r="I284" s="620"/>
      <c r="J284" s="620"/>
      <c r="K284" s="620"/>
      <c r="L284" s="620"/>
      <c r="M284" s="620"/>
      <c r="N284" s="620">
        <f t="shared" si="58"/>
        <v>0</v>
      </c>
    </row>
    <row r="285" spans="1:17">
      <c r="A285" s="231" t="s">
        <v>69</v>
      </c>
      <c r="B285" s="620"/>
      <c r="C285" s="620"/>
      <c r="D285" s="620"/>
      <c r="E285" s="620"/>
      <c r="F285" s="620"/>
      <c r="G285" s="621"/>
      <c r="H285" s="620"/>
      <c r="I285" s="620"/>
      <c r="J285" s="620"/>
      <c r="K285" s="620"/>
      <c r="L285" s="620"/>
      <c r="M285" s="620"/>
      <c r="N285" s="620">
        <f t="shared" si="58"/>
        <v>0</v>
      </c>
    </row>
    <row r="286" spans="1:17">
      <c r="A286" s="231" t="s">
        <v>70</v>
      </c>
      <c r="B286" s="620"/>
      <c r="C286" s="620"/>
      <c r="D286" s="620"/>
      <c r="E286" s="620"/>
      <c r="F286" s="620"/>
      <c r="G286" s="621"/>
      <c r="H286" s="620"/>
      <c r="I286" s="620"/>
      <c r="J286" s="620"/>
      <c r="K286" s="620"/>
      <c r="L286" s="620"/>
      <c r="M286" s="620"/>
      <c r="N286" s="620">
        <f t="shared" si="58"/>
        <v>0</v>
      </c>
    </row>
    <row r="287" spans="1:17">
      <c r="A287" s="231" t="s">
        <v>71</v>
      </c>
      <c r="B287" s="620"/>
      <c r="C287" s="620"/>
      <c r="D287" s="620"/>
      <c r="E287" s="620"/>
      <c r="F287" s="620"/>
      <c r="G287" s="621"/>
      <c r="H287" s="620"/>
      <c r="I287" s="620"/>
      <c r="J287" s="620"/>
      <c r="K287" s="620"/>
      <c r="L287" s="620"/>
      <c r="M287" s="620"/>
      <c r="N287" s="620">
        <f t="shared" si="58"/>
        <v>0</v>
      </c>
    </row>
    <row r="288" spans="1:17">
      <c r="A288" s="231" t="s">
        <v>72</v>
      </c>
      <c r="B288" s="620"/>
      <c r="C288" s="620"/>
      <c r="D288" s="620"/>
      <c r="E288" s="620"/>
      <c r="F288" s="620"/>
      <c r="G288" s="621"/>
      <c r="H288" s="620"/>
      <c r="I288" s="620"/>
      <c r="J288" s="620"/>
      <c r="K288" s="620"/>
      <c r="L288" s="620"/>
      <c r="M288" s="620"/>
      <c r="N288" s="620">
        <f t="shared" si="58"/>
        <v>0</v>
      </c>
    </row>
    <row r="289" spans="1:14">
      <c r="A289" s="231" t="s">
        <v>73</v>
      </c>
      <c r="B289" s="620"/>
      <c r="C289" s="620"/>
      <c r="D289" s="620"/>
      <c r="E289" s="620"/>
      <c r="F289" s="620"/>
      <c r="G289" s="621"/>
      <c r="H289" s="620"/>
      <c r="I289" s="620"/>
      <c r="J289" s="620"/>
      <c r="K289" s="620"/>
      <c r="L289" s="620"/>
      <c r="M289" s="620"/>
      <c r="N289" s="620">
        <f t="shared" si="58"/>
        <v>0</v>
      </c>
    </row>
    <row r="290" spans="1:14">
      <c r="A290" s="231" t="s">
        <v>74</v>
      </c>
      <c r="B290" s="620"/>
      <c r="C290" s="620"/>
      <c r="D290" s="620"/>
      <c r="E290" s="620"/>
      <c r="F290" s="620"/>
      <c r="G290" s="621"/>
      <c r="H290" s="620"/>
      <c r="I290" s="620"/>
      <c r="J290" s="620"/>
      <c r="K290" s="620"/>
      <c r="L290" s="620"/>
      <c r="M290" s="620"/>
      <c r="N290" s="620">
        <f t="shared" si="58"/>
        <v>0</v>
      </c>
    </row>
    <row r="291" spans="1:14">
      <c r="A291" s="231" t="s">
        <v>75</v>
      </c>
      <c r="B291" s="620"/>
      <c r="C291" s="620"/>
      <c r="D291" s="620"/>
      <c r="E291" s="620"/>
      <c r="F291" s="620"/>
      <c r="G291" s="621"/>
      <c r="H291" s="620"/>
      <c r="I291" s="620"/>
      <c r="J291" s="620"/>
      <c r="K291" s="620"/>
      <c r="L291" s="620"/>
      <c r="M291" s="620"/>
      <c r="N291" s="620">
        <f t="shared" si="58"/>
        <v>0</v>
      </c>
    </row>
    <row r="292" spans="1:14" ht="13.5" thickBot="1">
      <c r="A292" s="235" t="s">
        <v>76</v>
      </c>
      <c r="B292" s="623"/>
      <c r="C292" s="623"/>
      <c r="D292" s="623"/>
      <c r="E292" s="623"/>
      <c r="F292" s="623"/>
      <c r="G292" s="624"/>
      <c r="H292" s="623"/>
      <c r="I292" s="623"/>
      <c r="J292" s="623"/>
      <c r="K292" s="623"/>
      <c r="L292" s="623"/>
      <c r="M292" s="623"/>
      <c r="N292" s="625">
        <f t="shared" si="58"/>
        <v>0</v>
      </c>
    </row>
    <row r="293" spans="1:14" ht="13.5" thickBot="1">
      <c r="A293" s="239" t="s">
        <v>77</v>
      </c>
      <c r="B293" s="626">
        <f>SUM(B282:B292)</f>
        <v>1924</v>
      </c>
      <c r="C293" s="626">
        <f t="shared" ref="C293:N293" si="59">SUM(C282:C292)</f>
        <v>1924</v>
      </c>
      <c r="D293" s="626">
        <f t="shared" si="59"/>
        <v>1924</v>
      </c>
      <c r="E293" s="626">
        <f t="shared" si="59"/>
        <v>1924</v>
      </c>
      <c r="F293" s="626">
        <f t="shared" si="59"/>
        <v>1924</v>
      </c>
      <c r="G293" s="626">
        <f t="shared" si="59"/>
        <v>1924</v>
      </c>
      <c r="H293" s="626">
        <f t="shared" si="59"/>
        <v>1924</v>
      </c>
      <c r="I293" s="626">
        <f t="shared" si="59"/>
        <v>1924</v>
      </c>
      <c r="J293" s="626">
        <f t="shared" si="59"/>
        <v>1924</v>
      </c>
      <c r="K293" s="626">
        <f t="shared" si="59"/>
        <v>1924</v>
      </c>
      <c r="L293" s="626">
        <f t="shared" si="59"/>
        <v>1924</v>
      </c>
      <c r="M293" s="626">
        <f t="shared" si="59"/>
        <v>1924</v>
      </c>
      <c r="N293" s="632">
        <f t="shared" si="59"/>
        <v>23088</v>
      </c>
    </row>
    <row r="294" spans="1:14">
      <c r="A294" s="243"/>
      <c r="B294" s="261"/>
      <c r="C294" s="261"/>
      <c r="D294" s="261"/>
      <c r="E294" s="261"/>
      <c r="F294" s="261"/>
      <c r="G294" s="261"/>
      <c r="H294" s="261"/>
      <c r="I294" s="261"/>
      <c r="J294" s="261"/>
      <c r="K294" s="261"/>
      <c r="L294" s="261"/>
      <c r="M294" s="261"/>
      <c r="N294" s="261"/>
    </row>
    <row r="295" spans="1:14">
      <c r="A295" s="243"/>
      <c r="B295" s="261"/>
      <c r="C295" s="261"/>
      <c r="D295" s="261"/>
      <c r="E295" s="261"/>
      <c r="F295" s="261"/>
      <c r="G295" s="261"/>
      <c r="H295" s="261"/>
      <c r="I295" s="261"/>
      <c r="J295" s="261"/>
      <c r="K295" s="261"/>
      <c r="L295" s="261"/>
      <c r="M295" s="261"/>
      <c r="N295" s="629" t="s">
        <v>78</v>
      </c>
    </row>
    <row r="296" spans="1:14">
      <c r="A296" s="231" t="s">
        <v>79</v>
      </c>
      <c r="B296" s="620">
        <f t="shared" ref="B296:M296" si="60">SUM(B283*100/B293)</f>
        <v>0</v>
      </c>
      <c r="C296" s="620">
        <f t="shared" si="60"/>
        <v>0</v>
      </c>
      <c r="D296" s="620">
        <f t="shared" si="60"/>
        <v>0</v>
      </c>
      <c r="E296" s="620">
        <f t="shared" si="60"/>
        <v>0</v>
      </c>
      <c r="F296" s="620">
        <f t="shared" si="60"/>
        <v>0</v>
      </c>
      <c r="G296" s="620">
        <f t="shared" si="60"/>
        <v>0</v>
      </c>
      <c r="H296" s="620">
        <f t="shared" si="60"/>
        <v>0</v>
      </c>
      <c r="I296" s="620">
        <f t="shared" si="60"/>
        <v>0</v>
      </c>
      <c r="J296" s="620">
        <f t="shared" si="60"/>
        <v>0</v>
      </c>
      <c r="K296" s="620">
        <f t="shared" si="60"/>
        <v>0</v>
      </c>
      <c r="L296" s="620">
        <f t="shared" si="60"/>
        <v>0</v>
      </c>
      <c r="M296" s="620">
        <f t="shared" si="60"/>
        <v>0</v>
      </c>
      <c r="N296" s="630">
        <f>SUM(B296:M296)/12</f>
        <v>0</v>
      </c>
    </row>
    <row r="297" spans="1:14">
      <c r="A297" s="243"/>
      <c r="B297" s="261"/>
      <c r="C297" s="261"/>
      <c r="D297" s="261"/>
      <c r="E297" s="261"/>
      <c r="F297" s="261"/>
      <c r="G297" s="261"/>
      <c r="H297" s="261"/>
      <c r="I297" s="261"/>
      <c r="J297" s="261"/>
      <c r="K297" s="261"/>
      <c r="L297" s="261"/>
      <c r="M297" s="261"/>
      <c r="N297" s="261"/>
    </row>
    <row r="298" spans="1:14">
      <c r="A298" s="231" t="s">
        <v>80</v>
      </c>
      <c r="B298" s="620">
        <f t="shared" ref="B298:M298" si="61">SUM(B287*100/B293)</f>
        <v>0</v>
      </c>
      <c r="C298" s="620">
        <f t="shared" si="61"/>
        <v>0</v>
      </c>
      <c r="D298" s="620">
        <f t="shared" si="61"/>
        <v>0</v>
      </c>
      <c r="E298" s="620">
        <f t="shared" si="61"/>
        <v>0</v>
      </c>
      <c r="F298" s="620">
        <f t="shared" si="61"/>
        <v>0</v>
      </c>
      <c r="G298" s="620">
        <f t="shared" si="61"/>
        <v>0</v>
      </c>
      <c r="H298" s="620">
        <f t="shared" si="61"/>
        <v>0</v>
      </c>
      <c r="I298" s="620">
        <f t="shared" si="61"/>
        <v>0</v>
      </c>
      <c r="J298" s="620">
        <f t="shared" si="61"/>
        <v>0</v>
      </c>
      <c r="K298" s="620">
        <f t="shared" si="61"/>
        <v>0</v>
      </c>
      <c r="L298" s="620">
        <f t="shared" si="61"/>
        <v>0</v>
      </c>
      <c r="M298" s="620">
        <f t="shared" si="61"/>
        <v>0</v>
      </c>
      <c r="N298" s="630">
        <f>SUM(B298:M298)/12</f>
        <v>0</v>
      </c>
    </row>
    <row r="299" spans="1:14" ht="13.5" thickBot="1">
      <c r="A299" s="247" t="s">
        <v>81</v>
      </c>
      <c r="B299" s="625">
        <f t="shared" ref="B299:M299" si="62">SUM(B288*100/B293)</f>
        <v>0</v>
      </c>
      <c r="C299" s="625">
        <f t="shared" si="62"/>
        <v>0</v>
      </c>
      <c r="D299" s="625">
        <f t="shared" si="62"/>
        <v>0</v>
      </c>
      <c r="E299" s="625">
        <f t="shared" si="62"/>
        <v>0</v>
      </c>
      <c r="F299" s="625">
        <f t="shared" si="62"/>
        <v>0</v>
      </c>
      <c r="G299" s="625">
        <f t="shared" si="62"/>
        <v>0</v>
      </c>
      <c r="H299" s="625">
        <f t="shared" si="62"/>
        <v>0</v>
      </c>
      <c r="I299" s="625">
        <f t="shared" si="62"/>
        <v>0</v>
      </c>
      <c r="J299" s="625">
        <f t="shared" si="62"/>
        <v>0</v>
      </c>
      <c r="K299" s="625">
        <f t="shared" si="62"/>
        <v>0</v>
      </c>
      <c r="L299" s="625">
        <f t="shared" si="62"/>
        <v>0</v>
      </c>
      <c r="M299" s="625">
        <f t="shared" si="62"/>
        <v>0</v>
      </c>
      <c r="N299" s="630">
        <f>SUM(B299:M299)/12</f>
        <v>0</v>
      </c>
    </row>
    <row r="300" spans="1:14" ht="13.5" thickBot="1">
      <c r="A300" s="249" t="s">
        <v>82</v>
      </c>
      <c r="B300" s="632">
        <f t="shared" ref="B300:M300" si="63">SUM(B298:B298)</f>
        <v>0</v>
      </c>
      <c r="C300" s="632">
        <f t="shared" si="63"/>
        <v>0</v>
      </c>
      <c r="D300" s="632">
        <f t="shared" si="63"/>
        <v>0</v>
      </c>
      <c r="E300" s="632">
        <f t="shared" si="63"/>
        <v>0</v>
      </c>
      <c r="F300" s="632">
        <f t="shared" si="63"/>
        <v>0</v>
      </c>
      <c r="G300" s="632">
        <f t="shared" si="63"/>
        <v>0</v>
      </c>
      <c r="H300" s="632">
        <f t="shared" si="63"/>
        <v>0</v>
      </c>
      <c r="I300" s="632">
        <f t="shared" si="63"/>
        <v>0</v>
      </c>
      <c r="J300" s="632">
        <f t="shared" si="63"/>
        <v>0</v>
      </c>
      <c r="K300" s="632">
        <f t="shared" si="63"/>
        <v>0</v>
      </c>
      <c r="L300" s="632">
        <f t="shared" si="63"/>
        <v>0</v>
      </c>
      <c r="M300" s="632">
        <f t="shared" si="63"/>
        <v>0</v>
      </c>
      <c r="N300" s="633">
        <f>SUM(N298:N299)</f>
        <v>0</v>
      </c>
    </row>
    <row r="301" spans="1:14">
      <c r="A301" s="243" t="s">
        <v>83</v>
      </c>
      <c r="B301" s="261"/>
      <c r="C301" s="261"/>
      <c r="D301" s="634">
        <f>SUM(B300:D300)/3</f>
        <v>0</v>
      </c>
      <c r="E301" s="261"/>
      <c r="F301" s="261"/>
      <c r="G301" s="634">
        <f>SUM(E300,F300,G300)/3</f>
        <v>0</v>
      </c>
      <c r="H301" s="261"/>
      <c r="I301" s="261"/>
      <c r="J301" s="634">
        <f>SUM(H300,I300,J300)/3</f>
        <v>0</v>
      </c>
      <c r="K301" s="261"/>
      <c r="L301" s="261"/>
      <c r="M301" s="634">
        <f>SUM(K300,L300,M300)/3</f>
        <v>0</v>
      </c>
      <c r="N301" s="635">
        <f>SUM(D301:M301)/4</f>
        <v>0</v>
      </c>
    </row>
    <row r="302" spans="1:14">
      <c r="A302" s="243" t="s">
        <v>84</v>
      </c>
      <c r="B302" s="261"/>
      <c r="C302" s="261"/>
      <c r="D302" s="262"/>
      <c r="E302" s="261"/>
      <c r="F302" s="261"/>
      <c r="G302" s="262"/>
      <c r="H302" s="261"/>
      <c r="I302" s="261"/>
      <c r="J302" s="262"/>
      <c r="K302" s="261"/>
      <c r="L302" s="261"/>
      <c r="M302" s="262"/>
      <c r="N302" s="630">
        <f>SUM(D302:G302,J302,M302)/4</f>
        <v>0</v>
      </c>
    </row>
    <row r="303" spans="1:14">
      <c r="A303" s="243"/>
      <c r="B303" s="261"/>
      <c r="C303" s="261"/>
      <c r="D303" s="261"/>
      <c r="E303" s="261"/>
      <c r="F303" s="261"/>
      <c r="G303" s="261"/>
      <c r="H303" s="261"/>
      <c r="I303" s="261"/>
      <c r="J303" s="261"/>
      <c r="K303" s="261"/>
      <c r="L303" s="261"/>
      <c r="M303" s="261"/>
      <c r="N303" s="261"/>
    </row>
    <row r="304" spans="1:14">
      <c r="A304" s="231" t="s">
        <v>85</v>
      </c>
      <c r="B304" s="620">
        <f t="shared" ref="B304:M304" si="64">B291*100/B293</f>
        <v>0</v>
      </c>
      <c r="C304" s="620">
        <f t="shared" si="64"/>
        <v>0</v>
      </c>
      <c r="D304" s="620">
        <f t="shared" si="64"/>
        <v>0</v>
      </c>
      <c r="E304" s="620">
        <f t="shared" si="64"/>
        <v>0</v>
      </c>
      <c r="F304" s="620">
        <f t="shared" si="64"/>
        <v>0</v>
      </c>
      <c r="G304" s="620">
        <f t="shared" si="64"/>
        <v>0</v>
      </c>
      <c r="H304" s="620">
        <f t="shared" si="64"/>
        <v>0</v>
      </c>
      <c r="I304" s="620">
        <f t="shared" si="64"/>
        <v>0</v>
      </c>
      <c r="J304" s="620">
        <f t="shared" si="64"/>
        <v>0</v>
      </c>
      <c r="K304" s="620">
        <f t="shared" si="64"/>
        <v>0</v>
      </c>
      <c r="L304" s="620">
        <f t="shared" si="64"/>
        <v>0</v>
      </c>
      <c r="M304" s="620">
        <f t="shared" si="64"/>
        <v>0</v>
      </c>
      <c r="N304" s="630">
        <f>SUM(B304:M304)/12</f>
        <v>0</v>
      </c>
    </row>
    <row r="305" spans="1:14">
      <c r="A305" s="231" t="s">
        <v>86</v>
      </c>
      <c r="B305" s="620">
        <f t="shared" ref="B305:M305" si="65">B289*100/B293</f>
        <v>0</v>
      </c>
      <c r="C305" s="620">
        <f t="shared" si="65"/>
        <v>0</v>
      </c>
      <c r="D305" s="620">
        <f t="shared" si="65"/>
        <v>0</v>
      </c>
      <c r="E305" s="620">
        <f t="shared" si="65"/>
        <v>0</v>
      </c>
      <c r="F305" s="620">
        <f t="shared" si="65"/>
        <v>0</v>
      </c>
      <c r="G305" s="620">
        <f t="shared" si="65"/>
        <v>0</v>
      </c>
      <c r="H305" s="620">
        <f t="shared" si="65"/>
        <v>0</v>
      </c>
      <c r="I305" s="620">
        <f t="shared" si="65"/>
        <v>0</v>
      </c>
      <c r="J305" s="620">
        <f t="shared" si="65"/>
        <v>0</v>
      </c>
      <c r="K305" s="620">
        <f t="shared" si="65"/>
        <v>0</v>
      </c>
      <c r="L305" s="620">
        <f t="shared" si="65"/>
        <v>0</v>
      </c>
      <c r="M305" s="620">
        <f t="shared" si="65"/>
        <v>0</v>
      </c>
      <c r="N305" s="630">
        <f>SUM(B305:M305)/12</f>
        <v>0</v>
      </c>
    </row>
    <row r="306" spans="1:14" ht="13.5" thickBot="1">
      <c r="A306" s="231" t="s">
        <v>87</v>
      </c>
      <c r="B306" s="620">
        <f t="shared" ref="B306:M306" si="66">B285*100/B293</f>
        <v>0</v>
      </c>
      <c r="C306" s="620">
        <f t="shared" si="66"/>
        <v>0</v>
      </c>
      <c r="D306" s="620">
        <f t="shared" si="66"/>
        <v>0</v>
      </c>
      <c r="E306" s="620">
        <f t="shared" si="66"/>
        <v>0</v>
      </c>
      <c r="F306" s="620">
        <f t="shared" si="66"/>
        <v>0</v>
      </c>
      <c r="G306" s="620">
        <f t="shared" si="66"/>
        <v>0</v>
      </c>
      <c r="H306" s="620">
        <f t="shared" si="66"/>
        <v>0</v>
      </c>
      <c r="I306" s="620">
        <f t="shared" si="66"/>
        <v>0</v>
      </c>
      <c r="J306" s="620">
        <f t="shared" si="66"/>
        <v>0</v>
      </c>
      <c r="K306" s="620">
        <f t="shared" si="66"/>
        <v>0</v>
      </c>
      <c r="L306" s="620">
        <f t="shared" si="66"/>
        <v>0</v>
      </c>
      <c r="M306" s="620">
        <f t="shared" si="66"/>
        <v>0</v>
      </c>
      <c r="N306" s="631">
        <f>SUM(B306:M306)/12</f>
        <v>0</v>
      </c>
    </row>
    <row r="307" spans="1:14" ht="13.5" thickBot="1">
      <c r="A307" s="255" t="s">
        <v>88</v>
      </c>
      <c r="B307" s="636">
        <f t="shared" ref="B307:M307" si="67">SUM(B282-B293)*100/B293</f>
        <v>0</v>
      </c>
      <c r="C307" s="636">
        <f t="shared" si="67"/>
        <v>0</v>
      </c>
      <c r="D307" s="636">
        <f t="shared" si="67"/>
        <v>0</v>
      </c>
      <c r="E307" s="636">
        <f t="shared" si="67"/>
        <v>0</v>
      </c>
      <c r="F307" s="636">
        <f t="shared" si="67"/>
        <v>0</v>
      </c>
      <c r="G307" s="636">
        <f t="shared" si="67"/>
        <v>0</v>
      </c>
      <c r="H307" s="636">
        <f t="shared" si="67"/>
        <v>0</v>
      </c>
      <c r="I307" s="636">
        <f t="shared" si="67"/>
        <v>0</v>
      </c>
      <c r="J307" s="636">
        <f t="shared" si="67"/>
        <v>0</v>
      </c>
      <c r="K307" s="636">
        <f t="shared" si="67"/>
        <v>0</v>
      </c>
      <c r="L307" s="636">
        <f t="shared" si="67"/>
        <v>0</v>
      </c>
      <c r="M307" s="638">
        <f t="shared" si="67"/>
        <v>0</v>
      </c>
      <c r="N307" s="639">
        <f>SUM(B307:M307)/12</f>
        <v>0</v>
      </c>
    </row>
    <row r="308" spans="1:14">
      <c r="A308" s="243"/>
      <c r="B308" s="244"/>
      <c r="C308" s="244"/>
      <c r="D308" s="244"/>
      <c r="E308" s="244"/>
      <c r="F308" s="244"/>
      <c r="G308" s="244"/>
      <c r="H308" s="244"/>
      <c r="I308" s="244"/>
      <c r="J308" s="244"/>
      <c r="K308" s="244"/>
      <c r="L308" s="244"/>
      <c r="M308" s="244"/>
      <c r="N308" s="227"/>
    </row>
    <row r="309" spans="1:14">
      <c r="A309" s="258" t="s">
        <v>89</v>
      </c>
      <c r="B309" s="244"/>
      <c r="C309" s="244"/>
      <c r="D309" s="244"/>
      <c r="E309" s="244"/>
      <c r="F309" s="244"/>
      <c r="G309" s="244"/>
      <c r="H309" s="244"/>
      <c r="I309" s="244"/>
      <c r="J309" s="244"/>
      <c r="K309" s="244"/>
      <c r="L309" s="244"/>
      <c r="M309" s="244"/>
      <c r="N309" s="227"/>
    </row>
    <row r="310" spans="1:14">
      <c r="A310" s="231" t="s">
        <v>90</v>
      </c>
      <c r="B310" s="259">
        <v>12</v>
      </c>
      <c r="C310" s="259">
        <v>12</v>
      </c>
      <c r="D310" s="259">
        <v>12</v>
      </c>
      <c r="E310" s="259">
        <v>12</v>
      </c>
      <c r="F310" s="259">
        <f t="shared" ref="F310" si="68">E313</f>
        <v>12</v>
      </c>
      <c r="G310" s="259">
        <f t="shared" ref="G310" si="69">F313</f>
        <v>12</v>
      </c>
      <c r="H310" s="259">
        <f t="shared" ref="H310" si="70">G313</f>
        <v>12</v>
      </c>
      <c r="I310" s="259">
        <f t="shared" ref="I310" si="71">H313</f>
        <v>12</v>
      </c>
      <c r="J310" s="259">
        <f t="shared" ref="J310" si="72">I313</f>
        <v>12</v>
      </c>
      <c r="K310" s="259">
        <f t="shared" ref="K310" si="73">J313</f>
        <v>12</v>
      </c>
      <c r="L310" s="259">
        <f t="shared" ref="L310" si="74">K313</f>
        <v>12</v>
      </c>
      <c r="M310" s="259">
        <f t="shared" ref="M310" si="75">L313</f>
        <v>12</v>
      </c>
      <c r="N310" s="259">
        <f t="shared" ref="N310" si="76">M313</f>
        <v>12</v>
      </c>
    </row>
    <row r="311" spans="1:14">
      <c r="A311" s="231" t="s">
        <v>91</v>
      </c>
      <c r="B311" s="259"/>
      <c r="C311" s="259"/>
      <c r="D311" s="259"/>
      <c r="E311" s="259"/>
      <c r="F311" s="259"/>
      <c r="G311" s="259"/>
      <c r="H311" s="259"/>
      <c r="I311" s="259"/>
      <c r="J311" s="259"/>
      <c r="K311" s="259"/>
      <c r="L311" s="259"/>
      <c r="M311" s="259"/>
      <c r="N311" s="259">
        <f>SUM(B311:M311)/12</f>
        <v>0</v>
      </c>
    </row>
    <row r="312" spans="1:14">
      <c r="A312" s="231" t="s">
        <v>92</v>
      </c>
      <c r="B312" s="259"/>
      <c r="C312" s="259"/>
      <c r="D312" s="259"/>
      <c r="E312" s="259"/>
      <c r="F312" s="259"/>
      <c r="G312" s="259"/>
      <c r="H312" s="259"/>
      <c r="I312" s="259"/>
      <c r="J312" s="259"/>
      <c r="K312" s="259"/>
      <c r="L312" s="259"/>
      <c r="M312" s="259"/>
      <c r="N312" s="259">
        <f>SUM(B311:M311)/12</f>
        <v>0</v>
      </c>
    </row>
    <row r="313" spans="1:14">
      <c r="A313" s="231" t="s">
        <v>89</v>
      </c>
      <c r="B313" s="259">
        <f t="shared" ref="B313:M313" si="77">SUM(B310+B311-B312)</f>
        <v>12</v>
      </c>
      <c r="C313" s="259">
        <f t="shared" si="77"/>
        <v>12</v>
      </c>
      <c r="D313" s="259">
        <f t="shared" si="77"/>
        <v>12</v>
      </c>
      <c r="E313" s="259">
        <f t="shared" si="77"/>
        <v>12</v>
      </c>
      <c r="F313" s="259">
        <f t="shared" si="77"/>
        <v>12</v>
      </c>
      <c r="G313" s="259">
        <f t="shared" si="77"/>
        <v>12</v>
      </c>
      <c r="H313" s="259">
        <f t="shared" si="77"/>
        <v>12</v>
      </c>
      <c r="I313" s="259">
        <f t="shared" si="77"/>
        <v>12</v>
      </c>
      <c r="J313" s="259">
        <f t="shared" si="77"/>
        <v>12</v>
      </c>
      <c r="K313" s="259">
        <f t="shared" si="77"/>
        <v>12</v>
      </c>
      <c r="L313" s="259">
        <f t="shared" si="77"/>
        <v>12</v>
      </c>
      <c r="M313" s="259">
        <f t="shared" si="77"/>
        <v>12</v>
      </c>
      <c r="N313" s="259">
        <f>SUM(B312:M312)/12</f>
        <v>0</v>
      </c>
    </row>
    <row r="314" spans="1:14">
      <c r="A314" s="231" t="s">
        <v>93</v>
      </c>
      <c r="B314" s="260">
        <f t="shared" ref="B314:M314" si="78">SUM(B313*100)/B310-100</f>
        <v>0</v>
      </c>
      <c r="C314" s="260">
        <f t="shared" si="78"/>
        <v>0</v>
      </c>
      <c r="D314" s="260">
        <f t="shared" si="78"/>
        <v>0</v>
      </c>
      <c r="E314" s="260">
        <f t="shared" si="78"/>
        <v>0</v>
      </c>
      <c r="F314" s="260">
        <f t="shared" si="78"/>
        <v>0</v>
      </c>
      <c r="G314" s="260">
        <f t="shared" si="78"/>
        <v>0</v>
      </c>
      <c r="H314" s="260">
        <f t="shared" si="78"/>
        <v>0</v>
      </c>
      <c r="I314" s="260">
        <f t="shared" si="78"/>
        <v>0</v>
      </c>
      <c r="J314" s="260">
        <f t="shared" si="78"/>
        <v>0</v>
      </c>
      <c r="K314" s="260">
        <f t="shared" si="78"/>
        <v>0</v>
      </c>
      <c r="L314" s="260">
        <f t="shared" si="78"/>
        <v>0</v>
      </c>
      <c r="M314" s="260">
        <f t="shared" si="78"/>
        <v>0</v>
      </c>
      <c r="N314" s="259"/>
    </row>
    <row r="315" spans="1:14">
      <c r="A315" s="243" t="s">
        <v>94</v>
      </c>
      <c r="B315" s="261"/>
      <c r="C315" s="261"/>
      <c r="D315" s="262">
        <f>SUM(B314:D314/3)</f>
        <v>0</v>
      </c>
      <c r="E315" s="261"/>
      <c r="F315" s="261"/>
      <c r="G315" s="262">
        <f>SUM(E314:G314)/3</f>
        <v>0</v>
      </c>
      <c r="H315" s="261"/>
      <c r="I315" s="261"/>
      <c r="J315" s="262">
        <f>SUM(H314:J314)/3</f>
        <v>0</v>
      </c>
      <c r="K315" s="261"/>
      <c r="L315" s="261"/>
      <c r="M315" s="262">
        <f>SUM(K314:M314)/3</f>
        <v>0</v>
      </c>
      <c r="N315" s="261"/>
    </row>
    <row r="316" spans="1:14">
      <c r="A316" s="243"/>
      <c r="B316" s="244"/>
      <c r="C316" s="244"/>
      <c r="D316" s="244"/>
      <c r="E316" s="244"/>
      <c r="F316" s="244"/>
      <c r="G316" s="244"/>
      <c r="H316" s="244"/>
      <c r="I316" s="244"/>
      <c r="J316" s="244"/>
      <c r="K316" s="244"/>
      <c r="L316" s="244"/>
      <c r="M316" s="244"/>
      <c r="N316" s="227"/>
    </row>
    <row r="317" spans="1:14" ht="15" customHeight="1">
      <c r="A317" s="406"/>
      <c r="B317" s="517"/>
      <c r="C317" s="517"/>
      <c r="D317" s="517"/>
      <c r="E317" s="517"/>
      <c r="F317" s="517"/>
      <c r="G317" s="517"/>
      <c r="H317" s="517"/>
      <c r="I317" s="517"/>
      <c r="J317" s="517"/>
      <c r="K317" s="517"/>
      <c r="L317" s="517"/>
      <c r="M317" s="517"/>
      <c r="N317" s="517"/>
    </row>
    <row r="318" spans="1:14">
      <c r="A318" s="376" t="s">
        <v>185</v>
      </c>
      <c r="B318" s="377"/>
      <c r="C318" s="378"/>
      <c r="D318" s="292" t="s">
        <v>186</v>
      </c>
      <c r="F318" s="291"/>
      <c r="I318" s="299"/>
      <c r="M318" s="299"/>
      <c r="N318" s="227"/>
    </row>
    <row r="319" spans="1:14">
      <c r="A319" s="379" t="s">
        <v>187</v>
      </c>
      <c r="B319" s="380"/>
      <c r="C319" s="381"/>
      <c r="D319" s="290">
        <v>291144</v>
      </c>
      <c r="E319" s="291"/>
      <c r="I319" s="494"/>
      <c r="J319" s="494"/>
      <c r="K319" s="494"/>
      <c r="L319" s="494"/>
      <c r="M319" s="494"/>
    </row>
    <row r="320" spans="1:14">
      <c r="A320" s="379" t="s">
        <v>188</v>
      </c>
      <c r="B320" s="380"/>
      <c r="C320" s="289"/>
      <c r="D320" s="290">
        <v>370486</v>
      </c>
      <c r="E320" s="291"/>
      <c r="F320" s="291"/>
      <c r="J320" s="404"/>
      <c r="M320" s="291"/>
      <c r="N320" s="227"/>
    </row>
    <row r="321" spans="1:16">
      <c r="A321" s="379" t="s">
        <v>246</v>
      </c>
      <c r="B321" s="380"/>
      <c r="C321" s="289"/>
      <c r="D321" s="290">
        <v>173436</v>
      </c>
      <c r="E321" s="291"/>
      <c r="J321" s="404"/>
      <c r="M321" s="291"/>
      <c r="N321" s="227"/>
    </row>
    <row r="322" spans="1:16">
      <c r="A322" s="379" t="s">
        <v>190</v>
      </c>
      <c r="B322" s="380"/>
      <c r="C322" s="289"/>
      <c r="D322" s="290"/>
      <c r="E322" s="291"/>
      <c r="J322" s="404"/>
      <c r="M322" s="291"/>
      <c r="N322" s="227"/>
    </row>
    <row r="323" spans="1:16">
      <c r="A323" s="379" t="s">
        <v>191</v>
      </c>
      <c r="B323" s="284"/>
      <c r="C323" s="289"/>
      <c r="D323" s="290">
        <v>432476</v>
      </c>
      <c r="E323" s="291"/>
      <c r="J323" s="688"/>
      <c r="L323" s="291"/>
      <c r="M323" s="300"/>
      <c r="N323" s="300"/>
    </row>
    <row r="324" spans="1:16">
      <c r="A324" s="379" t="s">
        <v>192</v>
      </c>
      <c r="B324" s="284"/>
      <c r="C324" s="289"/>
      <c r="D324" s="290">
        <v>433593</v>
      </c>
      <c r="E324" s="291"/>
      <c r="F324" s="291"/>
      <c r="M324" s="300"/>
      <c r="N324" s="227"/>
    </row>
    <row r="325" spans="1:16">
      <c r="A325" s="379" t="s">
        <v>193</v>
      </c>
      <c r="B325" s="284"/>
      <c r="C325" s="289"/>
      <c r="D325" s="290">
        <v>386336</v>
      </c>
      <c r="E325" s="291"/>
      <c r="F325" s="291">
        <f>SUM(F318:F324)</f>
        <v>0</v>
      </c>
      <c r="L325" s="394"/>
      <c r="M325" s="291"/>
      <c r="N325" s="227"/>
    </row>
    <row r="326" spans="1:16">
      <c r="A326" s="283" t="s">
        <v>194</v>
      </c>
      <c r="B326" s="284"/>
      <c r="C326" s="289"/>
      <c r="D326" s="290">
        <v>263550</v>
      </c>
      <c r="E326" s="291"/>
      <c r="G326" s="244"/>
      <c r="H326" s="244"/>
      <c r="I326" s="244"/>
      <c r="J326" s="244"/>
      <c r="K326" s="244"/>
      <c r="L326" s="320"/>
      <c r="M326" s="244"/>
      <c r="N326" s="227"/>
    </row>
    <row r="327" spans="1:16">
      <c r="A327" s="527" t="s">
        <v>195</v>
      </c>
      <c r="B327" s="286"/>
      <c r="C327" s="289"/>
      <c r="D327" s="290">
        <v>55220</v>
      </c>
      <c r="E327" s="291"/>
      <c r="G327" s="244"/>
      <c r="H327" s="244"/>
      <c r="I327" s="244"/>
      <c r="J327" s="244"/>
      <c r="K327" s="244"/>
      <c r="L327" s="320"/>
      <c r="M327" s="244"/>
      <c r="N327" s="227"/>
    </row>
    <row r="328" spans="1:16">
      <c r="A328" s="526" t="s">
        <v>196</v>
      </c>
      <c r="C328" s="388"/>
      <c r="D328" s="290">
        <v>26500</v>
      </c>
      <c r="E328" s="291"/>
      <c r="G328" s="244"/>
      <c r="H328" s="244"/>
      <c r="I328" s="244"/>
      <c r="J328" s="244"/>
      <c r="K328" s="244"/>
      <c r="L328" s="320"/>
      <c r="M328" s="244"/>
      <c r="N328" s="227"/>
    </row>
    <row r="329" spans="1:16" ht="13.5" thickBot="1">
      <c r="A329" s="299" t="s">
        <v>197</v>
      </c>
      <c r="D329" s="815">
        <v>644838</v>
      </c>
      <c r="E329" s="291"/>
      <c r="G329" s="244"/>
      <c r="H329" s="244"/>
      <c r="I329" s="244"/>
      <c r="J329" s="244"/>
      <c r="K329" s="244"/>
      <c r="L329" s="320"/>
      <c r="M329" s="244"/>
      <c r="N329" s="227"/>
    </row>
    <row r="330" spans="1:16" ht="13.5" thickBot="1">
      <c r="A330" s="294" t="s">
        <v>167</v>
      </c>
      <c r="B330" s="296"/>
      <c r="C330" s="389"/>
      <c r="D330" s="488">
        <f>SUM(D319:D329)</f>
        <v>3077579</v>
      </c>
      <c r="E330" s="291"/>
      <c r="F330" s="291"/>
      <c r="G330" s="244"/>
      <c r="H330" s="244"/>
      <c r="I330" s="244"/>
      <c r="J330" s="244"/>
      <c r="K330" s="244"/>
      <c r="L330" s="517"/>
      <c r="M330" s="244"/>
      <c r="N330" s="227"/>
    </row>
    <row r="331" spans="1:16">
      <c r="A331" s="390" t="s">
        <v>168</v>
      </c>
      <c r="B331" s="391"/>
      <c r="C331" s="392"/>
      <c r="D331" s="393">
        <f>D330/12</f>
        <v>256464.91666666666</v>
      </c>
      <c r="E331" s="291"/>
      <c r="G331" s="244"/>
      <c r="H331" s="244"/>
      <c r="I331" s="244"/>
      <c r="J331" s="244"/>
      <c r="K331" s="244"/>
      <c r="L331" s="517"/>
      <c r="M331" s="244"/>
      <c r="N331" s="227"/>
    </row>
    <row r="332" spans="1:16">
      <c r="C332" s="394"/>
      <c r="E332" s="291"/>
      <c r="G332" s="244"/>
      <c r="H332" s="244"/>
      <c r="I332" s="244"/>
      <c r="J332" s="244"/>
      <c r="K332" s="244"/>
      <c r="L332" s="517"/>
      <c r="M332" s="244"/>
      <c r="N332" s="227"/>
    </row>
    <row r="333" spans="1:16">
      <c r="B333" s="258" t="s">
        <v>113</v>
      </c>
      <c r="C333" s="244"/>
      <c r="D333" s="244"/>
      <c r="E333" s="244"/>
      <c r="F333" s="244"/>
      <c r="G333" s="244"/>
      <c r="H333" s="244"/>
      <c r="I333" s="244"/>
      <c r="J333" s="244"/>
      <c r="K333" s="244"/>
      <c r="L333" s="244"/>
      <c r="M333" s="244"/>
      <c r="N333" s="244"/>
      <c r="O333" s="227"/>
    </row>
    <row r="334" spans="1:16">
      <c r="A334" s="525" t="s">
        <v>112</v>
      </c>
      <c r="B334" s="328"/>
      <c r="C334" s="232" t="s">
        <v>44</v>
      </c>
      <c r="D334" s="232" t="s">
        <v>45</v>
      </c>
      <c r="E334" s="232" t="s">
        <v>46</v>
      </c>
      <c r="F334" s="232" t="s">
        <v>47</v>
      </c>
      <c r="G334" s="232" t="s">
        <v>48</v>
      </c>
      <c r="H334" s="232" t="s">
        <v>49</v>
      </c>
      <c r="I334" s="232" t="s">
        <v>38</v>
      </c>
      <c r="J334" s="232" t="s">
        <v>39</v>
      </c>
      <c r="K334" s="232" t="s">
        <v>40</v>
      </c>
      <c r="L334" s="232" t="s">
        <v>41</v>
      </c>
      <c r="M334" s="232" t="s">
        <v>42</v>
      </c>
      <c r="N334" s="232" t="s">
        <v>43</v>
      </c>
      <c r="O334" s="228"/>
      <c r="P334" s="708"/>
    </row>
    <row r="335" spans="1:16" ht="13.5" thickBot="1">
      <c r="B335" s="231" t="s">
        <v>115</v>
      </c>
      <c r="C335" s="329">
        <f t="shared" ref="C335:N335" si="79">$D$331</f>
        <v>256464.91666666666</v>
      </c>
      <c r="D335" s="329">
        <f t="shared" si="79"/>
        <v>256464.91666666666</v>
      </c>
      <c r="E335" s="329">
        <f t="shared" si="79"/>
        <v>256464.91666666666</v>
      </c>
      <c r="F335" s="329">
        <f t="shared" si="79"/>
        <v>256464.91666666666</v>
      </c>
      <c r="G335" s="329">
        <f t="shared" si="79"/>
        <v>256464.91666666666</v>
      </c>
      <c r="H335" s="329">
        <f t="shared" si="79"/>
        <v>256464.91666666666</v>
      </c>
      <c r="I335" s="329">
        <f t="shared" si="79"/>
        <v>256464.91666666666</v>
      </c>
      <c r="J335" s="329">
        <f t="shared" si="79"/>
        <v>256464.91666666666</v>
      </c>
      <c r="K335" s="329">
        <f t="shared" si="79"/>
        <v>256464.91666666666</v>
      </c>
      <c r="L335" s="329">
        <f t="shared" si="79"/>
        <v>256464.91666666666</v>
      </c>
      <c r="M335" s="329">
        <f t="shared" si="79"/>
        <v>256464.91666666666</v>
      </c>
      <c r="N335" s="329">
        <f t="shared" si="79"/>
        <v>256464.91666666666</v>
      </c>
      <c r="O335" s="329">
        <f t="shared" ref="O335:O338" si="80">SUM(C335:N335)</f>
        <v>3077578.9999999995</v>
      </c>
      <c r="P335" s="708"/>
    </row>
    <row r="336" spans="1:16" ht="13.5" thickBot="1">
      <c r="B336" s="333" t="s">
        <v>169</v>
      </c>
      <c r="C336" s="395">
        <f>C335</f>
        <v>256464.91666666666</v>
      </c>
      <c r="D336" s="395">
        <f t="shared" ref="D336:N336" si="81">D335</f>
        <v>256464.91666666666</v>
      </c>
      <c r="E336" s="395">
        <f t="shared" si="81"/>
        <v>256464.91666666666</v>
      </c>
      <c r="F336" s="395">
        <f t="shared" si="81"/>
        <v>256464.91666666666</v>
      </c>
      <c r="G336" s="395">
        <f t="shared" si="81"/>
        <v>256464.91666666666</v>
      </c>
      <c r="H336" s="395">
        <f t="shared" si="81"/>
        <v>256464.91666666666</v>
      </c>
      <c r="I336" s="395">
        <f t="shared" si="81"/>
        <v>256464.91666666666</v>
      </c>
      <c r="J336" s="395">
        <f t="shared" si="81"/>
        <v>256464.91666666666</v>
      </c>
      <c r="K336" s="395">
        <f t="shared" si="81"/>
        <v>256464.91666666666</v>
      </c>
      <c r="L336" s="395">
        <f t="shared" si="81"/>
        <v>256464.91666666666</v>
      </c>
      <c r="M336" s="395">
        <f t="shared" si="81"/>
        <v>256464.91666666666</v>
      </c>
      <c r="N336" s="395">
        <f t="shared" si="81"/>
        <v>256464.91666666666</v>
      </c>
      <c r="O336" s="395">
        <f t="shared" si="80"/>
        <v>3077578.9999999995</v>
      </c>
      <c r="P336" s="708"/>
    </row>
    <row r="337" spans="1:17">
      <c r="A337" s="226">
        <v>9840000000</v>
      </c>
      <c r="B337" s="336" t="s">
        <v>198</v>
      </c>
      <c r="C337" s="337"/>
      <c r="D337" s="337"/>
      <c r="E337" s="337"/>
      <c r="F337" s="337"/>
      <c r="G337" s="337"/>
      <c r="H337" s="338"/>
      <c r="I337" s="337"/>
      <c r="J337" s="337"/>
      <c r="K337" s="337"/>
      <c r="L337" s="337"/>
      <c r="M337" s="337"/>
      <c r="N337" s="337"/>
      <c r="O337" s="337">
        <f t="shared" si="80"/>
        <v>0</v>
      </c>
      <c r="P337" s="708"/>
    </row>
    <row r="338" spans="1:17">
      <c r="A338" s="226">
        <v>9840000000</v>
      </c>
      <c r="B338" s="336" t="s">
        <v>199</v>
      </c>
      <c r="C338" s="337"/>
      <c r="D338" s="337"/>
      <c r="E338" s="337"/>
      <c r="F338" s="337">
        <v>114975</v>
      </c>
      <c r="G338" s="337"/>
      <c r="H338" s="338"/>
      <c r="I338" s="337"/>
      <c r="J338" s="337"/>
      <c r="K338" s="337"/>
      <c r="L338" s="337"/>
      <c r="M338" s="337">
        <v>38000</v>
      </c>
      <c r="N338" s="337"/>
      <c r="O338" s="337">
        <f t="shared" si="80"/>
        <v>152975</v>
      </c>
      <c r="P338" s="708"/>
    </row>
    <row r="339" spans="1:17" ht="13.5" thickBot="1">
      <c r="B339" s="349"/>
      <c r="C339" s="344"/>
      <c r="D339" s="344"/>
      <c r="E339" s="344"/>
      <c r="F339" s="344"/>
      <c r="G339" s="344"/>
      <c r="H339" s="518"/>
      <c r="I339" s="344"/>
      <c r="J339" s="344"/>
      <c r="K339" s="330"/>
      <c r="L339" s="344"/>
      <c r="M339" s="344"/>
      <c r="N339" s="344"/>
      <c r="O339" s="344">
        <f t="shared" ref="O339:O343" si="82">SUM(C339:N339)</f>
        <v>0</v>
      </c>
      <c r="P339" s="708"/>
    </row>
    <row r="340" spans="1:17" ht="13.5" thickBot="1">
      <c r="B340" s="360" t="s">
        <v>129</v>
      </c>
      <c r="C340" s="361">
        <f t="shared" ref="C340:N340" si="83">SUM(C337:C339)</f>
        <v>0</v>
      </c>
      <c r="D340" s="361">
        <f t="shared" si="83"/>
        <v>0</v>
      </c>
      <c r="E340" s="361">
        <f t="shared" si="83"/>
        <v>0</v>
      </c>
      <c r="F340" s="361">
        <f t="shared" si="83"/>
        <v>114975</v>
      </c>
      <c r="G340" s="361">
        <f t="shared" si="83"/>
        <v>0</v>
      </c>
      <c r="H340" s="361">
        <f t="shared" si="83"/>
        <v>0</v>
      </c>
      <c r="I340" s="361">
        <f t="shared" si="83"/>
        <v>0</v>
      </c>
      <c r="J340" s="361">
        <f t="shared" si="83"/>
        <v>0</v>
      </c>
      <c r="K340" s="361">
        <f t="shared" si="83"/>
        <v>0</v>
      </c>
      <c r="L340" s="361">
        <f t="shared" si="83"/>
        <v>0</v>
      </c>
      <c r="M340" s="361">
        <f t="shared" si="83"/>
        <v>38000</v>
      </c>
      <c r="N340" s="361">
        <f t="shared" si="83"/>
        <v>0</v>
      </c>
      <c r="O340" s="397">
        <f t="shared" si="82"/>
        <v>152975</v>
      </c>
      <c r="P340" s="708"/>
    </row>
    <row r="341" spans="1:17">
      <c r="B341" s="228" t="s">
        <v>127</v>
      </c>
      <c r="C341" s="332"/>
      <c r="D341" s="332"/>
      <c r="E341" s="332"/>
      <c r="F341" s="332"/>
      <c r="G341" s="332"/>
      <c r="H341" s="398"/>
      <c r="I341" s="332"/>
      <c r="J341" s="332"/>
      <c r="K341" s="332"/>
      <c r="L341" s="332"/>
      <c r="M341" s="332"/>
      <c r="N341" s="332"/>
      <c r="O341" s="332">
        <f t="shared" si="82"/>
        <v>0</v>
      </c>
      <c r="P341" s="708"/>
    </row>
    <row r="342" spans="1:17">
      <c r="B342" s="363" t="s">
        <v>129</v>
      </c>
      <c r="C342" s="399">
        <f t="shared" ref="C342:N342" si="84">SUM(C336,C340,C341)</f>
        <v>256464.91666666666</v>
      </c>
      <c r="D342" s="399">
        <f t="shared" si="84"/>
        <v>256464.91666666666</v>
      </c>
      <c r="E342" s="399">
        <f t="shared" si="84"/>
        <v>256464.91666666666</v>
      </c>
      <c r="F342" s="399">
        <f t="shared" si="84"/>
        <v>371439.91666666663</v>
      </c>
      <c r="G342" s="399">
        <f t="shared" si="84"/>
        <v>256464.91666666666</v>
      </c>
      <c r="H342" s="399">
        <f t="shared" si="84"/>
        <v>256464.91666666666</v>
      </c>
      <c r="I342" s="399">
        <f t="shared" si="84"/>
        <v>256464.91666666666</v>
      </c>
      <c r="J342" s="399">
        <f t="shared" si="84"/>
        <v>256464.91666666666</v>
      </c>
      <c r="K342" s="399">
        <f t="shared" si="84"/>
        <v>256464.91666666666</v>
      </c>
      <c r="L342" s="399">
        <f t="shared" si="84"/>
        <v>256464.91666666666</v>
      </c>
      <c r="M342" s="399">
        <f t="shared" si="84"/>
        <v>294464.91666666663</v>
      </c>
      <c r="N342" s="399">
        <f t="shared" si="84"/>
        <v>256464.91666666666</v>
      </c>
      <c r="O342" s="399">
        <f t="shared" si="82"/>
        <v>3230553.9999999995</v>
      </c>
      <c r="P342" s="708"/>
    </row>
    <row r="343" spans="1:17">
      <c r="A343" s="525" t="s">
        <v>130</v>
      </c>
      <c r="B343" s="400" t="s">
        <v>172</v>
      </c>
      <c r="C343" s="331">
        <v>117057</v>
      </c>
      <c r="D343" s="331">
        <v>117027</v>
      </c>
      <c r="E343" s="331">
        <v>117042</v>
      </c>
      <c r="F343" s="331">
        <v>260688</v>
      </c>
      <c r="G343" s="331">
        <v>192201</v>
      </c>
      <c r="H343" s="331">
        <v>178874</v>
      </c>
      <c r="I343" s="331">
        <v>184787</v>
      </c>
      <c r="J343" s="331">
        <v>185206</v>
      </c>
      <c r="K343" s="331">
        <v>185206</v>
      </c>
      <c r="L343" s="331">
        <v>196481</v>
      </c>
      <c r="M343" s="331">
        <v>186039</v>
      </c>
      <c r="N343" s="331">
        <v>185206</v>
      </c>
      <c r="O343" s="331">
        <f t="shared" si="82"/>
        <v>2105814</v>
      </c>
      <c r="P343" s="708">
        <v>2148138</v>
      </c>
    </row>
    <row r="344" spans="1:17">
      <c r="A344" s="226">
        <v>2911800000</v>
      </c>
      <c r="B344" s="228" t="s">
        <v>135</v>
      </c>
      <c r="C344" s="331"/>
      <c r="D344" s="331"/>
      <c r="E344" s="331"/>
      <c r="F344" s="331">
        <v>6750</v>
      </c>
      <c r="G344" s="331"/>
      <c r="H344" s="331"/>
      <c r="I344" s="331"/>
      <c r="J344" s="331"/>
      <c r="K344" s="331"/>
      <c r="L344" s="331"/>
      <c r="M344" s="331"/>
      <c r="N344" s="331"/>
      <c r="O344" s="331">
        <f t="shared" ref="O344:O352" si="85">SUM(C344:N344)</f>
        <v>6750</v>
      </c>
      <c r="P344" s="708">
        <v>6750</v>
      </c>
    </row>
    <row r="345" spans="1:17">
      <c r="A345" s="226">
        <v>4909900000</v>
      </c>
      <c r="B345" s="228" t="s">
        <v>139</v>
      </c>
      <c r="C345" s="331"/>
      <c r="D345" s="331"/>
      <c r="E345" s="331"/>
      <c r="F345" s="331"/>
      <c r="G345" s="331"/>
      <c r="H345" s="331"/>
      <c r="I345" s="331"/>
      <c r="J345" s="331"/>
      <c r="K345" s="331">
        <v>2303</v>
      </c>
      <c r="L345" s="331"/>
      <c r="M345" s="331"/>
      <c r="N345" s="331"/>
      <c r="O345" s="331">
        <f t="shared" si="85"/>
        <v>2303</v>
      </c>
      <c r="P345" s="708">
        <v>25000</v>
      </c>
      <c r="Q345" s="525" t="s">
        <v>247</v>
      </c>
    </row>
    <row r="346" spans="1:17">
      <c r="A346" s="226">
        <v>9845500000</v>
      </c>
      <c r="B346" s="228" t="s">
        <v>178</v>
      </c>
      <c r="C346" s="331">
        <v>9750</v>
      </c>
      <c r="D346" s="331">
        <v>9750</v>
      </c>
      <c r="E346" s="331">
        <v>9750</v>
      </c>
      <c r="F346" s="331">
        <v>9750</v>
      </c>
      <c r="G346" s="331">
        <v>9750</v>
      </c>
      <c r="H346" s="331">
        <v>9750</v>
      </c>
      <c r="I346" s="331">
        <v>9750</v>
      </c>
      <c r="J346" s="331">
        <v>9750</v>
      </c>
      <c r="K346" s="331">
        <v>9750</v>
      </c>
      <c r="L346" s="331">
        <v>9750</v>
      </c>
      <c r="M346" s="331">
        <v>9750</v>
      </c>
      <c r="N346" s="331">
        <v>9750</v>
      </c>
      <c r="O346" s="331">
        <f t="shared" si="85"/>
        <v>117000</v>
      </c>
      <c r="P346" s="708">
        <v>117000</v>
      </c>
    </row>
    <row r="347" spans="1:17">
      <c r="A347" s="226">
        <v>4009900000</v>
      </c>
      <c r="B347" s="228" t="s">
        <v>136</v>
      </c>
      <c r="C347" s="331"/>
      <c r="D347" s="331"/>
      <c r="E347" s="331"/>
      <c r="F347" s="331"/>
      <c r="G347" s="331"/>
      <c r="H347" s="331"/>
      <c r="I347" s="331"/>
      <c r="J347" s="331"/>
      <c r="K347" s="331"/>
      <c r="L347" s="331"/>
      <c r="M347" s="331"/>
      <c r="N347" s="331"/>
      <c r="O347" s="331">
        <f t="shared" si="85"/>
        <v>0</v>
      </c>
      <c r="P347" s="708">
        <v>5000</v>
      </c>
      <c r="Q347" s="525" t="s">
        <v>247</v>
      </c>
    </row>
    <row r="348" spans="1:17">
      <c r="A348" s="226">
        <v>4516500000</v>
      </c>
      <c r="B348" s="228" t="s">
        <v>180</v>
      </c>
      <c r="C348" s="331"/>
      <c r="D348" s="331"/>
      <c r="E348" s="331">
        <v>13278</v>
      </c>
      <c r="F348" s="331"/>
      <c r="G348" s="331"/>
      <c r="H348" s="331"/>
      <c r="I348" s="331"/>
      <c r="J348" s="331"/>
      <c r="K348" s="331"/>
      <c r="L348" s="331"/>
      <c r="M348" s="331"/>
      <c r="N348" s="331"/>
      <c r="O348" s="331">
        <f t="shared" si="85"/>
        <v>13278</v>
      </c>
      <c r="P348" s="708">
        <v>60000</v>
      </c>
    </row>
    <row r="349" spans="1:17">
      <c r="A349" s="226">
        <v>2909900000</v>
      </c>
      <c r="B349" s="228" t="s">
        <v>181</v>
      </c>
      <c r="C349" s="331">
        <v>3555</v>
      </c>
      <c r="D349" s="331"/>
      <c r="E349" s="331"/>
      <c r="F349" s="331"/>
      <c r="G349" s="331"/>
      <c r="H349" s="331"/>
      <c r="I349" s="331">
        <v>880</v>
      </c>
      <c r="J349" s="331"/>
      <c r="K349" s="331"/>
      <c r="L349" s="331"/>
      <c r="M349" s="331">
        <v>20000</v>
      </c>
      <c r="N349" s="331"/>
      <c r="O349" s="331">
        <f t="shared" si="85"/>
        <v>24435</v>
      </c>
      <c r="P349" s="708">
        <v>45000</v>
      </c>
      <c r="Q349" s="525" t="s">
        <v>248</v>
      </c>
    </row>
    <row r="350" spans="1:17">
      <c r="B350" s="228"/>
      <c r="C350" s="331"/>
      <c r="D350" s="331"/>
      <c r="E350" s="331"/>
      <c r="F350" s="331"/>
      <c r="G350" s="331"/>
      <c r="H350" s="331"/>
      <c r="I350" s="331"/>
      <c r="J350" s="331"/>
      <c r="K350" s="331"/>
      <c r="L350" s="331"/>
      <c r="M350" s="331"/>
      <c r="N350" s="331"/>
      <c r="O350" s="331">
        <f t="shared" si="85"/>
        <v>0</v>
      </c>
      <c r="P350" s="708"/>
    </row>
    <row r="351" spans="1:17">
      <c r="B351" s="228"/>
      <c r="C351" s="329"/>
      <c r="D351" s="329"/>
      <c r="E351" s="329"/>
      <c r="F351" s="329"/>
      <c r="G351" s="329"/>
      <c r="H351" s="329"/>
      <c r="I351" s="329"/>
      <c r="J351" s="329"/>
      <c r="K351" s="329"/>
      <c r="L351" s="329"/>
      <c r="M351" s="329"/>
      <c r="N351" s="329"/>
      <c r="O351" s="331">
        <f t="shared" si="85"/>
        <v>0</v>
      </c>
      <c r="P351" s="708"/>
    </row>
    <row r="352" spans="1:17" ht="13.5" thickBot="1">
      <c r="B352" s="349"/>
      <c r="C352" s="331"/>
      <c r="D352" s="331"/>
      <c r="E352" s="331"/>
      <c r="F352" s="331"/>
      <c r="G352" s="331"/>
      <c r="H352" s="331"/>
      <c r="I352" s="331"/>
      <c r="J352" s="331"/>
      <c r="K352" s="331"/>
      <c r="L352" s="331"/>
      <c r="M352" s="331"/>
      <c r="N352" s="331"/>
      <c r="O352" s="331">
        <f t="shared" si="85"/>
        <v>0</v>
      </c>
      <c r="P352" s="708"/>
    </row>
    <row r="353" spans="1:16" ht="13.5" thickBot="1">
      <c r="B353" s="690" t="s">
        <v>145</v>
      </c>
      <c r="C353" s="334">
        <f>SUM(C343:C352)</f>
        <v>130362</v>
      </c>
      <c r="D353" s="334">
        <f t="shared" ref="D353:O353" si="86">SUM(D343:D352)</f>
        <v>126777</v>
      </c>
      <c r="E353" s="334">
        <f t="shared" si="86"/>
        <v>140070</v>
      </c>
      <c r="F353" s="334">
        <f t="shared" si="86"/>
        <v>277188</v>
      </c>
      <c r="G353" s="334">
        <f t="shared" si="86"/>
        <v>201951</v>
      </c>
      <c r="H353" s="334">
        <f t="shared" si="86"/>
        <v>188624</v>
      </c>
      <c r="I353" s="334">
        <f t="shared" si="86"/>
        <v>195417</v>
      </c>
      <c r="J353" s="334">
        <f t="shared" si="86"/>
        <v>194956</v>
      </c>
      <c r="K353" s="334">
        <f t="shared" si="86"/>
        <v>197259</v>
      </c>
      <c r="L353" s="334">
        <f t="shared" si="86"/>
        <v>206231</v>
      </c>
      <c r="M353" s="334">
        <f t="shared" si="86"/>
        <v>215789</v>
      </c>
      <c r="N353" s="334">
        <f t="shared" si="86"/>
        <v>194956</v>
      </c>
      <c r="O353" s="334">
        <f t="shared" si="86"/>
        <v>2269580</v>
      </c>
      <c r="P353" s="708">
        <f>SUM(P343:P352)</f>
        <v>2406888</v>
      </c>
    </row>
    <row r="354" spans="1:16" ht="13.5" thickBot="1">
      <c r="B354" s="695" t="s">
        <v>146</v>
      </c>
      <c r="C354" s="351">
        <f t="shared" ref="C354:O354" si="87">C342-SUM(C343:C352)</f>
        <v>126102.91666666666</v>
      </c>
      <c r="D354" s="351">
        <f t="shared" si="87"/>
        <v>129687.91666666666</v>
      </c>
      <c r="E354" s="351">
        <f t="shared" si="87"/>
        <v>116394.91666666666</v>
      </c>
      <c r="F354" s="351">
        <f t="shared" si="87"/>
        <v>94251.916666666628</v>
      </c>
      <c r="G354" s="351">
        <f t="shared" si="87"/>
        <v>54513.916666666657</v>
      </c>
      <c r="H354" s="351">
        <f t="shared" si="87"/>
        <v>67840.916666666657</v>
      </c>
      <c r="I354" s="351">
        <f t="shared" si="87"/>
        <v>61047.916666666657</v>
      </c>
      <c r="J354" s="351">
        <f t="shared" si="87"/>
        <v>61508.916666666657</v>
      </c>
      <c r="K354" s="351">
        <f t="shared" si="87"/>
        <v>59205.916666666657</v>
      </c>
      <c r="L354" s="351">
        <f t="shared" si="87"/>
        <v>50233.916666666657</v>
      </c>
      <c r="M354" s="351">
        <f t="shared" si="87"/>
        <v>78675.916666666628</v>
      </c>
      <c r="N354" s="351">
        <f t="shared" si="87"/>
        <v>61508.916666666657</v>
      </c>
      <c r="O354" s="351">
        <f t="shared" si="87"/>
        <v>960973.99999999953</v>
      </c>
      <c r="P354" s="708"/>
    </row>
    <row r="355" spans="1:16">
      <c r="A355" s="645"/>
      <c r="B355" s="646"/>
      <c r="C355" s="646"/>
      <c r="D355" s="646"/>
      <c r="E355" s="646"/>
      <c r="F355" s="646"/>
      <c r="G355" s="646"/>
      <c r="H355" s="646"/>
      <c r="I355" s="646"/>
      <c r="J355" s="646"/>
      <c r="K355" s="646"/>
      <c r="L355" s="646"/>
      <c r="M355" s="646"/>
      <c r="N355" s="647"/>
    </row>
    <row r="356" spans="1:16" ht="20.25">
      <c r="A356" s="827" t="s">
        <v>200</v>
      </c>
      <c r="B356" s="827"/>
      <c r="C356" s="827"/>
      <c r="D356" s="827"/>
      <c r="E356" s="827"/>
      <c r="F356" s="827"/>
      <c r="G356" s="827"/>
      <c r="H356" s="827"/>
      <c r="I356" s="827"/>
      <c r="J356" s="827"/>
      <c r="K356" s="827"/>
      <c r="L356" s="827"/>
      <c r="M356" s="827"/>
      <c r="N356" s="827"/>
    </row>
    <row r="357" spans="1:16">
      <c r="A357" s="645"/>
      <c r="B357" s="646"/>
      <c r="C357" s="646"/>
      <c r="D357" s="646"/>
      <c r="E357" s="646"/>
      <c r="F357" s="646"/>
      <c r="G357" s="646"/>
      <c r="H357" s="646"/>
      <c r="I357" s="646"/>
      <c r="J357" s="646"/>
      <c r="K357" s="646"/>
      <c r="L357" s="646"/>
      <c r="M357" s="646"/>
      <c r="N357" s="647"/>
    </row>
    <row r="358" spans="1:16">
      <c r="A358" s="649" t="s">
        <v>249</v>
      </c>
      <c r="B358" s="650">
        <f t="shared" ref="B358:N358" si="88">C142</f>
        <v>556297.58333333349</v>
      </c>
      <c r="C358" s="650">
        <f t="shared" si="88"/>
        <v>119719.58333333349</v>
      </c>
      <c r="D358" s="650">
        <f t="shared" si="88"/>
        <v>270793.58333333349</v>
      </c>
      <c r="E358" s="650">
        <f t="shared" si="88"/>
        <v>-180284.41666666651</v>
      </c>
      <c r="F358" s="650">
        <f t="shared" si="88"/>
        <v>-490650.41666666651</v>
      </c>
      <c r="G358" s="650">
        <f t="shared" si="88"/>
        <v>-212081.41666666651</v>
      </c>
      <c r="H358" s="650">
        <f t="shared" si="88"/>
        <v>-418212.41666666651</v>
      </c>
      <c r="I358" s="650">
        <f t="shared" si="88"/>
        <v>-142028.41666666651</v>
      </c>
      <c r="J358" s="650">
        <f t="shared" si="88"/>
        <v>-121873.41666666651</v>
      </c>
      <c r="K358" s="650">
        <f t="shared" si="88"/>
        <v>108714.58333333349</v>
      </c>
      <c r="L358" s="650">
        <f t="shared" si="88"/>
        <v>209789.58333333349</v>
      </c>
      <c r="M358" s="650">
        <f t="shared" si="88"/>
        <v>203560.58333333349</v>
      </c>
      <c r="N358" s="650">
        <f t="shared" si="88"/>
        <v>-96254.999999998137</v>
      </c>
    </row>
    <row r="359" spans="1:16">
      <c r="A359" s="649" t="s">
        <v>202</v>
      </c>
      <c r="B359" s="650">
        <f>B200</f>
        <v>182654.75</v>
      </c>
      <c r="C359" s="650">
        <f t="shared" ref="C359:N359" si="89">C200</f>
        <v>177919.25</v>
      </c>
      <c r="D359" s="650">
        <f t="shared" si="89"/>
        <v>233137.5</v>
      </c>
      <c r="E359" s="650">
        <f t="shared" si="89"/>
        <v>185626.63</v>
      </c>
      <c r="F359" s="650">
        <f t="shared" si="89"/>
        <v>228760.40000000002</v>
      </c>
      <c r="G359" s="650">
        <f t="shared" si="89"/>
        <v>71722.63</v>
      </c>
      <c r="H359" s="650">
        <f t="shared" si="89"/>
        <v>-54460</v>
      </c>
      <c r="I359" s="650">
        <f t="shared" si="89"/>
        <v>152797.70999999996</v>
      </c>
      <c r="J359" s="650">
        <f t="shared" si="89"/>
        <v>111648.28000000003</v>
      </c>
      <c r="K359" s="650">
        <f t="shared" si="89"/>
        <v>184810.13</v>
      </c>
      <c r="L359" s="650">
        <f t="shared" si="89"/>
        <v>145439.63</v>
      </c>
      <c r="M359" s="650">
        <f t="shared" si="89"/>
        <v>55042.510000000009</v>
      </c>
      <c r="N359" s="650">
        <f t="shared" si="89"/>
        <v>1675099.42</v>
      </c>
    </row>
    <row r="360" spans="1:16">
      <c r="A360" s="686" t="s">
        <v>203</v>
      </c>
      <c r="B360" s="687">
        <f t="shared" ref="B360:N360" si="90">C276</f>
        <v>-197302.25</v>
      </c>
      <c r="C360" s="687">
        <f t="shared" si="90"/>
        <v>-6662.5999999999767</v>
      </c>
      <c r="D360" s="687">
        <f t="shared" si="90"/>
        <v>-55136.660000000033</v>
      </c>
      <c r="E360" s="687">
        <f t="shared" si="90"/>
        <v>95791.88</v>
      </c>
      <c r="F360" s="687">
        <f t="shared" si="90"/>
        <v>47505.929999999993</v>
      </c>
      <c r="G360" s="687">
        <f t="shared" si="90"/>
        <v>40261.589999999967</v>
      </c>
      <c r="H360" s="687">
        <f t="shared" si="90"/>
        <v>71710.170000000042</v>
      </c>
      <c r="I360" s="687">
        <f t="shared" si="90"/>
        <v>33779.280000000028</v>
      </c>
      <c r="J360" s="687">
        <f t="shared" si="90"/>
        <v>76250.81</v>
      </c>
      <c r="K360" s="687">
        <f t="shared" si="90"/>
        <v>156992.78999999998</v>
      </c>
      <c r="L360" s="687">
        <f t="shared" si="90"/>
        <v>134006.40000000002</v>
      </c>
      <c r="M360" s="687">
        <f t="shared" si="90"/>
        <v>144796.41999999998</v>
      </c>
      <c r="N360" s="687">
        <f t="shared" si="90"/>
        <v>541993.76</v>
      </c>
      <c r="P360" s="226">
        <v>653064</v>
      </c>
    </row>
    <row r="361" spans="1:16" ht="13.5" thickBot="1">
      <c r="A361" s="653" t="s">
        <v>204</v>
      </c>
      <c r="B361" s="654">
        <f t="shared" ref="B361:N361" si="91">C354</f>
        <v>126102.91666666666</v>
      </c>
      <c r="C361" s="654">
        <f t="shared" si="91"/>
        <v>129687.91666666666</v>
      </c>
      <c r="D361" s="654">
        <f t="shared" si="91"/>
        <v>116394.91666666666</v>
      </c>
      <c r="E361" s="654">
        <f t="shared" si="91"/>
        <v>94251.916666666628</v>
      </c>
      <c r="F361" s="654">
        <f t="shared" si="91"/>
        <v>54513.916666666657</v>
      </c>
      <c r="G361" s="654">
        <f t="shared" si="91"/>
        <v>67840.916666666657</v>
      </c>
      <c r="H361" s="654">
        <f t="shared" si="91"/>
        <v>61047.916666666657</v>
      </c>
      <c r="I361" s="654">
        <f t="shared" si="91"/>
        <v>61508.916666666657</v>
      </c>
      <c r="J361" s="654">
        <f t="shared" si="91"/>
        <v>59205.916666666657</v>
      </c>
      <c r="K361" s="654">
        <f t="shared" si="91"/>
        <v>50233.916666666657</v>
      </c>
      <c r="L361" s="654">
        <f t="shared" si="91"/>
        <v>78675.916666666628</v>
      </c>
      <c r="M361" s="654">
        <f t="shared" si="91"/>
        <v>61508.916666666657</v>
      </c>
      <c r="N361" s="654">
        <f t="shared" si="91"/>
        <v>960973.99999999953</v>
      </c>
      <c r="P361" s="226">
        <v>561469</v>
      </c>
    </row>
    <row r="362" spans="1:16" ht="13.5" thickBot="1">
      <c r="A362" s="651" t="s">
        <v>205</v>
      </c>
      <c r="B362" s="652">
        <f>SUM(B358:B361)</f>
        <v>667753.00000000012</v>
      </c>
      <c r="C362" s="652">
        <f t="shared" ref="C362:N362" si="92">SUM(C358:C361)</f>
        <v>420664.15000000014</v>
      </c>
      <c r="D362" s="652">
        <f t="shared" si="92"/>
        <v>565189.34000000008</v>
      </c>
      <c r="E362" s="652">
        <f t="shared" si="92"/>
        <v>195386.01000000013</v>
      </c>
      <c r="F362" s="652">
        <f t="shared" si="92"/>
        <v>-159870.16999999984</v>
      </c>
      <c r="G362" s="652">
        <f t="shared" si="92"/>
        <v>-32256.279999999882</v>
      </c>
      <c r="H362" s="652">
        <f t="shared" si="92"/>
        <v>-339914.32999999984</v>
      </c>
      <c r="I362" s="652">
        <f t="shared" si="92"/>
        <v>106057.49000000014</v>
      </c>
      <c r="J362" s="652">
        <f t="shared" si="92"/>
        <v>125231.59000000017</v>
      </c>
      <c r="K362" s="652">
        <f t="shared" si="92"/>
        <v>500751.42000000016</v>
      </c>
      <c r="L362" s="652">
        <f t="shared" si="92"/>
        <v>567911.53000000014</v>
      </c>
      <c r="M362" s="652">
        <f t="shared" si="92"/>
        <v>464908.43000000017</v>
      </c>
      <c r="N362" s="652">
        <f t="shared" si="92"/>
        <v>3081812.1800000011</v>
      </c>
      <c r="P362" s="226">
        <f>SUM(P360:P361)</f>
        <v>1214533</v>
      </c>
    </row>
    <row r="363" spans="1:16">
      <c r="A363" s="645"/>
      <c r="B363" s="646"/>
      <c r="C363" s="646"/>
      <c r="D363" s="646"/>
      <c r="E363" s="646"/>
      <c r="F363" s="646"/>
      <c r="G363" s="646"/>
      <c r="H363" s="646"/>
      <c r="I363" s="646"/>
      <c r="J363" s="646"/>
      <c r="K363" s="646"/>
      <c r="L363" s="646"/>
      <c r="M363" s="646"/>
      <c r="N363" s="647"/>
    </row>
    <row r="364" spans="1:16">
      <c r="A364" s="645"/>
      <c r="B364" s="646"/>
      <c r="C364" s="646"/>
      <c r="D364" s="646"/>
      <c r="E364" s="646"/>
      <c r="F364" s="646"/>
      <c r="G364" s="646"/>
      <c r="H364" s="646"/>
      <c r="I364" s="646"/>
      <c r="J364" s="646"/>
      <c r="K364" s="646"/>
      <c r="L364" s="646"/>
      <c r="M364" s="646"/>
      <c r="N364" s="647"/>
    </row>
    <row r="365" spans="1:16">
      <c r="A365" s="645"/>
      <c r="B365" s="646"/>
      <c r="C365" s="646"/>
      <c r="D365" s="646"/>
      <c r="E365" s="646"/>
      <c r="F365" s="646"/>
      <c r="G365" s="646"/>
      <c r="H365" s="646"/>
      <c r="I365" s="646"/>
      <c r="J365" s="646"/>
      <c r="K365" s="646"/>
      <c r="L365" s="646"/>
      <c r="M365" s="646"/>
      <c r="N365" s="647"/>
    </row>
    <row r="366" spans="1:16">
      <c r="A366" s="645"/>
      <c r="B366" s="646"/>
      <c r="C366" s="646"/>
      <c r="D366" s="646"/>
      <c r="E366" s="646"/>
      <c r="F366" s="646"/>
      <c r="G366" s="646"/>
      <c r="H366" s="646"/>
      <c r="I366" s="646"/>
      <c r="J366" s="646"/>
      <c r="K366" s="646"/>
      <c r="L366" s="646"/>
      <c r="M366" s="646"/>
      <c r="N366" s="647"/>
    </row>
    <row r="367" spans="1:16">
      <c r="A367" s="645"/>
      <c r="B367" s="646"/>
      <c r="C367" s="646"/>
      <c r="D367" s="646"/>
      <c r="E367" s="646"/>
      <c r="F367" s="646"/>
      <c r="G367" s="646"/>
      <c r="H367" s="646"/>
      <c r="I367" s="646"/>
      <c r="J367" s="646"/>
      <c r="K367" s="646"/>
      <c r="L367" s="646"/>
      <c r="M367" s="646"/>
      <c r="N367" s="647"/>
    </row>
    <row r="368" spans="1:16">
      <c r="A368" s="645"/>
      <c r="B368" s="646"/>
      <c r="C368" s="646"/>
      <c r="D368" s="646"/>
      <c r="E368" s="646"/>
      <c r="F368" s="646"/>
      <c r="G368" s="646"/>
      <c r="H368" s="646"/>
      <c r="I368" s="646"/>
      <c r="J368" s="646"/>
      <c r="K368" s="646"/>
      <c r="L368" s="646"/>
      <c r="M368" s="646"/>
      <c r="N368" s="647"/>
    </row>
    <row r="369" spans="1:14">
      <c r="A369" s="645"/>
      <c r="B369" s="646"/>
      <c r="C369" s="646"/>
      <c r="D369" s="646"/>
      <c r="E369" s="646"/>
      <c r="F369" s="646"/>
      <c r="G369" s="646"/>
      <c r="H369" s="646"/>
      <c r="I369" s="646"/>
      <c r="J369" s="646"/>
      <c r="K369" s="646"/>
      <c r="L369" s="646"/>
      <c r="M369" s="646"/>
      <c r="N369" s="647"/>
    </row>
    <row r="370" spans="1:14">
      <c r="A370" s="645"/>
      <c r="B370" s="646"/>
      <c r="C370" s="646"/>
      <c r="D370" s="646"/>
      <c r="E370" s="646"/>
      <c r="F370" s="646"/>
      <c r="G370" s="646"/>
      <c r="H370" s="646"/>
      <c r="I370" s="646"/>
      <c r="J370" s="646"/>
      <c r="K370" s="646"/>
      <c r="L370" s="646"/>
      <c r="M370" s="646"/>
      <c r="N370" s="647"/>
    </row>
    <row r="371" spans="1:14">
      <c r="A371" s="645"/>
      <c r="B371" s="646"/>
      <c r="C371" s="646"/>
      <c r="D371" s="646"/>
      <c r="E371" s="646"/>
      <c r="F371" s="646"/>
      <c r="G371" s="646"/>
      <c r="H371" s="646"/>
      <c r="I371" s="646"/>
      <c r="J371" s="646"/>
      <c r="K371" s="646"/>
      <c r="L371" s="646"/>
      <c r="M371" s="646"/>
      <c r="N371" s="647"/>
    </row>
    <row r="372" spans="1:14" ht="14.25" customHeight="1">
      <c r="A372" s="645"/>
      <c r="B372" s="648"/>
      <c r="C372" s="648"/>
      <c r="D372" s="648"/>
      <c r="E372" s="648"/>
      <c r="F372" s="648"/>
      <c r="G372" s="648"/>
      <c r="H372" s="648"/>
      <c r="I372" s="648"/>
      <c r="J372" s="648"/>
      <c r="K372" s="648"/>
      <c r="L372" s="648"/>
      <c r="M372" s="648"/>
      <c r="N372" s="648"/>
    </row>
    <row r="373" spans="1:14">
      <c r="A373" s="645"/>
      <c r="B373" s="648"/>
      <c r="C373" s="648"/>
      <c r="D373" s="648"/>
      <c r="E373" s="648"/>
      <c r="F373" s="648"/>
      <c r="G373" s="648"/>
      <c r="H373" s="648"/>
      <c r="I373" s="648"/>
      <c r="J373" s="648"/>
      <c r="K373" s="648"/>
      <c r="L373" s="648"/>
      <c r="M373" s="648"/>
      <c r="N373" s="648"/>
    </row>
    <row r="374" spans="1:14" ht="13.5" thickBot="1">
      <c r="A374" s="281"/>
      <c r="B374" s="281"/>
      <c r="C374" s="281"/>
      <c r="D374" s="281"/>
      <c r="E374" s="281"/>
      <c r="F374" s="281"/>
      <c r="G374" s="281"/>
      <c r="H374" s="281"/>
      <c r="I374" s="281"/>
      <c r="J374" s="281"/>
      <c r="K374" s="281"/>
      <c r="L374" s="281"/>
      <c r="M374" s="281"/>
      <c r="N374" s="281"/>
    </row>
    <row r="375" spans="1:14" ht="20.25">
      <c r="A375" s="820" t="s">
        <v>250</v>
      </c>
      <c r="B375" s="820"/>
      <c r="C375" s="820"/>
      <c r="D375" s="820"/>
      <c r="E375" s="820"/>
      <c r="F375" s="820"/>
      <c r="G375" s="820"/>
      <c r="H375" s="820"/>
      <c r="I375" s="820"/>
      <c r="J375" s="820"/>
      <c r="K375" s="820"/>
      <c r="L375" s="820"/>
      <c r="M375" s="820"/>
      <c r="N375" s="820"/>
    </row>
    <row r="376" spans="1:14">
      <c r="A376" s="227"/>
      <c r="B376" s="227"/>
      <c r="C376" s="227"/>
      <c r="D376" s="227"/>
      <c r="E376" s="227"/>
      <c r="F376" s="227"/>
      <c r="G376" s="227"/>
      <c r="H376" s="227"/>
      <c r="I376" s="227"/>
      <c r="J376" s="227"/>
      <c r="K376" s="227"/>
      <c r="L376" s="227"/>
      <c r="M376" s="227"/>
    </row>
    <row r="377" spans="1:14">
      <c r="A377" s="228"/>
      <c r="B377" s="229" t="s">
        <v>44</v>
      </c>
      <c r="C377" s="229" t="s">
        <v>45</v>
      </c>
      <c r="D377" s="230" t="s">
        <v>46</v>
      </c>
      <c r="E377" s="229" t="s">
        <v>47</v>
      </c>
      <c r="F377" s="229" t="s">
        <v>48</v>
      </c>
      <c r="G377" s="230" t="s">
        <v>49</v>
      </c>
      <c r="H377" s="229" t="s">
        <v>38</v>
      </c>
      <c r="I377" s="229" t="s">
        <v>39</v>
      </c>
      <c r="J377" s="229" t="s">
        <v>40</v>
      </c>
      <c r="K377" s="229" t="s">
        <v>41</v>
      </c>
      <c r="L377" s="229" t="s">
        <v>42</v>
      </c>
      <c r="M377" s="229" t="s">
        <v>43</v>
      </c>
      <c r="N377" s="228" t="s">
        <v>64</v>
      </c>
    </row>
    <row r="378" spans="1:14">
      <c r="A378" s="231" t="s">
        <v>65</v>
      </c>
      <c r="B378" s="620">
        <v>2083</v>
      </c>
      <c r="C378" s="620">
        <v>2083</v>
      </c>
      <c r="D378" s="620">
        <v>2083</v>
      </c>
      <c r="E378" s="620">
        <v>2083</v>
      </c>
      <c r="F378" s="620">
        <v>2083</v>
      </c>
      <c r="G378" s="620">
        <v>2083</v>
      </c>
      <c r="H378" s="620">
        <v>2083</v>
      </c>
      <c r="I378" s="620">
        <v>2083</v>
      </c>
      <c r="J378" s="620">
        <v>2083</v>
      </c>
      <c r="K378" s="620">
        <v>2083</v>
      </c>
      <c r="L378" s="620">
        <v>2083</v>
      </c>
      <c r="M378" s="620">
        <v>2083</v>
      </c>
      <c r="N378" s="620">
        <f t="shared" ref="N378:N388" si="93">SUM(B378:M378)</f>
        <v>24996</v>
      </c>
    </row>
    <row r="379" spans="1:14">
      <c r="A379" s="231" t="s">
        <v>66</v>
      </c>
      <c r="B379" s="620"/>
      <c r="C379" s="620"/>
      <c r="D379" s="620"/>
      <c r="E379" s="620"/>
      <c r="F379" s="620"/>
      <c r="G379" s="621"/>
      <c r="H379" s="620"/>
      <c r="I379" s="620"/>
      <c r="J379" s="622"/>
      <c r="K379" s="620"/>
      <c r="L379" s="620"/>
      <c r="M379" s="620"/>
      <c r="N379" s="620">
        <f t="shared" si="93"/>
        <v>0</v>
      </c>
    </row>
    <row r="380" spans="1:14">
      <c r="A380" s="231" t="s">
        <v>67</v>
      </c>
      <c r="B380" s="620"/>
      <c r="C380" s="620"/>
      <c r="D380" s="620"/>
      <c r="E380" s="620"/>
      <c r="F380" s="620"/>
      <c r="G380" s="621"/>
      <c r="H380" s="620"/>
      <c r="I380" s="620"/>
      <c r="J380" s="620"/>
      <c r="K380" s="620"/>
      <c r="L380" s="620"/>
      <c r="M380" s="620"/>
      <c r="N380" s="620">
        <f t="shared" si="93"/>
        <v>0</v>
      </c>
    </row>
    <row r="381" spans="1:14">
      <c r="A381" s="231" t="s">
        <v>69</v>
      </c>
      <c r="B381" s="620">
        <v>64.5</v>
      </c>
      <c r="C381" s="620">
        <v>68.75</v>
      </c>
      <c r="D381" s="620">
        <v>94.5</v>
      </c>
      <c r="E381" s="620">
        <v>203</v>
      </c>
      <c r="F381" s="620">
        <v>12</v>
      </c>
      <c r="G381" s="621">
        <v>142</v>
      </c>
      <c r="H381" s="620">
        <v>695.25</v>
      </c>
      <c r="I381" s="620">
        <v>259</v>
      </c>
      <c r="J381" s="620">
        <v>55</v>
      </c>
      <c r="K381" s="620">
        <v>128.25</v>
      </c>
      <c r="L381" s="620">
        <v>52.5</v>
      </c>
      <c r="M381" s="620">
        <v>155</v>
      </c>
      <c r="N381" s="620">
        <f t="shared" si="93"/>
        <v>1929.75</v>
      </c>
    </row>
    <row r="382" spans="1:14">
      <c r="A382" s="231" t="s">
        <v>70</v>
      </c>
      <c r="B382" s="620">
        <v>30</v>
      </c>
      <c r="C382" s="620">
        <v>37</v>
      </c>
      <c r="D382" s="620">
        <v>31</v>
      </c>
      <c r="E382" s="620">
        <v>44.75</v>
      </c>
      <c r="F382" s="620">
        <v>23.25</v>
      </c>
      <c r="G382" s="621">
        <v>7.75</v>
      </c>
      <c r="H382" s="620">
        <v>27.5</v>
      </c>
      <c r="I382" s="620">
        <v>37</v>
      </c>
      <c r="J382" s="620">
        <v>37</v>
      </c>
      <c r="K382" s="620"/>
      <c r="L382" s="620">
        <v>7.75</v>
      </c>
      <c r="M382" s="620"/>
      <c r="N382" s="620">
        <f t="shared" si="93"/>
        <v>283</v>
      </c>
    </row>
    <row r="383" spans="1:14">
      <c r="A383" s="231" t="s">
        <v>71</v>
      </c>
      <c r="B383" s="620">
        <v>198.75</v>
      </c>
      <c r="C383" s="620">
        <v>163.5</v>
      </c>
      <c r="D383" s="620">
        <v>103.25</v>
      </c>
      <c r="E383" s="620">
        <v>43</v>
      </c>
      <c r="F383" s="620">
        <v>124.75</v>
      </c>
      <c r="G383" s="621">
        <v>21.5</v>
      </c>
      <c r="H383" s="620"/>
      <c r="I383" s="620">
        <v>50.75</v>
      </c>
      <c r="J383" s="620">
        <v>58.5</v>
      </c>
      <c r="K383" s="620">
        <v>27.5</v>
      </c>
      <c r="L383" s="620"/>
      <c r="M383" s="620"/>
      <c r="N383" s="620">
        <f t="shared" si="93"/>
        <v>791.5</v>
      </c>
    </row>
    <row r="384" spans="1:14">
      <c r="A384" s="231" t="s">
        <v>72</v>
      </c>
      <c r="B384" s="620"/>
      <c r="C384" s="620"/>
      <c r="D384" s="620"/>
      <c r="E384" s="620">
        <v>7.75</v>
      </c>
      <c r="F384" s="620"/>
      <c r="G384" s="621"/>
      <c r="H384" s="620"/>
      <c r="I384" s="620"/>
      <c r="J384" s="620" t="s">
        <v>251</v>
      </c>
      <c r="K384" s="620"/>
      <c r="L384" s="620"/>
      <c r="M384" s="620"/>
      <c r="N384" s="620">
        <f t="shared" si="93"/>
        <v>7.75</v>
      </c>
    </row>
    <row r="385" spans="1:14">
      <c r="A385" s="231" t="s">
        <v>73</v>
      </c>
      <c r="B385" s="620">
        <v>6</v>
      </c>
      <c r="C385" s="620"/>
      <c r="D385" s="620"/>
      <c r="E385" s="620"/>
      <c r="F385" s="620"/>
      <c r="G385" s="621"/>
      <c r="H385" s="620"/>
      <c r="I385" s="620"/>
      <c r="J385" s="620"/>
      <c r="K385" s="620"/>
      <c r="L385" s="620"/>
      <c r="M385" s="620"/>
      <c r="N385" s="620">
        <f t="shared" si="93"/>
        <v>6</v>
      </c>
    </row>
    <row r="386" spans="1:14">
      <c r="A386" s="231" t="s">
        <v>74</v>
      </c>
      <c r="B386" s="620"/>
      <c r="C386" s="620"/>
      <c r="D386" s="620"/>
      <c r="E386" s="620"/>
      <c r="F386" s="620"/>
      <c r="G386" s="621"/>
      <c r="H386" s="620"/>
      <c r="I386" s="620"/>
      <c r="J386" s="620"/>
      <c r="K386" s="620"/>
      <c r="L386" s="620"/>
      <c r="M386" s="620"/>
      <c r="N386" s="620">
        <f t="shared" si="93"/>
        <v>0</v>
      </c>
    </row>
    <row r="387" spans="1:14">
      <c r="A387" s="231" t="s">
        <v>75</v>
      </c>
      <c r="B387" s="620"/>
      <c r="C387" s="620"/>
      <c r="D387" s="620"/>
      <c r="E387" s="620"/>
      <c r="F387" s="620"/>
      <c r="G387" s="621"/>
      <c r="H387" s="620"/>
      <c r="I387" s="620"/>
      <c r="J387" s="620"/>
      <c r="K387" s="620"/>
      <c r="L387" s="620"/>
      <c r="M387" s="620"/>
      <c r="N387" s="620">
        <f t="shared" si="93"/>
        <v>0</v>
      </c>
    </row>
    <row r="388" spans="1:14" ht="13.5" thickBot="1">
      <c r="A388" s="235" t="s">
        <v>76</v>
      </c>
      <c r="B388" s="623">
        <v>27.5</v>
      </c>
      <c r="C388" s="623">
        <v>6</v>
      </c>
      <c r="D388" s="623"/>
      <c r="E388" s="623">
        <v>13.75</v>
      </c>
      <c r="F388" s="623">
        <v>49</v>
      </c>
      <c r="G388" s="624">
        <v>12</v>
      </c>
      <c r="H388" s="623">
        <v>6</v>
      </c>
      <c r="I388" s="623">
        <v>37</v>
      </c>
      <c r="J388" s="623"/>
      <c r="K388" s="623">
        <v>7.75</v>
      </c>
      <c r="L388" s="623">
        <v>15.5</v>
      </c>
      <c r="M388" s="623"/>
      <c r="N388" s="625">
        <f t="shared" si="93"/>
        <v>174.5</v>
      </c>
    </row>
    <row r="389" spans="1:14" ht="13.5" thickBot="1">
      <c r="A389" s="239" t="s">
        <v>77</v>
      </c>
      <c r="B389" s="626">
        <f>SUM(B378:B380)-SUM(B381:B388)</f>
        <v>1756.25</v>
      </c>
      <c r="C389" s="626">
        <f t="shared" ref="C389:N389" si="94">SUM(C378:C380)-SUM(C381:C388)</f>
        <v>1807.75</v>
      </c>
      <c r="D389" s="626">
        <f t="shared" si="94"/>
        <v>1854.25</v>
      </c>
      <c r="E389" s="626">
        <f t="shared" si="94"/>
        <v>1770.75</v>
      </c>
      <c r="F389" s="626">
        <f t="shared" si="94"/>
        <v>1874</v>
      </c>
      <c r="G389" s="626">
        <f t="shared" si="94"/>
        <v>1899.75</v>
      </c>
      <c r="H389" s="626">
        <f t="shared" si="94"/>
        <v>1354.25</v>
      </c>
      <c r="I389" s="626">
        <f t="shared" si="94"/>
        <v>1699.25</v>
      </c>
      <c r="J389" s="626">
        <f t="shared" si="94"/>
        <v>1932.5</v>
      </c>
      <c r="K389" s="626">
        <f t="shared" si="94"/>
        <v>1919.5</v>
      </c>
      <c r="L389" s="626">
        <f t="shared" si="94"/>
        <v>2007.25</v>
      </c>
      <c r="M389" s="626">
        <f t="shared" si="94"/>
        <v>1928</v>
      </c>
      <c r="N389" s="626">
        <f t="shared" si="94"/>
        <v>21803.5</v>
      </c>
    </row>
    <row r="390" spans="1:14">
      <c r="A390" s="243"/>
      <c r="B390" s="261"/>
      <c r="C390" s="261"/>
      <c r="D390" s="261"/>
      <c r="E390" s="261"/>
      <c r="F390" s="261"/>
      <c r="G390" s="261"/>
      <c r="H390" s="261"/>
      <c r="I390" s="261"/>
      <c r="J390" s="261"/>
      <c r="K390" s="261"/>
      <c r="L390" s="261"/>
      <c r="M390" s="261"/>
      <c r="N390" s="261"/>
    </row>
    <row r="391" spans="1:14">
      <c r="A391" s="243"/>
      <c r="B391" s="261"/>
      <c r="C391" s="261"/>
      <c r="D391" s="261"/>
      <c r="E391" s="261"/>
      <c r="F391" s="261"/>
      <c r="G391" s="261"/>
      <c r="H391" s="261"/>
      <c r="I391" s="261"/>
      <c r="J391" s="261"/>
      <c r="K391" s="261"/>
      <c r="L391" s="261"/>
      <c r="M391" s="261"/>
      <c r="N391" s="629" t="s">
        <v>78</v>
      </c>
    </row>
    <row r="392" spans="1:14">
      <c r="A392" s="231" t="s">
        <v>79</v>
      </c>
      <c r="B392" s="620">
        <f t="shared" ref="B392:M392" si="95">SUM(B379*100/B389)</f>
        <v>0</v>
      </c>
      <c r="C392" s="620">
        <f t="shared" si="95"/>
        <v>0</v>
      </c>
      <c r="D392" s="620">
        <f t="shared" si="95"/>
        <v>0</v>
      </c>
      <c r="E392" s="620">
        <f t="shared" si="95"/>
        <v>0</v>
      </c>
      <c r="F392" s="620">
        <f t="shared" si="95"/>
        <v>0</v>
      </c>
      <c r="G392" s="620">
        <f t="shared" si="95"/>
        <v>0</v>
      </c>
      <c r="H392" s="620">
        <f t="shared" si="95"/>
        <v>0</v>
      </c>
      <c r="I392" s="620">
        <f t="shared" si="95"/>
        <v>0</v>
      </c>
      <c r="J392" s="620">
        <f t="shared" si="95"/>
        <v>0</v>
      </c>
      <c r="K392" s="620">
        <f t="shared" si="95"/>
        <v>0</v>
      </c>
      <c r="L392" s="620">
        <f t="shared" si="95"/>
        <v>0</v>
      </c>
      <c r="M392" s="620">
        <f t="shared" si="95"/>
        <v>0</v>
      </c>
      <c r="N392" s="630">
        <f>SUM(B392:M392)/12</f>
        <v>0</v>
      </c>
    </row>
    <row r="393" spans="1:14">
      <c r="A393" s="243"/>
      <c r="B393" s="261"/>
      <c r="C393" s="261"/>
      <c r="D393" s="261"/>
      <c r="E393" s="261"/>
      <c r="F393" s="261"/>
      <c r="G393" s="261"/>
      <c r="H393" s="261"/>
      <c r="I393" s="261"/>
      <c r="J393" s="261"/>
      <c r="K393" s="261"/>
      <c r="L393" s="261"/>
      <c r="M393" s="261"/>
      <c r="N393" s="261"/>
    </row>
    <row r="394" spans="1:14">
      <c r="A394" s="231" t="s">
        <v>80</v>
      </c>
      <c r="B394" s="620">
        <f t="shared" ref="B394:M394" si="96">SUM(B383*100/B389)</f>
        <v>11.316725978647687</v>
      </c>
      <c r="C394" s="620">
        <f t="shared" si="96"/>
        <v>9.0443922002489288</v>
      </c>
      <c r="D394" s="620">
        <f t="shared" si="96"/>
        <v>5.5682890656599699</v>
      </c>
      <c r="E394" s="620">
        <f t="shared" si="96"/>
        <v>2.4283495693915009</v>
      </c>
      <c r="F394" s="620">
        <f t="shared" si="96"/>
        <v>6.6568836712913555</v>
      </c>
      <c r="G394" s="620">
        <f t="shared" si="96"/>
        <v>1.1317278589288065</v>
      </c>
      <c r="H394" s="620">
        <f t="shared" si="96"/>
        <v>0</v>
      </c>
      <c r="I394" s="620">
        <f t="shared" si="96"/>
        <v>2.9866117404737382</v>
      </c>
      <c r="J394" s="620">
        <f t="shared" si="96"/>
        <v>3.0271668822768434</v>
      </c>
      <c r="K394" s="620">
        <f t="shared" si="96"/>
        <v>1.4326647564469914</v>
      </c>
      <c r="L394" s="620">
        <f t="shared" si="96"/>
        <v>0</v>
      </c>
      <c r="M394" s="620">
        <f t="shared" si="96"/>
        <v>0</v>
      </c>
      <c r="N394" s="630">
        <f>SUM(B394:M394)/12</f>
        <v>3.632734310280485</v>
      </c>
    </row>
    <row r="395" spans="1:14" ht="13.5" thickBot="1">
      <c r="A395" s="247" t="s">
        <v>81</v>
      </c>
      <c r="B395" s="625">
        <f t="shared" ref="B395:M395" si="97">SUM(B384*100/B389)</f>
        <v>0</v>
      </c>
      <c r="C395" s="625">
        <f t="shared" si="97"/>
        <v>0</v>
      </c>
      <c r="D395" s="625">
        <f t="shared" si="97"/>
        <v>0</v>
      </c>
      <c r="E395" s="625">
        <f t="shared" si="97"/>
        <v>0.43766765494846815</v>
      </c>
      <c r="F395" s="625">
        <f t="shared" si="97"/>
        <v>0</v>
      </c>
      <c r="G395" s="625">
        <f t="shared" si="97"/>
        <v>0</v>
      </c>
      <c r="H395" s="625">
        <f t="shared" si="97"/>
        <v>0</v>
      </c>
      <c r="I395" s="625">
        <f t="shared" si="97"/>
        <v>0</v>
      </c>
      <c r="J395" s="625" t="e">
        <f t="shared" si="97"/>
        <v>#VALUE!</v>
      </c>
      <c r="K395" s="625">
        <f t="shared" si="97"/>
        <v>0</v>
      </c>
      <c r="L395" s="625">
        <f t="shared" si="97"/>
        <v>0</v>
      </c>
      <c r="M395" s="625">
        <f t="shared" si="97"/>
        <v>0</v>
      </c>
      <c r="N395" s="631" t="e">
        <f>SUM(B395:M395)/12</f>
        <v>#VALUE!</v>
      </c>
    </row>
    <row r="396" spans="1:14" ht="13.5" thickBot="1">
      <c r="A396" s="249" t="s">
        <v>82</v>
      </c>
      <c r="B396" s="632">
        <f t="shared" ref="B396:M396" si="98">SUM(B394:B394)</f>
        <v>11.316725978647687</v>
      </c>
      <c r="C396" s="632">
        <f t="shared" si="98"/>
        <v>9.0443922002489288</v>
      </c>
      <c r="D396" s="632">
        <f t="shared" si="98"/>
        <v>5.5682890656599699</v>
      </c>
      <c r="E396" s="632">
        <f t="shared" si="98"/>
        <v>2.4283495693915009</v>
      </c>
      <c r="F396" s="632">
        <f t="shared" si="98"/>
        <v>6.6568836712913555</v>
      </c>
      <c r="G396" s="632">
        <f t="shared" si="98"/>
        <v>1.1317278589288065</v>
      </c>
      <c r="H396" s="632">
        <f t="shared" si="98"/>
        <v>0</v>
      </c>
      <c r="I396" s="632">
        <f t="shared" si="98"/>
        <v>2.9866117404737382</v>
      </c>
      <c r="J396" s="632">
        <f t="shared" si="98"/>
        <v>3.0271668822768434</v>
      </c>
      <c r="K396" s="632">
        <f t="shared" si="98"/>
        <v>1.4326647564469914</v>
      </c>
      <c r="L396" s="632">
        <f t="shared" si="98"/>
        <v>0</v>
      </c>
      <c r="M396" s="632">
        <f t="shared" si="98"/>
        <v>0</v>
      </c>
      <c r="N396" s="633" t="e">
        <f>SUM(N394:N395)</f>
        <v>#VALUE!</v>
      </c>
    </row>
    <row r="397" spans="1:14">
      <c r="A397" s="243" t="s">
        <v>83</v>
      </c>
      <c r="B397" s="261"/>
      <c r="C397" s="261"/>
      <c r="D397" s="634">
        <f>SUM(B396:D396)/4</f>
        <v>6.4823518111391465</v>
      </c>
      <c r="E397" s="261"/>
      <c r="F397" s="261"/>
      <c r="G397" s="634">
        <f>SUM(E396,F396,G396)/4</f>
        <v>2.5542402749029161</v>
      </c>
      <c r="H397" s="261"/>
      <c r="I397" s="261"/>
      <c r="J397" s="634">
        <f>SUM(H396,I396,J396)/3</f>
        <v>2.0045928742501942</v>
      </c>
      <c r="K397" s="261"/>
      <c r="L397" s="261"/>
      <c r="M397" s="634">
        <f>SUM(K396,L396,M396)/3</f>
        <v>0.47755491881566381</v>
      </c>
      <c r="N397" s="635">
        <f>SUM(D397:M397)/4</f>
        <v>2.8796849697769802</v>
      </c>
    </row>
    <row r="398" spans="1:14">
      <c r="A398" s="243" t="s">
        <v>84</v>
      </c>
      <c r="B398" s="261"/>
      <c r="C398" s="261"/>
      <c r="D398" s="262"/>
      <c r="E398" s="261"/>
      <c r="F398" s="261"/>
      <c r="G398" s="262"/>
      <c r="H398" s="261"/>
      <c r="I398" s="261"/>
      <c r="J398" s="262"/>
      <c r="K398" s="261"/>
      <c r="L398" s="261"/>
      <c r="M398" s="262"/>
      <c r="N398" s="630">
        <f>SUM(D398:G398,J398,M398)/4</f>
        <v>0</v>
      </c>
    </row>
    <row r="399" spans="1:14">
      <c r="A399" s="243"/>
      <c r="B399" s="261"/>
      <c r="C399" s="261"/>
      <c r="D399" s="261"/>
      <c r="E399" s="261"/>
      <c r="F399" s="261"/>
      <c r="G399" s="261"/>
      <c r="H399" s="261"/>
      <c r="I399" s="261"/>
      <c r="J399" s="261"/>
      <c r="K399" s="261"/>
      <c r="L399" s="261"/>
      <c r="M399" s="261"/>
      <c r="N399" s="261"/>
    </row>
    <row r="400" spans="1:14">
      <c r="A400" s="231" t="s">
        <v>85</v>
      </c>
      <c r="B400" s="620">
        <f t="shared" ref="B400:M400" si="99">B387*100/B389</f>
        <v>0</v>
      </c>
      <c r="C400" s="620">
        <f t="shared" si="99"/>
        <v>0</v>
      </c>
      <c r="D400" s="620">
        <f t="shared" si="99"/>
        <v>0</v>
      </c>
      <c r="E400" s="620">
        <f t="shared" si="99"/>
        <v>0</v>
      </c>
      <c r="F400" s="620">
        <f t="shared" si="99"/>
        <v>0</v>
      </c>
      <c r="G400" s="620">
        <f t="shared" si="99"/>
        <v>0</v>
      </c>
      <c r="H400" s="620">
        <f t="shared" si="99"/>
        <v>0</v>
      </c>
      <c r="I400" s="620">
        <f t="shared" si="99"/>
        <v>0</v>
      </c>
      <c r="J400" s="620">
        <f t="shared" si="99"/>
        <v>0</v>
      </c>
      <c r="K400" s="620">
        <f t="shared" si="99"/>
        <v>0</v>
      </c>
      <c r="L400" s="620">
        <f t="shared" si="99"/>
        <v>0</v>
      </c>
      <c r="M400" s="620">
        <f t="shared" si="99"/>
        <v>0</v>
      </c>
      <c r="N400" s="630">
        <f>SUM(B400:M400)/12</f>
        <v>0</v>
      </c>
    </row>
    <row r="401" spans="1:14">
      <c r="A401" s="231" t="s">
        <v>86</v>
      </c>
      <c r="B401" s="620">
        <f t="shared" ref="B401:M401" si="100">B385*100/B389</f>
        <v>0.34163701067615659</v>
      </c>
      <c r="C401" s="620">
        <f t="shared" si="100"/>
        <v>0</v>
      </c>
      <c r="D401" s="620">
        <f t="shared" si="100"/>
        <v>0</v>
      </c>
      <c r="E401" s="620">
        <f t="shared" si="100"/>
        <v>0</v>
      </c>
      <c r="F401" s="620">
        <f t="shared" si="100"/>
        <v>0</v>
      </c>
      <c r="G401" s="620">
        <f t="shared" si="100"/>
        <v>0</v>
      </c>
      <c r="H401" s="620">
        <f t="shared" si="100"/>
        <v>0</v>
      </c>
      <c r="I401" s="620">
        <f t="shared" si="100"/>
        <v>0</v>
      </c>
      <c r="J401" s="620">
        <f t="shared" si="100"/>
        <v>0</v>
      </c>
      <c r="K401" s="620">
        <f t="shared" si="100"/>
        <v>0</v>
      </c>
      <c r="L401" s="620">
        <f t="shared" si="100"/>
        <v>0</v>
      </c>
      <c r="M401" s="620">
        <f t="shared" si="100"/>
        <v>0</v>
      </c>
      <c r="N401" s="630">
        <f>SUM(B401:M401)/12</f>
        <v>2.8469750889679717E-2</v>
      </c>
    </row>
    <row r="402" spans="1:14" ht="13.5" thickBot="1">
      <c r="A402" s="231" t="s">
        <v>87</v>
      </c>
      <c r="B402" s="620">
        <f t="shared" ref="B402:M402" si="101">B381*100/B389</f>
        <v>3.6725978647686834</v>
      </c>
      <c r="C402" s="620">
        <f t="shared" si="101"/>
        <v>3.8030701147835706</v>
      </c>
      <c r="D402" s="620">
        <f t="shared" si="101"/>
        <v>5.0964001617904815</v>
      </c>
      <c r="E402" s="620">
        <f t="shared" si="101"/>
        <v>11.464068897359876</v>
      </c>
      <c r="F402" s="620">
        <f t="shared" si="101"/>
        <v>0.64034151547491991</v>
      </c>
      <c r="G402" s="620">
        <f t="shared" si="101"/>
        <v>7.4746677194367681</v>
      </c>
      <c r="H402" s="620">
        <f t="shared" si="101"/>
        <v>51.338379176666052</v>
      </c>
      <c r="I402" s="620">
        <f t="shared" si="101"/>
        <v>15.242018537590113</v>
      </c>
      <c r="J402" s="620">
        <f t="shared" si="101"/>
        <v>2.8460543337645539</v>
      </c>
      <c r="K402" s="620">
        <f t="shared" si="101"/>
        <v>6.6814274550664239</v>
      </c>
      <c r="L402" s="620">
        <f t="shared" si="101"/>
        <v>2.6155187445510024</v>
      </c>
      <c r="M402" s="620">
        <f t="shared" si="101"/>
        <v>8.0394190871369293</v>
      </c>
      <c r="N402" s="630">
        <f>SUM(B402:M402)/12</f>
        <v>9.9094969673657811</v>
      </c>
    </row>
    <row r="403" spans="1:14" ht="13.5" thickBot="1">
      <c r="A403" s="255" t="s">
        <v>88</v>
      </c>
      <c r="B403" s="636">
        <f t="shared" ref="B403:M403" si="102">SUM(B378-B389)*100/B389</f>
        <v>18.604982206405694</v>
      </c>
      <c r="C403" s="636">
        <f t="shared" si="102"/>
        <v>15.226109805006223</v>
      </c>
      <c r="D403" s="636">
        <f t="shared" si="102"/>
        <v>12.336524201159499</v>
      </c>
      <c r="E403" s="636">
        <f t="shared" si="102"/>
        <v>17.633771000988283</v>
      </c>
      <c r="F403" s="636">
        <f t="shared" si="102"/>
        <v>11.152614727854855</v>
      </c>
      <c r="G403" s="636">
        <f t="shared" si="102"/>
        <v>9.6460060534280831</v>
      </c>
      <c r="H403" s="636">
        <f t="shared" si="102"/>
        <v>53.812073103193647</v>
      </c>
      <c r="I403" s="636">
        <f t="shared" si="102"/>
        <v>22.583492717375314</v>
      </c>
      <c r="J403" s="636">
        <f t="shared" si="102"/>
        <v>7.7878395860284604</v>
      </c>
      <c r="K403" s="636">
        <f t="shared" si="102"/>
        <v>8.5178431883302945</v>
      </c>
      <c r="L403" s="636">
        <f t="shared" si="102"/>
        <v>3.7738199028521611</v>
      </c>
      <c r="M403" s="636">
        <f t="shared" si="102"/>
        <v>8.0394190871369293</v>
      </c>
      <c r="N403" s="637">
        <f>SUM(B403:M403)/12</f>
        <v>15.759541298313287</v>
      </c>
    </row>
    <row r="404" spans="1:14">
      <c r="A404" s="243"/>
      <c r="B404" s="244"/>
      <c r="C404" s="244"/>
      <c r="D404" s="244"/>
      <c r="E404" s="244"/>
      <c r="F404" s="244"/>
      <c r="G404" s="244"/>
      <c r="H404" s="244"/>
      <c r="I404" s="244"/>
      <c r="J404" s="244"/>
      <c r="K404" s="244"/>
      <c r="L404" s="244"/>
      <c r="M404" s="244"/>
      <c r="N404" s="227"/>
    </row>
    <row r="405" spans="1:14">
      <c r="A405" s="258" t="s">
        <v>89</v>
      </c>
      <c r="B405" s="244"/>
      <c r="C405" s="244"/>
      <c r="D405" s="244"/>
      <c r="E405" s="244"/>
      <c r="F405" s="244"/>
      <c r="G405" s="244"/>
      <c r="H405" s="244"/>
      <c r="I405" s="244"/>
      <c r="J405" s="244"/>
      <c r="K405" s="244"/>
      <c r="L405" s="244"/>
      <c r="M405" s="244"/>
      <c r="N405" s="227"/>
    </row>
    <row r="406" spans="1:14">
      <c r="A406" s="231" t="s">
        <v>90</v>
      </c>
      <c r="B406" s="259">
        <v>13</v>
      </c>
      <c r="C406" s="259">
        <v>13</v>
      </c>
      <c r="D406" s="259">
        <v>13</v>
      </c>
      <c r="E406" s="259">
        <v>13</v>
      </c>
      <c r="F406" s="259">
        <v>13</v>
      </c>
      <c r="G406" s="259">
        <v>13</v>
      </c>
      <c r="H406" s="259">
        <v>13</v>
      </c>
      <c r="I406" s="259">
        <v>13</v>
      </c>
      <c r="J406" s="259">
        <f>I409</f>
        <v>13</v>
      </c>
      <c r="K406" s="259">
        <f>J409</f>
        <v>13</v>
      </c>
      <c r="L406" s="259">
        <f>K409</f>
        <v>13</v>
      </c>
      <c r="M406" s="259">
        <f>L409</f>
        <v>13</v>
      </c>
      <c r="N406" s="259">
        <f>M409</f>
        <v>13</v>
      </c>
    </row>
    <row r="407" spans="1:14">
      <c r="A407" s="231" t="s">
        <v>91</v>
      </c>
      <c r="B407" s="259"/>
      <c r="C407" s="259"/>
      <c r="D407" s="259"/>
      <c r="E407" s="259"/>
      <c r="F407" s="259"/>
      <c r="G407" s="259"/>
      <c r="H407" s="259"/>
      <c r="I407" s="259"/>
      <c r="J407" s="259"/>
      <c r="K407" s="259"/>
      <c r="L407" s="259"/>
      <c r="M407" s="259"/>
      <c r="N407" s="259">
        <f>SUM(B407:M407)/12</f>
        <v>0</v>
      </c>
    </row>
    <row r="408" spans="1:14">
      <c r="A408" s="231" t="s">
        <v>92</v>
      </c>
      <c r="B408" s="259"/>
      <c r="C408" s="259"/>
      <c r="D408" s="259"/>
      <c r="E408" s="259"/>
      <c r="F408" s="259"/>
      <c r="G408" s="259"/>
      <c r="H408" s="259"/>
      <c r="I408" s="259"/>
      <c r="J408" s="259"/>
      <c r="K408" s="259"/>
      <c r="L408" s="259"/>
      <c r="M408" s="259"/>
      <c r="N408" s="259">
        <f>SUM(B407:M407)/12</f>
        <v>0</v>
      </c>
    </row>
    <row r="409" spans="1:14">
      <c r="A409" s="231" t="s">
        <v>89</v>
      </c>
      <c r="B409" s="259">
        <f t="shared" ref="B409:M409" si="103">SUM(B406+B407-B408)</f>
        <v>13</v>
      </c>
      <c r="C409" s="259">
        <f t="shared" si="103"/>
        <v>13</v>
      </c>
      <c r="D409" s="259">
        <f t="shared" si="103"/>
        <v>13</v>
      </c>
      <c r="E409" s="259">
        <f t="shared" si="103"/>
        <v>13</v>
      </c>
      <c r="F409" s="259">
        <f t="shared" si="103"/>
        <v>13</v>
      </c>
      <c r="G409" s="259">
        <f t="shared" si="103"/>
        <v>13</v>
      </c>
      <c r="H409" s="259">
        <f t="shared" si="103"/>
        <v>13</v>
      </c>
      <c r="I409" s="259">
        <f t="shared" si="103"/>
        <v>13</v>
      </c>
      <c r="J409" s="259">
        <f t="shared" si="103"/>
        <v>13</v>
      </c>
      <c r="K409" s="259">
        <f t="shared" si="103"/>
        <v>13</v>
      </c>
      <c r="L409" s="259">
        <f t="shared" si="103"/>
        <v>13</v>
      </c>
      <c r="M409" s="259">
        <f t="shared" si="103"/>
        <v>13</v>
      </c>
      <c r="N409" s="259">
        <f>SUM(B408:M408)/12</f>
        <v>0</v>
      </c>
    </row>
    <row r="410" spans="1:14">
      <c r="A410" s="231" t="s">
        <v>93</v>
      </c>
      <c r="B410" s="260">
        <f t="shared" ref="B410:M410" si="104">SUM(B409*100)/B406-100</f>
        <v>0</v>
      </c>
      <c r="C410" s="260">
        <f t="shared" si="104"/>
        <v>0</v>
      </c>
      <c r="D410" s="260">
        <f t="shared" si="104"/>
        <v>0</v>
      </c>
      <c r="E410" s="260">
        <f t="shared" si="104"/>
        <v>0</v>
      </c>
      <c r="F410" s="260">
        <f t="shared" si="104"/>
        <v>0</v>
      </c>
      <c r="G410" s="260">
        <f t="shared" si="104"/>
        <v>0</v>
      </c>
      <c r="H410" s="260">
        <f t="shared" si="104"/>
        <v>0</v>
      </c>
      <c r="I410" s="260">
        <f t="shared" si="104"/>
        <v>0</v>
      </c>
      <c r="J410" s="260">
        <f t="shared" si="104"/>
        <v>0</v>
      </c>
      <c r="K410" s="260">
        <f t="shared" si="104"/>
        <v>0</v>
      </c>
      <c r="L410" s="260">
        <f t="shared" si="104"/>
        <v>0</v>
      </c>
      <c r="M410" s="260">
        <f t="shared" si="104"/>
        <v>0</v>
      </c>
      <c r="N410" s="259"/>
    </row>
    <row r="411" spans="1:14">
      <c r="A411" s="243" t="s">
        <v>94</v>
      </c>
      <c r="B411" s="261"/>
      <c r="C411" s="261"/>
      <c r="D411" s="262">
        <f>SUM(B410:D410/3)</f>
        <v>0</v>
      </c>
      <c r="E411" s="261"/>
      <c r="F411" s="261"/>
      <c r="G411" s="262">
        <f>SUM(E410:G410)/3</f>
        <v>0</v>
      </c>
      <c r="H411" s="261"/>
      <c r="I411" s="261"/>
      <c r="J411" s="262">
        <f>SUM(H410:J410)/3</f>
        <v>0</v>
      </c>
      <c r="K411" s="261"/>
      <c r="L411" s="261"/>
      <c r="M411" s="262">
        <f>SUM(K410:M410)/3</f>
        <v>0</v>
      </c>
      <c r="N411" s="261"/>
    </row>
    <row r="412" spans="1:14" ht="13.5" thickBot="1">
      <c r="A412" s="372"/>
      <c r="B412" s="373"/>
      <c r="C412" s="373"/>
      <c r="D412" s="373"/>
      <c r="E412" s="373"/>
      <c r="F412" s="373"/>
      <c r="G412" s="373"/>
      <c r="H412" s="373"/>
      <c r="I412" s="373"/>
      <c r="J412" s="373"/>
      <c r="K412" s="373"/>
      <c r="L412" s="373"/>
      <c r="M412" s="373"/>
      <c r="N412" s="374"/>
    </row>
    <row r="413" spans="1:14">
      <c r="A413" s="243"/>
      <c r="B413" s="244"/>
      <c r="C413" s="244"/>
      <c r="D413" s="244"/>
      <c r="E413" s="244"/>
      <c r="F413" s="244"/>
      <c r="G413" s="244"/>
      <c r="H413" s="244"/>
      <c r="I413" s="244"/>
      <c r="J413" s="244"/>
      <c r="K413" s="244"/>
      <c r="L413" s="244"/>
      <c r="M413" s="244"/>
      <c r="N413" s="227"/>
    </row>
    <row r="414" spans="1:14" ht="15.75">
      <c r="A414" s="403" t="s">
        <v>228</v>
      </c>
      <c r="B414" s="403"/>
      <c r="C414" s="403"/>
      <c r="D414" s="403"/>
      <c r="E414" s="403"/>
      <c r="F414" s="403"/>
      <c r="G414" s="403"/>
      <c r="H414" s="403"/>
      <c r="I414" s="403"/>
      <c r="J414" s="403"/>
      <c r="K414" s="403"/>
      <c r="L414" s="403"/>
      <c r="M414" s="403"/>
      <c r="N414" s="403"/>
    </row>
    <row r="415" spans="1:14" ht="15.75">
      <c r="E415" s="282"/>
      <c r="M415" s="244"/>
      <c r="N415" s="227"/>
    </row>
    <row r="416" spans="1:14">
      <c r="A416" s="376" t="s">
        <v>185</v>
      </c>
      <c r="B416" s="377"/>
      <c r="C416" s="378"/>
      <c r="D416" s="292" t="s">
        <v>186</v>
      </c>
      <c r="G416" s="299"/>
      <c r="K416" s="299"/>
      <c r="M416" s="244"/>
      <c r="N416" s="227"/>
    </row>
    <row r="417" spans="1:14">
      <c r="A417" s="379"/>
      <c r="B417" s="380"/>
      <c r="C417" s="381"/>
      <c r="D417" s="290"/>
      <c r="E417" s="291"/>
      <c r="G417" s="494"/>
      <c r="H417" s="494"/>
      <c r="I417" s="494"/>
      <c r="J417" s="494"/>
      <c r="K417" s="494"/>
      <c r="M417" s="244"/>
      <c r="N417" s="227"/>
    </row>
    <row r="418" spans="1:14" ht="13.5" thickBot="1">
      <c r="A418" s="387"/>
      <c r="C418" s="388"/>
      <c r="D418" s="290"/>
      <c r="E418" s="291"/>
      <c r="H418" s="404"/>
      <c r="K418" s="291"/>
      <c r="L418" s="320"/>
      <c r="M418" s="244"/>
      <c r="N418" s="227"/>
    </row>
    <row r="419" spans="1:14" ht="13.5" thickBot="1">
      <c r="A419" s="294" t="s">
        <v>167</v>
      </c>
      <c r="B419" s="296"/>
      <c r="C419" s="389"/>
      <c r="D419" s="488">
        <v>5649000</v>
      </c>
      <c r="E419" s="291"/>
      <c r="H419" s="404"/>
      <c r="K419" s="291"/>
      <c r="L419" s="320"/>
      <c r="M419" s="244"/>
      <c r="N419" s="227"/>
    </row>
    <row r="420" spans="1:14">
      <c r="A420" s="390" t="s">
        <v>168</v>
      </c>
      <c r="B420" s="391"/>
      <c r="C420" s="392"/>
      <c r="D420" s="393">
        <f>D419/12</f>
        <v>470750</v>
      </c>
      <c r="E420" s="291"/>
      <c r="K420" s="300"/>
      <c r="L420" s="320"/>
      <c r="M420" s="244"/>
      <c r="N420" s="227"/>
    </row>
    <row r="421" spans="1:14">
      <c r="C421" s="394"/>
      <c r="E421" s="291"/>
      <c r="J421" s="394"/>
      <c r="K421" s="300"/>
      <c r="L421" s="517"/>
      <c r="M421" s="244"/>
      <c r="N421" s="227"/>
    </row>
    <row r="422" spans="1:14">
      <c r="A422" s="258" t="s">
        <v>113</v>
      </c>
      <c r="B422" s="244"/>
      <c r="C422" s="244"/>
      <c r="D422" s="244"/>
      <c r="E422" s="244"/>
      <c r="F422" s="244"/>
      <c r="G422" s="244"/>
      <c r="H422" s="244"/>
      <c r="I422" s="244"/>
      <c r="J422" s="244"/>
      <c r="K422" s="244"/>
      <c r="L422" s="244"/>
      <c r="M422" s="244"/>
      <c r="N422" s="227"/>
    </row>
    <row r="423" spans="1:14">
      <c r="A423" s="328"/>
      <c r="B423" s="232" t="s">
        <v>44</v>
      </c>
      <c r="C423" s="232" t="s">
        <v>45</v>
      </c>
      <c r="D423" s="232" t="s">
        <v>46</v>
      </c>
      <c r="E423" s="232" t="s">
        <v>47</v>
      </c>
      <c r="F423" s="232" t="s">
        <v>48</v>
      </c>
      <c r="G423" s="232" t="s">
        <v>49</v>
      </c>
      <c r="H423" s="232" t="s">
        <v>38</v>
      </c>
      <c r="I423" s="232" t="s">
        <v>39</v>
      </c>
      <c r="J423" s="232" t="s">
        <v>40</v>
      </c>
      <c r="K423" s="232" t="s">
        <v>41</v>
      </c>
      <c r="L423" s="232" t="s">
        <v>42</v>
      </c>
      <c r="M423" s="232" t="s">
        <v>43</v>
      </c>
      <c r="N423" s="228"/>
    </row>
    <row r="424" spans="1:14">
      <c r="A424" s="231" t="s">
        <v>208</v>
      </c>
      <c r="B424" s="329">
        <f t="shared" ref="B424:M424" si="105">$D$420</f>
        <v>470750</v>
      </c>
      <c r="C424" s="329">
        <f t="shared" si="105"/>
        <v>470750</v>
      </c>
      <c r="D424" s="329">
        <f t="shared" si="105"/>
        <v>470750</v>
      </c>
      <c r="E424" s="329">
        <f t="shared" si="105"/>
        <v>470750</v>
      </c>
      <c r="F424" s="329">
        <f t="shared" si="105"/>
        <v>470750</v>
      </c>
      <c r="G424" s="329">
        <f t="shared" si="105"/>
        <v>470750</v>
      </c>
      <c r="H424" s="329">
        <f t="shared" si="105"/>
        <v>470750</v>
      </c>
      <c r="I424" s="329">
        <f t="shared" si="105"/>
        <v>470750</v>
      </c>
      <c r="J424" s="329">
        <f t="shared" si="105"/>
        <v>470750</v>
      </c>
      <c r="K424" s="329">
        <f t="shared" si="105"/>
        <v>470750</v>
      </c>
      <c r="L424" s="329">
        <f t="shared" si="105"/>
        <v>470750</v>
      </c>
      <c r="M424" s="329">
        <f t="shared" si="105"/>
        <v>470750</v>
      </c>
      <c r="N424" s="329">
        <f t="shared" ref="N424:N436" si="106">SUM(B424:M424)</f>
        <v>5649000</v>
      </c>
    </row>
    <row r="425" spans="1:14" ht="13.5" thickBot="1">
      <c r="A425" s="231"/>
      <c r="B425" s="329">
        <v>0</v>
      </c>
      <c r="C425" s="329">
        <v>0</v>
      </c>
      <c r="D425" s="329"/>
      <c r="E425" s="329"/>
      <c r="F425" s="329"/>
      <c r="G425" s="358"/>
      <c r="H425" s="329"/>
      <c r="I425" s="329"/>
      <c r="J425" s="329"/>
      <c r="K425" s="329"/>
      <c r="L425" s="329"/>
      <c r="M425" s="329"/>
      <c r="N425" s="329">
        <f t="shared" si="106"/>
        <v>0</v>
      </c>
    </row>
    <row r="426" spans="1:14" ht="13.5" thickBot="1">
      <c r="A426" s="333" t="s">
        <v>208</v>
      </c>
      <c r="B426" s="395">
        <f t="shared" ref="B426:M426" si="107">SUM(B424,B425)</f>
        <v>470750</v>
      </c>
      <c r="C426" s="395">
        <f t="shared" si="107"/>
        <v>470750</v>
      </c>
      <c r="D426" s="395">
        <f t="shared" si="107"/>
        <v>470750</v>
      </c>
      <c r="E426" s="395">
        <f t="shared" si="107"/>
        <v>470750</v>
      </c>
      <c r="F426" s="395">
        <f t="shared" si="107"/>
        <v>470750</v>
      </c>
      <c r="G426" s="395">
        <f t="shared" si="107"/>
        <v>470750</v>
      </c>
      <c r="H426" s="395">
        <f t="shared" si="107"/>
        <v>470750</v>
      </c>
      <c r="I426" s="395">
        <f t="shared" si="107"/>
        <v>470750</v>
      </c>
      <c r="J426" s="395">
        <f t="shared" si="107"/>
        <v>470750</v>
      </c>
      <c r="K426" s="395">
        <f t="shared" si="107"/>
        <v>470750</v>
      </c>
      <c r="L426" s="395">
        <f t="shared" si="107"/>
        <v>470750</v>
      </c>
      <c r="M426" s="395">
        <f t="shared" si="107"/>
        <v>470750</v>
      </c>
      <c r="N426" s="706">
        <f t="shared" si="106"/>
        <v>5649000</v>
      </c>
    </row>
    <row r="427" spans="1:14">
      <c r="A427" s="228" t="s">
        <v>209</v>
      </c>
      <c r="B427" s="329"/>
      <c r="C427" s="329"/>
      <c r="D427" s="329"/>
      <c r="E427" s="329"/>
      <c r="F427" s="329"/>
      <c r="G427" s="329"/>
      <c r="H427" s="329"/>
      <c r="I427" s="329"/>
      <c r="J427" s="329"/>
      <c r="K427" s="329"/>
      <c r="L427" s="329"/>
      <c r="M427" s="329"/>
      <c r="N427" s="329">
        <f t="shared" si="106"/>
        <v>0</v>
      </c>
    </row>
    <row r="428" spans="1:14">
      <c r="A428" s="349" t="s">
        <v>210</v>
      </c>
      <c r="B428" s="329">
        <v>5000</v>
      </c>
      <c r="C428" s="329"/>
      <c r="D428" s="329">
        <v>10000</v>
      </c>
      <c r="E428" s="329"/>
      <c r="F428" s="329"/>
      <c r="G428" s="329"/>
      <c r="H428" s="329"/>
      <c r="I428" s="329">
        <v>10000</v>
      </c>
      <c r="J428" s="329"/>
      <c r="K428" s="329"/>
      <c r="L428" s="329">
        <v>10000</v>
      </c>
      <c r="M428" s="329">
        <v>5000</v>
      </c>
      <c r="N428" s="329">
        <f t="shared" si="106"/>
        <v>40000</v>
      </c>
    </row>
    <row r="429" spans="1:14">
      <c r="A429" s="349" t="s">
        <v>211</v>
      </c>
      <c r="B429" s="329">
        <v>117300</v>
      </c>
      <c r="C429" s="329">
        <v>44350</v>
      </c>
      <c r="D429" s="329">
        <v>58350</v>
      </c>
      <c r="E429" s="329">
        <v>31125</v>
      </c>
      <c r="F429" s="329">
        <v>49950</v>
      </c>
      <c r="G429" s="329">
        <v>52975</v>
      </c>
      <c r="H429" s="329">
        <v>1600</v>
      </c>
      <c r="I429" s="329">
        <v>38970</v>
      </c>
      <c r="J429" s="329">
        <v>48325</v>
      </c>
      <c r="K429" s="329">
        <v>61325</v>
      </c>
      <c r="L429" s="329">
        <v>49425</v>
      </c>
      <c r="M429" s="329">
        <v>61800</v>
      </c>
      <c r="N429" s="329">
        <f t="shared" si="106"/>
        <v>615495</v>
      </c>
    </row>
    <row r="430" spans="1:14" ht="13.5" thickBot="1">
      <c r="A430" s="359" t="s">
        <v>208</v>
      </c>
      <c r="B430" s="357"/>
      <c r="C430" s="357"/>
      <c r="D430" s="357"/>
      <c r="E430" s="357"/>
      <c r="F430" s="357"/>
      <c r="G430" s="357"/>
      <c r="H430" s="357"/>
      <c r="I430" s="357"/>
      <c r="J430" s="357"/>
      <c r="K430" s="357"/>
      <c r="L430" s="357"/>
      <c r="M430" s="357"/>
      <c r="N430" s="329">
        <f t="shared" si="106"/>
        <v>0</v>
      </c>
    </row>
    <row r="431" spans="1:14" ht="13.5" thickBot="1">
      <c r="A431" s="360" t="s">
        <v>126</v>
      </c>
      <c r="B431" s="334">
        <f t="shared" ref="B431:M431" si="108">SUM(B427:B430)</f>
        <v>122300</v>
      </c>
      <c r="C431" s="334">
        <f t="shared" si="108"/>
        <v>44350</v>
      </c>
      <c r="D431" s="334">
        <f t="shared" si="108"/>
        <v>68350</v>
      </c>
      <c r="E431" s="334">
        <f t="shared" si="108"/>
        <v>31125</v>
      </c>
      <c r="F431" s="334">
        <f t="shared" si="108"/>
        <v>49950</v>
      </c>
      <c r="G431" s="334">
        <f t="shared" si="108"/>
        <v>52975</v>
      </c>
      <c r="H431" s="334">
        <f t="shared" si="108"/>
        <v>1600</v>
      </c>
      <c r="I431" s="334">
        <f t="shared" si="108"/>
        <v>48970</v>
      </c>
      <c r="J431" s="334">
        <f t="shared" si="108"/>
        <v>48325</v>
      </c>
      <c r="K431" s="334">
        <f t="shared" si="108"/>
        <v>61325</v>
      </c>
      <c r="L431" s="334">
        <f t="shared" si="108"/>
        <v>59425</v>
      </c>
      <c r="M431" s="334">
        <f t="shared" si="108"/>
        <v>66800</v>
      </c>
      <c r="N431" s="334">
        <f t="shared" si="106"/>
        <v>655495</v>
      </c>
    </row>
    <row r="432" spans="1:14">
      <c r="A432" s="228" t="s">
        <v>127</v>
      </c>
      <c r="B432" s="331"/>
      <c r="C432" s="331"/>
      <c r="D432" s="331"/>
      <c r="E432" s="331"/>
      <c r="F432" s="331"/>
      <c r="G432" s="707"/>
      <c r="H432" s="331"/>
      <c r="I432" s="331"/>
      <c r="J432" s="331"/>
      <c r="K432" s="331"/>
      <c r="L432" s="331"/>
      <c r="M432" s="331"/>
      <c r="N432" s="329">
        <f t="shared" si="106"/>
        <v>0</v>
      </c>
    </row>
    <row r="433" spans="1:14">
      <c r="A433" s="363" t="s">
        <v>129</v>
      </c>
      <c r="B433" s="399">
        <f t="shared" ref="B433:M433" si="109">SUM(B426+B431)</f>
        <v>593050</v>
      </c>
      <c r="C433" s="399">
        <f t="shared" si="109"/>
        <v>515100</v>
      </c>
      <c r="D433" s="399">
        <f t="shared" si="109"/>
        <v>539100</v>
      </c>
      <c r="E433" s="399">
        <f t="shared" si="109"/>
        <v>501875</v>
      </c>
      <c r="F433" s="399">
        <f t="shared" si="109"/>
        <v>520700</v>
      </c>
      <c r="G433" s="399">
        <f t="shared" si="109"/>
        <v>523725</v>
      </c>
      <c r="H433" s="399">
        <f t="shared" si="109"/>
        <v>472350</v>
      </c>
      <c r="I433" s="399">
        <f t="shared" si="109"/>
        <v>519720</v>
      </c>
      <c r="J433" s="399">
        <f t="shared" si="109"/>
        <v>519075</v>
      </c>
      <c r="K433" s="399">
        <f t="shared" si="109"/>
        <v>532075</v>
      </c>
      <c r="L433" s="399">
        <f t="shared" si="109"/>
        <v>530175</v>
      </c>
      <c r="M433" s="399">
        <f t="shared" si="109"/>
        <v>537550</v>
      </c>
      <c r="N433" s="399">
        <f t="shared" si="106"/>
        <v>6304495</v>
      </c>
    </row>
    <row r="434" spans="1:14">
      <c r="A434" s="400" t="s">
        <v>131</v>
      </c>
      <c r="B434" s="331">
        <v>471518</v>
      </c>
      <c r="C434" s="331">
        <v>495676</v>
      </c>
      <c r="D434" s="331">
        <v>480123</v>
      </c>
      <c r="E434" s="331">
        <v>563595</v>
      </c>
      <c r="F434" s="331">
        <v>493160</v>
      </c>
      <c r="G434" s="331">
        <v>250000</v>
      </c>
      <c r="H434" s="331">
        <v>776280</v>
      </c>
      <c r="I434" s="331">
        <v>475479</v>
      </c>
      <c r="J434" s="331">
        <v>500000</v>
      </c>
      <c r="K434" s="331">
        <v>500000</v>
      </c>
      <c r="L434" s="331">
        <v>500000</v>
      </c>
      <c r="M434" s="331">
        <v>500000</v>
      </c>
      <c r="N434" s="331">
        <f t="shared" si="106"/>
        <v>6005831</v>
      </c>
    </row>
    <row r="435" spans="1:14">
      <c r="A435" s="228" t="s">
        <v>130</v>
      </c>
      <c r="B435" s="329">
        <v>75000</v>
      </c>
      <c r="C435" s="329">
        <v>75000</v>
      </c>
      <c r="D435" s="329">
        <v>75000</v>
      </c>
      <c r="E435" s="329">
        <v>75000</v>
      </c>
      <c r="F435" s="329">
        <v>75000</v>
      </c>
      <c r="G435" s="329">
        <v>75000</v>
      </c>
      <c r="H435" s="329">
        <v>75000</v>
      </c>
      <c r="I435" s="329">
        <v>75000</v>
      </c>
      <c r="J435" s="329">
        <v>75000</v>
      </c>
      <c r="K435" s="329">
        <v>75000</v>
      </c>
      <c r="L435" s="329">
        <v>75000</v>
      </c>
      <c r="M435" s="329">
        <v>75000</v>
      </c>
      <c r="N435" s="331">
        <f t="shared" si="106"/>
        <v>900000</v>
      </c>
    </row>
    <row r="436" spans="1:14">
      <c r="A436" s="228" t="s">
        <v>212</v>
      </c>
      <c r="B436" s="329"/>
      <c r="C436" s="329"/>
      <c r="D436" s="329"/>
      <c r="E436" s="329"/>
      <c r="F436" s="329"/>
      <c r="G436" s="329"/>
      <c r="H436" s="329"/>
      <c r="I436" s="329"/>
      <c r="J436" s="329"/>
      <c r="K436" s="329"/>
      <c r="L436" s="329"/>
      <c r="M436" s="329"/>
      <c r="N436" s="331">
        <f t="shared" si="106"/>
        <v>0</v>
      </c>
    </row>
    <row r="437" spans="1:14">
      <c r="A437" s="367" t="s">
        <v>146</v>
      </c>
      <c r="B437" s="368">
        <f>B433-SUM(B434:B436)</f>
        <v>46532</v>
      </c>
      <c r="C437" s="368">
        <f t="shared" ref="C437:N437" si="110">C433-SUM(C434:C436)</f>
        <v>-55576</v>
      </c>
      <c r="D437" s="368">
        <f t="shared" si="110"/>
        <v>-16023</v>
      </c>
      <c r="E437" s="368">
        <f t="shared" si="110"/>
        <v>-136720</v>
      </c>
      <c r="F437" s="368">
        <f t="shared" si="110"/>
        <v>-47460</v>
      </c>
      <c r="G437" s="368">
        <f t="shared" si="110"/>
        <v>198725</v>
      </c>
      <c r="H437" s="368">
        <f t="shared" si="110"/>
        <v>-378930</v>
      </c>
      <c r="I437" s="368">
        <f t="shared" si="110"/>
        <v>-30759</v>
      </c>
      <c r="J437" s="368">
        <f t="shared" si="110"/>
        <v>-55925</v>
      </c>
      <c r="K437" s="368">
        <f t="shared" si="110"/>
        <v>-42925</v>
      </c>
      <c r="L437" s="368">
        <f t="shared" si="110"/>
        <v>-44825</v>
      </c>
      <c r="M437" s="368">
        <f t="shared" si="110"/>
        <v>-37450</v>
      </c>
      <c r="N437" s="368">
        <f t="shared" si="110"/>
        <v>-601336</v>
      </c>
    </row>
    <row r="438" spans="1:14">
      <c r="A438" s="406"/>
      <c r="B438" s="407"/>
      <c r="C438" s="407"/>
      <c r="D438" s="407"/>
      <c r="E438" s="407"/>
      <c r="F438" s="407"/>
      <c r="G438" s="407"/>
      <c r="H438" s="407"/>
      <c r="I438" s="407"/>
      <c r="J438" s="407"/>
      <c r="K438" s="407"/>
      <c r="L438" s="407"/>
      <c r="M438" s="407"/>
      <c r="N438" s="407"/>
    </row>
    <row r="440" spans="1:14">
      <c r="A440" s="525" t="s">
        <v>213</v>
      </c>
      <c r="B440" s="226">
        <v>2405</v>
      </c>
    </row>
  </sheetData>
  <mergeCells count="7">
    <mergeCell ref="A375:N375"/>
    <mergeCell ref="A1:N1"/>
    <mergeCell ref="A57:N57"/>
    <mergeCell ref="A144:N144"/>
    <mergeCell ref="A203:N203"/>
    <mergeCell ref="A356:N356"/>
    <mergeCell ref="A279:N279"/>
  </mergeCells>
  <pageMargins left="0.19685039370078741" right="0" top="0.19685039370078741" bottom="0.19685039370078741" header="0.51181102362204722" footer="0.51181102362204722"/>
  <pageSetup paperSize="9" scale="10" orientation="landscape" horizontalDpi="4294967293" r:id="rId1"/>
  <headerFooter alignWithMargins="0"/>
  <ignoredErrors>
    <ignoredError sqref="O141 O275" formula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46">
    <tabColor indexed="39"/>
    <pageSetUpPr fitToPage="1"/>
  </sheetPr>
  <dimension ref="A1:Q358"/>
  <sheetViews>
    <sheetView topLeftCell="A145" zoomScale="77" zoomScaleNormal="77" workbookViewId="0" xr3:uid="{65FA3815-DCC1-5481-872F-D2879ED395ED}">
      <selection activeCell="N184" sqref="N184"/>
    </sheetView>
  </sheetViews>
  <sheetFormatPr defaultColWidth="9.140625" defaultRowHeight="12.75"/>
  <cols>
    <col min="1" max="1" width="23.85546875" style="226" customWidth="1"/>
    <col min="2" max="2" width="11.140625" style="226" customWidth="1"/>
    <col min="3" max="3" width="11.7109375" style="226" customWidth="1"/>
    <col min="4" max="4" width="14.140625" style="226" customWidth="1"/>
    <col min="5" max="5" width="11.7109375" style="226" customWidth="1"/>
    <col min="6" max="6" width="14" style="226" customWidth="1"/>
    <col min="7" max="7" width="11.140625" style="226" customWidth="1"/>
    <col min="8" max="8" width="12.28515625" style="226" customWidth="1"/>
    <col min="9" max="9" width="13" style="226" customWidth="1"/>
    <col min="10" max="10" width="12.5703125" style="226" customWidth="1"/>
    <col min="11" max="11" width="12.140625" style="226" customWidth="1"/>
    <col min="12" max="12" width="11.140625" style="226" customWidth="1"/>
    <col min="13" max="13" width="20" style="226" customWidth="1"/>
    <col min="14" max="14" width="15.5703125" style="226" customWidth="1"/>
    <col min="15" max="16384" width="9.140625" style="226"/>
  </cols>
  <sheetData>
    <row r="1" spans="1:14" ht="20.25">
      <c r="A1" s="822" t="s">
        <v>252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</row>
    <row r="2" spans="1:14">
      <c r="A2" s="227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</row>
    <row r="3" spans="1:14">
      <c r="A3" s="228"/>
      <c r="B3" s="229" t="s">
        <v>44</v>
      </c>
      <c r="C3" s="229" t="s">
        <v>45</v>
      </c>
      <c r="D3" s="230" t="s">
        <v>46</v>
      </c>
      <c r="E3" s="229" t="s">
        <v>47</v>
      </c>
      <c r="F3" s="229" t="s">
        <v>48</v>
      </c>
      <c r="G3" s="230" t="s">
        <v>49</v>
      </c>
      <c r="H3" s="229" t="s">
        <v>38</v>
      </c>
      <c r="I3" s="229" t="s">
        <v>39</v>
      </c>
      <c r="J3" s="229" t="s">
        <v>40</v>
      </c>
      <c r="K3" s="229" t="s">
        <v>41</v>
      </c>
      <c r="L3" s="229" t="s">
        <v>42</v>
      </c>
      <c r="M3" s="229" t="s">
        <v>43</v>
      </c>
      <c r="N3" s="228" t="s">
        <v>64</v>
      </c>
    </row>
    <row r="4" spans="1:14">
      <c r="A4" s="231" t="s">
        <v>65</v>
      </c>
      <c r="B4" s="620">
        <v>8818.15</v>
      </c>
      <c r="C4" s="620">
        <v>8497.49</v>
      </c>
      <c r="D4" s="620">
        <v>8818.15</v>
      </c>
      <c r="E4" s="620">
        <v>8818.15</v>
      </c>
      <c r="F4" s="620">
        <v>8978.48</v>
      </c>
      <c r="G4" s="620">
        <v>9138.81</v>
      </c>
      <c r="H4" s="620">
        <v>8978.48</v>
      </c>
      <c r="I4" s="620">
        <v>8978.48</v>
      </c>
      <c r="J4" s="620">
        <v>8657.82</v>
      </c>
      <c r="K4" s="620">
        <v>8818.15</v>
      </c>
      <c r="L4" s="620">
        <v>6894</v>
      </c>
      <c r="M4" s="620">
        <v>6894</v>
      </c>
      <c r="N4" s="620">
        <f t="shared" ref="N4:N16" si="0">SUM(B4:M4)</f>
        <v>102290.15999999997</v>
      </c>
    </row>
    <row r="5" spans="1:14">
      <c r="A5" s="231" t="s">
        <v>66</v>
      </c>
      <c r="B5" s="620">
        <v>33</v>
      </c>
      <c r="C5" s="620">
        <v>12.5</v>
      </c>
      <c r="D5" s="620">
        <v>23</v>
      </c>
      <c r="E5" s="620">
        <v>12.25</v>
      </c>
      <c r="F5" s="620">
        <v>49.75</v>
      </c>
      <c r="G5" s="621">
        <v>147.25</v>
      </c>
      <c r="H5" s="620"/>
      <c r="I5" s="620">
        <v>138.75</v>
      </c>
      <c r="J5" s="622">
        <v>134.5</v>
      </c>
      <c r="K5" s="620">
        <v>210.75</v>
      </c>
      <c r="L5" s="620">
        <v>112.25</v>
      </c>
      <c r="M5" s="620">
        <v>47</v>
      </c>
      <c r="N5" s="620">
        <f t="shared" si="0"/>
        <v>921</v>
      </c>
    </row>
    <row r="6" spans="1:14">
      <c r="A6" s="231" t="s">
        <v>67</v>
      </c>
      <c r="B6" s="620"/>
      <c r="C6" s="620"/>
      <c r="D6" s="620"/>
      <c r="E6" s="620"/>
      <c r="F6" s="620"/>
      <c r="G6" s="621"/>
      <c r="H6" s="620"/>
      <c r="I6" s="620"/>
      <c r="J6" s="620"/>
      <c r="K6" s="620"/>
      <c r="L6" s="620"/>
      <c r="M6" s="620"/>
      <c r="N6" s="620">
        <f t="shared" si="0"/>
        <v>0</v>
      </c>
    </row>
    <row r="7" spans="1:14">
      <c r="A7" s="231" t="s">
        <v>68</v>
      </c>
      <c r="B7" s="620">
        <v>14.75</v>
      </c>
      <c r="C7" s="620">
        <v>4</v>
      </c>
      <c r="D7" s="620">
        <v>19.25</v>
      </c>
      <c r="E7" s="620">
        <v>8.75</v>
      </c>
      <c r="F7" s="620">
        <v>21.75</v>
      </c>
      <c r="G7" s="621">
        <v>29</v>
      </c>
      <c r="H7" s="620">
        <v>11</v>
      </c>
      <c r="I7" s="620">
        <v>12.75</v>
      </c>
      <c r="J7" s="620">
        <v>13.25</v>
      </c>
      <c r="K7" s="620">
        <v>17</v>
      </c>
      <c r="L7" s="620">
        <v>25.5</v>
      </c>
      <c r="M7" s="620">
        <v>16</v>
      </c>
      <c r="N7" s="620">
        <f t="shared" si="0"/>
        <v>193</v>
      </c>
    </row>
    <row r="8" spans="1:14">
      <c r="A8" s="231" t="s">
        <v>69</v>
      </c>
      <c r="B8" s="620">
        <v>298.75</v>
      </c>
      <c r="C8" s="620">
        <v>675.25</v>
      </c>
      <c r="D8" s="620">
        <v>879</v>
      </c>
      <c r="E8" s="620">
        <v>1501.5</v>
      </c>
      <c r="F8" s="620">
        <v>487.25</v>
      </c>
      <c r="G8" s="621">
        <v>1208.5</v>
      </c>
      <c r="H8" s="620">
        <v>2356</v>
      </c>
      <c r="I8" s="620">
        <v>2091.5</v>
      </c>
      <c r="J8" s="620">
        <v>1189.25</v>
      </c>
      <c r="K8" s="620">
        <v>826.5</v>
      </c>
      <c r="L8" s="620">
        <v>444.25</v>
      </c>
      <c r="M8" s="620">
        <v>495.75</v>
      </c>
      <c r="N8" s="620">
        <f t="shared" si="0"/>
        <v>12453.5</v>
      </c>
    </row>
    <row r="9" spans="1:14">
      <c r="A9" s="231" t="s">
        <v>70</v>
      </c>
      <c r="B9" s="620">
        <v>97.75</v>
      </c>
      <c r="C9" s="620">
        <v>132.5</v>
      </c>
      <c r="D9" s="620">
        <v>216.75</v>
      </c>
      <c r="E9" s="620">
        <v>250</v>
      </c>
      <c r="F9" s="620">
        <v>6</v>
      </c>
      <c r="G9" s="621">
        <v>5</v>
      </c>
      <c r="H9" s="620">
        <v>24.5</v>
      </c>
      <c r="I9" s="620"/>
      <c r="J9" s="620"/>
      <c r="K9" s="620"/>
      <c r="L9" s="620">
        <v>102</v>
      </c>
      <c r="M9" s="620">
        <v>23</v>
      </c>
      <c r="N9" s="620">
        <f t="shared" si="0"/>
        <v>857.5</v>
      </c>
    </row>
    <row r="10" spans="1:14">
      <c r="A10" s="231" t="s">
        <v>71</v>
      </c>
      <c r="B10" s="620">
        <v>307.25</v>
      </c>
      <c r="C10" s="620">
        <v>270.25</v>
      </c>
      <c r="D10" s="620">
        <v>303.5</v>
      </c>
      <c r="E10" s="620">
        <v>303.25</v>
      </c>
      <c r="F10" s="620">
        <v>319</v>
      </c>
      <c r="G10" s="621">
        <v>695.25</v>
      </c>
      <c r="H10" s="620">
        <v>162</v>
      </c>
      <c r="I10" s="620">
        <v>300.5</v>
      </c>
      <c r="J10" s="620">
        <v>551.25</v>
      </c>
      <c r="K10" s="620">
        <v>545.75</v>
      </c>
      <c r="L10" s="620">
        <v>679</v>
      </c>
      <c r="M10" s="620">
        <v>237.25</v>
      </c>
      <c r="N10" s="620">
        <f t="shared" si="0"/>
        <v>4674.25</v>
      </c>
    </row>
    <row r="11" spans="1:14">
      <c r="A11" s="231" t="s">
        <v>72</v>
      </c>
      <c r="B11" s="620">
        <v>23.5</v>
      </c>
      <c r="C11" s="620"/>
      <c r="D11" s="620">
        <v>15.5</v>
      </c>
      <c r="E11" s="620">
        <v>13.5</v>
      </c>
      <c r="F11" s="620"/>
      <c r="G11" s="621">
        <v>7.5</v>
      </c>
      <c r="H11" s="620"/>
      <c r="I11" s="620"/>
      <c r="J11" s="620"/>
      <c r="K11" s="620"/>
      <c r="L11" s="620">
        <v>7.5</v>
      </c>
      <c r="M11" s="620">
        <v>7.5</v>
      </c>
      <c r="N11" s="620">
        <f t="shared" si="0"/>
        <v>75</v>
      </c>
    </row>
    <row r="12" spans="1:14">
      <c r="A12" s="231" t="s">
        <v>73</v>
      </c>
      <c r="B12" s="620">
        <v>494.5</v>
      </c>
      <c r="C12" s="620">
        <v>451.25</v>
      </c>
      <c r="D12" s="620">
        <v>437.75</v>
      </c>
      <c r="E12" s="620">
        <v>345.75</v>
      </c>
      <c r="F12" s="620">
        <v>289.75</v>
      </c>
      <c r="G12" s="621">
        <v>264.5</v>
      </c>
      <c r="H12" s="620">
        <v>275</v>
      </c>
      <c r="I12" s="620">
        <v>181.25</v>
      </c>
      <c r="J12" s="620">
        <v>508.5</v>
      </c>
      <c r="K12" s="620">
        <v>528.75</v>
      </c>
      <c r="L12" s="620">
        <v>353.25</v>
      </c>
      <c r="M12" s="620">
        <v>366.5</v>
      </c>
      <c r="N12" s="620">
        <f t="shared" si="0"/>
        <v>4496.75</v>
      </c>
    </row>
    <row r="13" spans="1:14">
      <c r="A13" s="231" t="s">
        <v>74</v>
      </c>
      <c r="B13" s="620">
        <v>355.25</v>
      </c>
      <c r="C13" s="620">
        <v>272.25</v>
      </c>
      <c r="D13" s="620">
        <v>259</v>
      </c>
      <c r="E13" s="620"/>
      <c r="F13" s="620">
        <v>5</v>
      </c>
      <c r="G13" s="621"/>
      <c r="H13" s="620"/>
      <c r="I13" s="620"/>
      <c r="J13" s="620"/>
      <c r="K13" s="620">
        <v>56</v>
      </c>
      <c r="L13" s="620"/>
      <c r="M13" s="620"/>
      <c r="N13" s="620">
        <f t="shared" si="0"/>
        <v>947.5</v>
      </c>
    </row>
    <row r="14" spans="1:14">
      <c r="A14" s="231" t="s">
        <v>75</v>
      </c>
      <c r="B14" s="620">
        <v>158</v>
      </c>
      <c r="C14" s="620">
        <v>186</v>
      </c>
      <c r="D14" s="620">
        <v>55.5</v>
      </c>
      <c r="E14" s="620">
        <v>44.25</v>
      </c>
      <c r="F14" s="620">
        <v>194.75</v>
      </c>
      <c r="G14" s="621"/>
      <c r="H14" s="620"/>
      <c r="I14" s="620">
        <v>16</v>
      </c>
      <c r="J14" s="620">
        <v>22.25</v>
      </c>
      <c r="K14" s="620">
        <v>24.75</v>
      </c>
      <c r="L14" s="620">
        <v>252.75</v>
      </c>
      <c r="M14" s="620">
        <v>39</v>
      </c>
      <c r="N14" s="620">
        <f t="shared" si="0"/>
        <v>993.25</v>
      </c>
    </row>
    <row r="15" spans="1:14" ht="13.5" thickBot="1">
      <c r="A15" s="235" t="s">
        <v>76</v>
      </c>
      <c r="B15" s="623"/>
      <c r="C15" s="623">
        <v>11</v>
      </c>
      <c r="D15" s="623"/>
      <c r="E15" s="623"/>
      <c r="F15" s="623">
        <v>8</v>
      </c>
      <c r="G15" s="624">
        <v>6.5</v>
      </c>
      <c r="H15" s="623">
        <v>7.75</v>
      </c>
      <c r="I15" s="623">
        <v>12.5</v>
      </c>
      <c r="J15" s="623">
        <v>21.75</v>
      </c>
      <c r="K15" s="623">
        <v>9.75</v>
      </c>
      <c r="L15" s="623">
        <v>7.75</v>
      </c>
      <c r="M15" s="623">
        <v>41.75</v>
      </c>
      <c r="N15" s="625">
        <f t="shared" si="0"/>
        <v>126.75</v>
      </c>
    </row>
    <row r="16" spans="1:14" ht="13.5" thickBot="1">
      <c r="A16" s="239" t="s">
        <v>77</v>
      </c>
      <c r="B16" s="626">
        <f>SUM(B4+B5+B6-B7-B8-B9-B10-B12-B13-B14-B15)</f>
        <v>7124.9</v>
      </c>
      <c r="C16" s="626">
        <f t="shared" ref="C16:M16" si="1">SUM(C4+C5+C6+C7-C8-C9-C10-C12-C13-C14-C15)</f>
        <v>6515.49</v>
      </c>
      <c r="D16" s="626">
        <f t="shared" si="1"/>
        <v>6708.9</v>
      </c>
      <c r="E16" s="626">
        <f t="shared" si="1"/>
        <v>6394.4</v>
      </c>
      <c r="F16" s="626">
        <f t="shared" si="1"/>
        <v>7740.23</v>
      </c>
      <c r="G16" s="626">
        <f t="shared" si="1"/>
        <v>7135.3099999999995</v>
      </c>
      <c r="H16" s="626">
        <f t="shared" si="1"/>
        <v>6164.23</v>
      </c>
      <c r="I16" s="626">
        <f t="shared" si="1"/>
        <v>6528.23</v>
      </c>
      <c r="J16" s="626">
        <f t="shared" si="1"/>
        <v>6512.57</v>
      </c>
      <c r="K16" s="626">
        <f t="shared" si="1"/>
        <v>7054.4</v>
      </c>
      <c r="L16" s="626">
        <f t="shared" si="1"/>
        <v>5192.75</v>
      </c>
      <c r="M16" s="627">
        <f t="shared" si="1"/>
        <v>5753.75</v>
      </c>
      <c r="N16" s="628">
        <f t="shared" si="0"/>
        <v>78825.159999999989</v>
      </c>
    </row>
    <row r="17" spans="1:14">
      <c r="A17" s="243"/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</row>
    <row r="18" spans="1:14">
      <c r="A18" s="243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629" t="s">
        <v>78</v>
      </c>
    </row>
    <row r="19" spans="1:14">
      <c r="A19" s="231" t="s">
        <v>79</v>
      </c>
      <c r="B19" s="620">
        <f t="shared" ref="B19:M19" si="2">SUM(B5*100/B16)</f>
        <v>0.4631643952897585</v>
      </c>
      <c r="C19" s="620">
        <f t="shared" si="2"/>
        <v>0.19185049781367172</v>
      </c>
      <c r="D19" s="620">
        <f t="shared" si="2"/>
        <v>0.34282818345779487</v>
      </c>
      <c r="E19" s="620">
        <f t="shared" si="2"/>
        <v>0.19157387714249971</v>
      </c>
      <c r="F19" s="620">
        <f t="shared" si="2"/>
        <v>0.64274575820098367</v>
      </c>
      <c r="G19" s="620">
        <f t="shared" si="2"/>
        <v>2.0636804848002401</v>
      </c>
      <c r="H19" s="620">
        <f t="shared" si="2"/>
        <v>0</v>
      </c>
      <c r="I19" s="620">
        <f t="shared" si="2"/>
        <v>2.1253846754786521</v>
      </c>
      <c r="J19" s="620">
        <f t="shared" si="2"/>
        <v>2.065236918758647</v>
      </c>
      <c r="K19" s="620">
        <f t="shared" si="2"/>
        <v>2.9874971648899979</v>
      </c>
      <c r="L19" s="620">
        <f t="shared" si="2"/>
        <v>2.1616677097876846</v>
      </c>
      <c r="M19" s="620">
        <f t="shared" si="2"/>
        <v>0.81685857049750166</v>
      </c>
      <c r="N19" s="630">
        <f>SUM(B19:M19)/12</f>
        <v>1.1710406863431193</v>
      </c>
    </row>
    <row r="20" spans="1:14">
      <c r="A20" s="243"/>
      <c r="B20" s="261"/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261"/>
      <c r="N20" s="261"/>
    </row>
    <row r="21" spans="1:14">
      <c r="A21" s="231" t="s">
        <v>80</v>
      </c>
      <c r="B21" s="620">
        <f t="shared" ref="B21:M21" si="3">SUM(B10*100/B16)</f>
        <v>4.3123412258417666</v>
      </c>
      <c r="C21" s="620">
        <f t="shared" si="3"/>
        <v>4.147807762731583</v>
      </c>
      <c r="D21" s="620">
        <f t="shared" si="3"/>
        <v>4.5238414643235112</v>
      </c>
      <c r="E21" s="620">
        <f t="shared" si="3"/>
        <v>4.7424308770173909</v>
      </c>
      <c r="F21" s="620">
        <f t="shared" si="3"/>
        <v>4.1213245601228907</v>
      </c>
      <c r="G21" s="620">
        <f t="shared" si="3"/>
        <v>9.7437952941077555</v>
      </c>
      <c r="H21" s="620">
        <f t="shared" si="3"/>
        <v>2.6280654680308815</v>
      </c>
      <c r="I21" s="620">
        <f t="shared" si="3"/>
        <v>4.6030853692348463</v>
      </c>
      <c r="J21" s="620">
        <f t="shared" si="3"/>
        <v>8.4644003826446408</v>
      </c>
      <c r="K21" s="620">
        <f t="shared" si="3"/>
        <v>7.7363064186890451</v>
      </c>
      <c r="L21" s="620">
        <f t="shared" si="3"/>
        <v>13.075923162101006</v>
      </c>
      <c r="M21" s="620">
        <f t="shared" si="3"/>
        <v>4.1233977840538776</v>
      </c>
      <c r="N21" s="630">
        <f>SUM(B21:M21)/12</f>
        <v>6.0185599807415997</v>
      </c>
    </row>
    <row r="22" spans="1:14" ht="13.5" thickBot="1">
      <c r="A22" s="247" t="s">
        <v>81</v>
      </c>
      <c r="B22" s="625">
        <f t="shared" ref="B22:M22" si="4">SUM(B11*100/B16)</f>
        <v>0.32982919058513105</v>
      </c>
      <c r="C22" s="625">
        <f t="shared" si="4"/>
        <v>0</v>
      </c>
      <c r="D22" s="625">
        <f t="shared" si="4"/>
        <v>0.23103638450416611</v>
      </c>
      <c r="E22" s="625">
        <f t="shared" si="4"/>
        <v>0.21112223195295884</v>
      </c>
      <c r="F22" s="625">
        <f t="shared" si="4"/>
        <v>0</v>
      </c>
      <c r="G22" s="625">
        <f t="shared" si="4"/>
        <v>0.10511106034636197</v>
      </c>
      <c r="H22" s="625">
        <f t="shared" si="4"/>
        <v>0</v>
      </c>
      <c r="I22" s="625">
        <f t="shared" si="4"/>
        <v>0</v>
      </c>
      <c r="J22" s="625">
        <f t="shared" si="4"/>
        <v>0</v>
      </c>
      <c r="K22" s="625">
        <f t="shared" si="4"/>
        <v>0</v>
      </c>
      <c r="L22" s="625">
        <f t="shared" si="4"/>
        <v>0.14443214096576959</v>
      </c>
      <c r="M22" s="625">
        <f t="shared" si="4"/>
        <v>0.1303497718878992</v>
      </c>
      <c r="N22" s="631">
        <f>SUM(B22:M22)/12</f>
        <v>9.5990065020190571E-2</v>
      </c>
    </row>
    <row r="23" spans="1:14" ht="13.5" thickBot="1">
      <c r="A23" s="249" t="s">
        <v>82</v>
      </c>
      <c r="B23" s="632">
        <f t="shared" ref="B23:M23" si="5">SUM(B21:B21)</f>
        <v>4.3123412258417666</v>
      </c>
      <c r="C23" s="632">
        <f t="shared" si="5"/>
        <v>4.147807762731583</v>
      </c>
      <c r="D23" s="632">
        <f t="shared" si="5"/>
        <v>4.5238414643235112</v>
      </c>
      <c r="E23" s="632">
        <f t="shared" si="5"/>
        <v>4.7424308770173909</v>
      </c>
      <c r="F23" s="632">
        <f t="shared" si="5"/>
        <v>4.1213245601228907</v>
      </c>
      <c r="G23" s="632">
        <f t="shared" si="5"/>
        <v>9.7437952941077555</v>
      </c>
      <c r="H23" s="632">
        <f t="shared" si="5"/>
        <v>2.6280654680308815</v>
      </c>
      <c r="I23" s="632">
        <f t="shared" si="5"/>
        <v>4.6030853692348463</v>
      </c>
      <c r="J23" s="632">
        <f t="shared" si="5"/>
        <v>8.4644003826446408</v>
      </c>
      <c r="K23" s="632">
        <f t="shared" si="5"/>
        <v>7.7363064186890451</v>
      </c>
      <c r="L23" s="632">
        <f t="shared" si="5"/>
        <v>13.075923162101006</v>
      </c>
      <c r="M23" s="632">
        <f t="shared" si="5"/>
        <v>4.1233977840538776</v>
      </c>
      <c r="N23" s="633">
        <f>SUM(N21:N22)</f>
        <v>6.1145500457617903</v>
      </c>
    </row>
    <row r="24" spans="1:14">
      <c r="A24" s="243" t="s">
        <v>83</v>
      </c>
      <c r="B24" s="261"/>
      <c r="C24" s="261"/>
      <c r="D24" s="634">
        <f>SUM(B23:D23)/3</f>
        <v>4.3279968176322869</v>
      </c>
      <c r="E24" s="261"/>
      <c r="F24" s="261"/>
      <c r="G24" s="634">
        <f>SUM(E23,F23,G23)/3</f>
        <v>6.2025169104160121</v>
      </c>
      <c r="H24" s="261"/>
      <c r="I24" s="261"/>
      <c r="J24" s="634">
        <f>SUM(H23,I23,J23)/3</f>
        <v>5.2318504066367897</v>
      </c>
      <c r="K24" s="261"/>
      <c r="L24" s="261"/>
      <c r="M24" s="634">
        <f>SUM(K23,L23,M23)/3</f>
        <v>8.311875788281311</v>
      </c>
      <c r="N24" s="635">
        <f>SUM(D24:M24)/4</f>
        <v>6.0185599807415997</v>
      </c>
    </row>
    <row r="25" spans="1:14">
      <c r="A25" s="243" t="s">
        <v>84</v>
      </c>
      <c r="B25" s="261"/>
      <c r="C25" s="261"/>
      <c r="D25" s="262"/>
      <c r="E25" s="261"/>
      <c r="F25" s="261"/>
      <c r="G25" s="262"/>
      <c r="H25" s="261"/>
      <c r="I25" s="261"/>
      <c r="J25" s="262"/>
      <c r="K25" s="261"/>
      <c r="L25" s="261"/>
      <c r="M25" s="262"/>
      <c r="N25" s="630">
        <f>SUM(D25:G25,J25,M25)/4</f>
        <v>0</v>
      </c>
    </row>
    <row r="26" spans="1:14">
      <c r="A26" s="243"/>
      <c r="B26" s="261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</row>
    <row r="27" spans="1:14">
      <c r="A27" s="231" t="s">
        <v>85</v>
      </c>
      <c r="B27" s="620">
        <f t="shared" ref="B27:M27" si="6">B14*100/B16</f>
        <v>2.2175749835085408</v>
      </c>
      <c r="C27" s="620">
        <f t="shared" si="6"/>
        <v>2.8547354074674356</v>
      </c>
      <c r="D27" s="620">
        <f t="shared" si="6"/>
        <v>0.8272593122568529</v>
      </c>
      <c r="E27" s="620">
        <f t="shared" si="6"/>
        <v>0.69201176029025402</v>
      </c>
      <c r="F27" s="620">
        <f t="shared" si="6"/>
        <v>2.5160751037113886</v>
      </c>
      <c r="G27" s="620">
        <f t="shared" si="6"/>
        <v>0</v>
      </c>
      <c r="H27" s="620">
        <f t="shared" si="6"/>
        <v>0</v>
      </c>
      <c r="I27" s="620">
        <f t="shared" si="6"/>
        <v>0.24508940401915988</v>
      </c>
      <c r="J27" s="620">
        <f t="shared" si="6"/>
        <v>0.34164699957159772</v>
      </c>
      <c r="K27" s="620">
        <f t="shared" si="6"/>
        <v>0.35084486278067589</v>
      </c>
      <c r="L27" s="620">
        <f t="shared" si="6"/>
        <v>4.867363150546435</v>
      </c>
      <c r="M27" s="620">
        <f t="shared" si="6"/>
        <v>0.67781881381707587</v>
      </c>
      <c r="N27" s="630">
        <f>SUM(B27:M27)/12</f>
        <v>1.2992016498307846</v>
      </c>
    </row>
    <row r="28" spans="1:14">
      <c r="A28" s="231" t="s">
        <v>86</v>
      </c>
      <c r="B28" s="620">
        <f t="shared" ref="B28:M28" si="7">B12*100/B16</f>
        <v>6.9404482869935018</v>
      </c>
      <c r="C28" s="620">
        <f t="shared" si="7"/>
        <v>6.9258029710735496</v>
      </c>
      <c r="D28" s="620">
        <f t="shared" si="7"/>
        <v>6.5249146655934656</v>
      </c>
      <c r="E28" s="620">
        <f t="shared" si="7"/>
        <v>5.4070749405730014</v>
      </c>
      <c r="F28" s="620">
        <f t="shared" si="7"/>
        <v>3.7434288128388951</v>
      </c>
      <c r="G28" s="620">
        <f t="shared" si="7"/>
        <v>3.7069167282150324</v>
      </c>
      <c r="H28" s="620">
        <f t="shared" si="7"/>
        <v>4.4612222451141506</v>
      </c>
      <c r="I28" s="620">
        <f t="shared" si="7"/>
        <v>2.7764034049045456</v>
      </c>
      <c r="J28" s="620">
        <f t="shared" si="7"/>
        <v>7.8079774958273003</v>
      </c>
      <c r="K28" s="620"/>
      <c r="L28" s="620">
        <f t="shared" si="7"/>
        <v>6.8027538394877469</v>
      </c>
      <c r="M28" s="620">
        <f t="shared" si="7"/>
        <v>6.3697588529220077</v>
      </c>
      <c r="N28" s="630">
        <f>SUM(B28:M28)/12</f>
        <v>5.1222251869619333</v>
      </c>
    </row>
    <row r="29" spans="1:14" ht="13.5" thickBot="1">
      <c r="A29" s="231" t="s">
        <v>87</v>
      </c>
      <c r="B29" s="620">
        <f t="shared" ref="B29:M29" si="8">B8*100/B16</f>
        <v>4.1930413058428888</v>
      </c>
      <c r="C29" s="620">
        <f t="shared" si="8"/>
        <v>10.363763891894546</v>
      </c>
      <c r="D29" s="620">
        <f t="shared" si="8"/>
        <v>13.101998837365292</v>
      </c>
      <c r="E29" s="620">
        <f t="shared" si="8"/>
        <v>23.481483798323534</v>
      </c>
      <c r="F29" s="620">
        <f t="shared" si="8"/>
        <v>6.2950325765513435</v>
      </c>
      <c r="G29" s="620">
        <f t="shared" si="8"/>
        <v>16.93689552381046</v>
      </c>
      <c r="H29" s="620">
        <f t="shared" si="8"/>
        <v>38.220507670868869</v>
      </c>
      <c r="I29" s="620">
        <f t="shared" si="8"/>
        <v>32.037780531629558</v>
      </c>
      <c r="J29" s="620">
        <f t="shared" si="8"/>
        <v>18.260840190585284</v>
      </c>
      <c r="K29" s="620">
        <f t="shared" si="8"/>
        <v>11.716092084372875</v>
      </c>
      <c r="L29" s="620">
        <f t="shared" si="8"/>
        <v>8.5551971498724182</v>
      </c>
      <c r="M29" s="620">
        <f t="shared" si="8"/>
        <v>8.616119921790137</v>
      </c>
      <c r="N29" s="630">
        <f>SUM(B29:M29)/12</f>
        <v>15.981562790242265</v>
      </c>
    </row>
    <row r="30" spans="1:14" ht="13.5" thickBot="1">
      <c r="A30" s="255" t="s">
        <v>88</v>
      </c>
      <c r="B30" s="636">
        <f t="shared" ref="B30:M30" si="9">SUM(B4-B16)*100/B16</f>
        <v>23.765245828011622</v>
      </c>
      <c r="C30" s="636">
        <f t="shared" si="9"/>
        <v>30.41981493333579</v>
      </c>
      <c r="D30" s="636">
        <f t="shared" si="9"/>
        <v>31.439580259058864</v>
      </c>
      <c r="E30" s="636">
        <f t="shared" si="9"/>
        <v>37.904259977480301</v>
      </c>
      <c r="F30" s="636">
        <f t="shared" si="9"/>
        <v>15.997586635022474</v>
      </c>
      <c r="G30" s="636">
        <f t="shared" si="9"/>
        <v>28.078667920524829</v>
      </c>
      <c r="H30" s="636">
        <f t="shared" si="9"/>
        <v>45.654526193863632</v>
      </c>
      <c r="I30" s="636">
        <f t="shared" si="9"/>
        <v>37.533144512371656</v>
      </c>
      <c r="J30" s="636">
        <f t="shared" si="9"/>
        <v>32.940144981167194</v>
      </c>
      <c r="K30" s="636">
        <f t="shared" si="9"/>
        <v>25.002126332501703</v>
      </c>
      <c r="L30" s="636">
        <f t="shared" si="9"/>
        <v>32.762023975735403</v>
      </c>
      <c r="M30" s="636">
        <f t="shared" si="9"/>
        <v>19.817510319356941</v>
      </c>
      <c r="N30" s="637">
        <f>SUM(B30:M30)/12</f>
        <v>30.109552655702533</v>
      </c>
    </row>
    <row r="31" spans="1:14">
      <c r="A31" s="243"/>
      <c r="B31" s="244"/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27"/>
    </row>
    <row r="32" spans="1:14">
      <c r="A32" s="258" t="s">
        <v>89</v>
      </c>
      <c r="B32" s="244"/>
      <c r="C32" s="244"/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27"/>
    </row>
    <row r="33" spans="1:14">
      <c r="A33" s="231" t="s">
        <v>90</v>
      </c>
      <c r="B33" s="259">
        <v>55</v>
      </c>
      <c r="C33" s="259">
        <v>53</v>
      </c>
      <c r="D33" s="259">
        <v>55</v>
      </c>
      <c r="E33" s="259">
        <v>55</v>
      </c>
      <c r="F33" s="259">
        <v>56</v>
      </c>
      <c r="G33" s="259">
        <v>57</v>
      </c>
      <c r="H33" s="259">
        <v>56</v>
      </c>
      <c r="I33" s="259">
        <v>56</v>
      </c>
      <c r="J33" s="259">
        <v>54</v>
      </c>
      <c r="K33" s="259">
        <v>55</v>
      </c>
      <c r="L33" s="259">
        <v>43</v>
      </c>
      <c r="M33" s="259">
        <v>43</v>
      </c>
      <c r="N33" s="259">
        <v>43</v>
      </c>
    </row>
    <row r="34" spans="1:14">
      <c r="A34" s="231" t="s">
        <v>91</v>
      </c>
      <c r="B34" s="259"/>
      <c r="C34" s="259"/>
      <c r="D34" s="259"/>
      <c r="E34" s="259"/>
      <c r="F34" s="259"/>
      <c r="G34" s="259"/>
      <c r="H34" s="259"/>
      <c r="I34" s="259"/>
      <c r="J34" s="259"/>
      <c r="K34" s="259"/>
      <c r="L34" s="259"/>
      <c r="M34" s="259"/>
      <c r="N34" s="259"/>
    </row>
    <row r="35" spans="1:14">
      <c r="A35" s="231" t="s">
        <v>92</v>
      </c>
      <c r="B35" s="259"/>
      <c r="C35" s="259"/>
      <c r="D35" s="259"/>
      <c r="E35" s="259"/>
      <c r="F35" s="259"/>
      <c r="G35" s="259"/>
      <c r="H35" s="259"/>
      <c r="I35" s="259"/>
      <c r="J35" s="259"/>
      <c r="K35" s="259"/>
      <c r="L35" s="259"/>
      <c r="M35" s="259"/>
      <c r="N35" s="259"/>
    </row>
    <row r="36" spans="1:14">
      <c r="A36" s="231" t="s">
        <v>89</v>
      </c>
      <c r="B36" s="259"/>
      <c r="C36" s="259"/>
      <c r="D36" s="259"/>
      <c r="E36" s="259"/>
      <c r="F36" s="259"/>
      <c r="G36" s="259"/>
      <c r="H36" s="259"/>
      <c r="I36" s="259"/>
      <c r="J36" s="259"/>
      <c r="K36" s="259"/>
      <c r="L36" s="259"/>
      <c r="M36" s="259"/>
      <c r="N36" s="259"/>
    </row>
    <row r="37" spans="1:14">
      <c r="A37" s="231" t="s">
        <v>93</v>
      </c>
      <c r="B37" s="260">
        <f t="shared" ref="B37:M37" si="10">SUM(B36*100)/B33-100</f>
        <v>-100</v>
      </c>
      <c r="C37" s="260">
        <f t="shared" si="10"/>
        <v>-100</v>
      </c>
      <c r="D37" s="260">
        <f t="shared" si="10"/>
        <v>-100</v>
      </c>
      <c r="E37" s="260">
        <f t="shared" si="10"/>
        <v>-100</v>
      </c>
      <c r="F37" s="260">
        <f t="shared" si="10"/>
        <v>-100</v>
      </c>
      <c r="G37" s="260">
        <f t="shared" si="10"/>
        <v>-100</v>
      </c>
      <c r="H37" s="260">
        <f t="shared" si="10"/>
        <v>-100</v>
      </c>
      <c r="I37" s="260">
        <f t="shared" si="10"/>
        <v>-100</v>
      </c>
      <c r="J37" s="260">
        <f t="shared" si="10"/>
        <v>-100</v>
      </c>
      <c r="K37" s="260">
        <f t="shared" si="10"/>
        <v>-100</v>
      </c>
      <c r="L37" s="260">
        <f t="shared" si="10"/>
        <v>-100</v>
      </c>
      <c r="M37" s="260">
        <f t="shared" si="10"/>
        <v>-100</v>
      </c>
      <c r="N37" s="259"/>
    </row>
    <row r="38" spans="1:14">
      <c r="A38" s="243" t="s">
        <v>94</v>
      </c>
      <c r="B38" s="261"/>
      <c r="C38" s="261"/>
      <c r="D38" s="262">
        <f>SUM(B37:D37/3)</f>
        <v>-33.333333333333336</v>
      </c>
      <c r="E38" s="261"/>
      <c r="F38" s="261"/>
      <c r="G38" s="262">
        <f>SUM(E37:G37)/3</f>
        <v>-100</v>
      </c>
      <c r="H38" s="261"/>
      <c r="I38" s="261"/>
      <c r="J38" s="262">
        <f>SUM(H37:J37)/3</f>
        <v>-100</v>
      </c>
      <c r="K38" s="261"/>
      <c r="L38" s="261"/>
      <c r="M38" s="262">
        <f>SUM(K37:M37)/3</f>
        <v>-100</v>
      </c>
      <c r="N38" s="261"/>
    </row>
    <row r="39" spans="1:14">
      <c r="A39" s="243"/>
      <c r="B39" s="244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27"/>
    </row>
    <row r="40" spans="1:14" ht="16.5" thickBot="1">
      <c r="E40" s="263" t="s">
        <v>253</v>
      </c>
      <c r="F40" s="264"/>
      <c r="G40" s="265">
        <v>2014</v>
      </c>
    </row>
    <row r="41" spans="1:14">
      <c r="A41" s="266" t="s">
        <v>96</v>
      </c>
      <c r="B41" s="267" t="s">
        <v>44</v>
      </c>
      <c r="C41" s="267" t="s">
        <v>45</v>
      </c>
      <c r="D41" s="267" t="s">
        <v>46</v>
      </c>
      <c r="E41" s="267" t="s">
        <v>47</v>
      </c>
      <c r="F41" s="267" t="s">
        <v>48</v>
      </c>
      <c r="G41" s="267" t="s">
        <v>49</v>
      </c>
      <c r="H41" s="267" t="s">
        <v>38</v>
      </c>
      <c r="I41" s="267" t="s">
        <v>39</v>
      </c>
      <c r="J41" s="267" t="s">
        <v>40</v>
      </c>
      <c r="K41" s="267" t="s">
        <v>41</v>
      </c>
      <c r="L41" s="267" t="s">
        <v>42</v>
      </c>
      <c r="M41" s="267" t="s">
        <v>43</v>
      </c>
      <c r="N41" s="268" t="s">
        <v>64</v>
      </c>
    </row>
    <row r="42" spans="1:14">
      <c r="A42" s="269" t="s">
        <v>97</v>
      </c>
      <c r="B42" s="270">
        <v>63</v>
      </c>
      <c r="C42" s="270">
        <v>52</v>
      </c>
      <c r="D42" s="270">
        <v>43</v>
      </c>
      <c r="E42" s="270">
        <v>66</v>
      </c>
      <c r="F42" s="270">
        <v>46</v>
      </c>
      <c r="G42" s="270">
        <v>54</v>
      </c>
      <c r="H42" s="270">
        <v>30</v>
      </c>
      <c r="I42" s="270">
        <v>57</v>
      </c>
      <c r="J42" s="270">
        <v>64</v>
      </c>
      <c r="K42" s="270">
        <v>77</v>
      </c>
      <c r="L42" s="270">
        <v>44</v>
      </c>
      <c r="M42" s="270">
        <v>41</v>
      </c>
      <c r="N42" s="271">
        <f>SUM(B42:M42)</f>
        <v>637</v>
      </c>
    </row>
    <row r="43" spans="1:14">
      <c r="A43" s="269" t="s">
        <v>98</v>
      </c>
      <c r="B43" s="270">
        <v>3352</v>
      </c>
      <c r="C43" s="270">
        <v>3119</v>
      </c>
      <c r="D43" s="270">
        <v>2140</v>
      </c>
      <c r="E43" s="270">
        <v>3253</v>
      </c>
      <c r="F43" s="270">
        <v>2287</v>
      </c>
      <c r="G43" s="270">
        <v>2181</v>
      </c>
      <c r="H43" s="270">
        <v>1194</v>
      </c>
      <c r="I43" s="270">
        <v>2807</v>
      </c>
      <c r="J43" s="270">
        <v>3043</v>
      </c>
      <c r="K43" s="270">
        <v>3893</v>
      </c>
      <c r="L43" s="270">
        <v>3107</v>
      </c>
      <c r="M43" s="270">
        <v>3194</v>
      </c>
      <c r="N43" s="271">
        <f>SUM(B43:M43)</f>
        <v>33570</v>
      </c>
    </row>
    <row r="44" spans="1:14">
      <c r="A44" s="269" t="s">
        <v>99</v>
      </c>
      <c r="B44" s="270">
        <v>236</v>
      </c>
      <c r="C44" s="270">
        <v>308</v>
      </c>
      <c r="D44" s="270">
        <v>498</v>
      </c>
      <c r="E44" s="270">
        <v>916</v>
      </c>
      <c r="F44" s="270">
        <v>1714</v>
      </c>
      <c r="G44" s="270">
        <v>2630</v>
      </c>
      <c r="H44" s="270">
        <v>2623</v>
      </c>
      <c r="I44" s="270">
        <v>3475</v>
      </c>
      <c r="J44" s="270">
        <v>1876</v>
      </c>
      <c r="K44" s="270">
        <v>1007</v>
      </c>
      <c r="L44" s="270">
        <v>475</v>
      </c>
      <c r="M44" s="270">
        <v>271</v>
      </c>
      <c r="N44" s="271">
        <f>SUM(B44:M44)</f>
        <v>16029</v>
      </c>
    </row>
    <row r="45" spans="1:14">
      <c r="A45" s="269" t="s">
        <v>100</v>
      </c>
      <c r="B45" s="270">
        <v>725</v>
      </c>
      <c r="C45" s="270">
        <v>654</v>
      </c>
      <c r="D45" s="270">
        <v>648</v>
      </c>
      <c r="E45" s="270">
        <v>968</v>
      </c>
      <c r="F45" s="270">
        <v>887</v>
      </c>
      <c r="G45" s="270">
        <v>749</v>
      </c>
      <c r="H45" s="270">
        <v>633</v>
      </c>
      <c r="I45" s="270">
        <v>917</v>
      </c>
      <c r="J45" s="270">
        <v>909</v>
      </c>
      <c r="K45" s="270">
        <v>1174</v>
      </c>
      <c r="L45" s="270">
        <v>809</v>
      </c>
      <c r="M45" s="270">
        <v>766</v>
      </c>
      <c r="N45" s="271">
        <f>SUM(B45:M45)</f>
        <v>9839</v>
      </c>
    </row>
    <row r="46" spans="1:14" ht="13.5" thickBot="1">
      <c r="A46" s="272" t="s">
        <v>101</v>
      </c>
      <c r="B46" s="273">
        <v>2</v>
      </c>
      <c r="C46" s="273">
        <v>1</v>
      </c>
      <c r="D46" s="273">
        <v>3</v>
      </c>
      <c r="E46" s="273">
        <v>3</v>
      </c>
      <c r="F46" s="273">
        <v>2</v>
      </c>
      <c r="G46" s="273"/>
      <c r="H46" s="273">
        <v>2</v>
      </c>
      <c r="I46" s="273"/>
      <c r="J46" s="273">
        <v>4</v>
      </c>
      <c r="K46" s="273">
        <v>4</v>
      </c>
      <c r="L46" s="273">
        <v>1</v>
      </c>
      <c r="M46" s="273">
        <v>4</v>
      </c>
      <c r="N46" s="483">
        <f>SUM(B46:M46)</f>
        <v>26</v>
      </c>
    </row>
    <row r="47" spans="1:14">
      <c r="N47" s="484">
        <f>SUM(N42:N46)</f>
        <v>60101</v>
      </c>
    </row>
    <row r="48" spans="1:14" ht="16.5" thickBot="1">
      <c r="E48" s="263" t="s">
        <v>102</v>
      </c>
      <c r="F48" s="264"/>
      <c r="G48" s="265">
        <v>2014</v>
      </c>
    </row>
    <row r="49" spans="1:17">
      <c r="A49" s="266" t="s">
        <v>102</v>
      </c>
      <c r="B49" s="267" t="s">
        <v>44</v>
      </c>
      <c r="C49" s="267" t="s">
        <v>45</v>
      </c>
      <c r="D49" s="267" t="s">
        <v>46</v>
      </c>
      <c r="E49" s="267" t="s">
        <v>47</v>
      </c>
      <c r="F49" s="267" t="s">
        <v>48</v>
      </c>
      <c r="G49" s="267" t="s">
        <v>49</v>
      </c>
      <c r="H49" s="267" t="s">
        <v>38</v>
      </c>
      <c r="I49" s="267" t="s">
        <v>39</v>
      </c>
      <c r="J49" s="267" t="s">
        <v>40</v>
      </c>
      <c r="K49" s="267" t="s">
        <v>41</v>
      </c>
      <c r="L49" s="267" t="s">
        <v>42</v>
      </c>
      <c r="M49" s="267" t="s">
        <v>43</v>
      </c>
      <c r="N49" s="268" t="s">
        <v>64</v>
      </c>
    </row>
    <row r="50" spans="1:17">
      <c r="A50" s="485" t="s">
        <v>103</v>
      </c>
      <c r="B50" s="275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6">
        <f t="shared" ref="N50:N55" si="11">SUM(B50:M50)</f>
        <v>0</v>
      </c>
    </row>
    <row r="51" spans="1:17">
      <c r="A51" s="269" t="s">
        <v>104</v>
      </c>
      <c r="B51" s="277">
        <v>26</v>
      </c>
      <c r="C51" s="277">
        <v>25</v>
      </c>
      <c r="D51" s="277">
        <v>20</v>
      </c>
      <c r="E51" s="277">
        <v>20</v>
      </c>
      <c r="F51" s="277">
        <v>29</v>
      </c>
      <c r="G51" s="277">
        <v>28</v>
      </c>
      <c r="H51" s="277">
        <v>17</v>
      </c>
      <c r="I51" s="277">
        <v>78</v>
      </c>
      <c r="J51" s="277"/>
      <c r="K51" s="277">
        <v>25</v>
      </c>
      <c r="L51" s="277">
        <v>20</v>
      </c>
      <c r="M51" s="277">
        <v>34</v>
      </c>
      <c r="N51" s="276">
        <f t="shared" si="11"/>
        <v>322</v>
      </c>
    </row>
    <row r="52" spans="1:17">
      <c r="A52" s="269" t="s">
        <v>105</v>
      </c>
      <c r="B52" s="277">
        <v>36</v>
      </c>
      <c r="C52" s="277">
        <v>16</v>
      </c>
      <c r="D52" s="277">
        <v>14</v>
      </c>
      <c r="E52" s="277">
        <v>32</v>
      </c>
      <c r="F52" s="277">
        <v>57</v>
      </c>
      <c r="G52" s="277">
        <v>54</v>
      </c>
      <c r="H52" s="277">
        <v>74</v>
      </c>
      <c r="I52" s="277">
        <v>68</v>
      </c>
      <c r="J52" s="277"/>
      <c r="K52" s="277">
        <v>72</v>
      </c>
      <c r="L52" s="277">
        <v>67</v>
      </c>
      <c r="M52" s="277">
        <v>70</v>
      </c>
      <c r="N52" s="276">
        <f t="shared" si="11"/>
        <v>560</v>
      </c>
    </row>
    <row r="53" spans="1:17">
      <c r="A53" s="269" t="s">
        <v>106</v>
      </c>
      <c r="B53" s="278">
        <v>4</v>
      </c>
      <c r="C53" s="278"/>
      <c r="D53" s="278">
        <v>6</v>
      </c>
      <c r="E53" s="278">
        <v>2</v>
      </c>
      <c r="F53" s="278">
        <v>5</v>
      </c>
      <c r="G53" s="278">
        <v>5</v>
      </c>
      <c r="H53" s="278">
        <v>8</v>
      </c>
      <c r="I53" s="278">
        <v>5</v>
      </c>
      <c r="J53" s="278"/>
      <c r="K53" s="278">
        <v>5</v>
      </c>
      <c r="L53" s="278">
        <v>6</v>
      </c>
      <c r="M53" s="278">
        <v>8</v>
      </c>
      <c r="N53" s="276">
        <f t="shared" si="11"/>
        <v>54</v>
      </c>
    </row>
    <row r="54" spans="1:17">
      <c r="A54" s="486" t="s">
        <v>11</v>
      </c>
      <c r="B54" s="278">
        <v>24</v>
      </c>
      <c r="C54" s="278">
        <v>26</v>
      </c>
      <c r="D54" s="278">
        <v>23</v>
      </c>
      <c r="E54" s="278">
        <v>39</v>
      </c>
      <c r="F54" s="278">
        <v>24</v>
      </c>
      <c r="G54" s="278">
        <v>4</v>
      </c>
      <c r="H54" s="278">
        <v>1</v>
      </c>
      <c r="I54" s="278">
        <v>3</v>
      </c>
      <c r="J54" s="278"/>
      <c r="K54" s="278">
        <v>52</v>
      </c>
      <c r="L54" s="278">
        <v>39</v>
      </c>
      <c r="M54" s="278">
        <v>56</v>
      </c>
      <c r="N54" s="276">
        <f t="shared" si="11"/>
        <v>291</v>
      </c>
    </row>
    <row r="55" spans="1:17" ht="13.5" thickBot="1">
      <c r="A55" s="292" t="s">
        <v>107</v>
      </c>
      <c r="B55" s="279">
        <v>39</v>
      </c>
      <c r="C55" s="279">
        <v>33</v>
      </c>
      <c r="D55" s="279">
        <v>33</v>
      </c>
      <c r="E55" s="279">
        <v>28</v>
      </c>
      <c r="F55" s="279">
        <v>30</v>
      </c>
      <c r="G55" s="279">
        <v>41</v>
      </c>
      <c r="H55" s="279">
        <v>42</v>
      </c>
      <c r="I55" s="279">
        <v>71</v>
      </c>
      <c r="J55" s="279"/>
      <c r="K55" s="279">
        <v>41</v>
      </c>
      <c r="L55" s="279">
        <v>43</v>
      </c>
      <c r="M55" s="279">
        <v>42</v>
      </c>
      <c r="N55" s="276">
        <f t="shared" si="11"/>
        <v>443</v>
      </c>
    </row>
    <row r="56" spans="1:17" ht="13.5" thickBot="1">
      <c r="A56" s="292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76">
        <f>SUM(N50:N55)</f>
        <v>1670</v>
      </c>
    </row>
    <row r="57" spans="1:17" ht="18">
      <c r="A57" s="823" t="s">
        <v>254</v>
      </c>
      <c r="B57" s="824"/>
      <c r="C57" s="824"/>
      <c r="D57" s="824"/>
      <c r="E57" s="824"/>
      <c r="F57" s="824"/>
      <c r="G57" s="824"/>
      <c r="H57" s="824"/>
      <c r="I57" s="824"/>
      <c r="J57" s="824"/>
      <c r="K57" s="824"/>
      <c r="L57" s="824"/>
      <c r="M57" s="824"/>
      <c r="N57" s="824"/>
    </row>
    <row r="58" spans="1:17" ht="15.75">
      <c r="E58" s="282"/>
      <c r="M58" s="244"/>
      <c r="N58" s="227"/>
    </row>
    <row r="59" spans="1:17">
      <c r="A59" s="527" t="str">
        <f>IF([11]Vagt!A4&lt;&gt;"",[11]Vagt!A4,"")</f>
        <v>Note 1: Fordeling  af intern betalingsordning på Rådhuset</v>
      </c>
      <c r="B59" s="527">
        <f>IF([11]Vagt!B4&lt;&gt;"",[11]Vagt!B4,"")</f>
        <v>0</v>
      </c>
      <c r="C59" s="527">
        <f>IF([11]Vagt!C4&lt;&gt;"",[11]Vagt!C4,"")</f>
        <v>0</v>
      </c>
      <c r="D59" s="527" t="str">
        <f>IF([11]Vagt!D4&lt;&gt;"",[11]Vagt!D4,"")</f>
        <v>Årlig pris</v>
      </c>
      <c r="E59" s="299">
        <f>IF([11]Vagt!E4&lt;&gt;"",[11]Vagt!E4,"")</f>
        <v>0</v>
      </c>
      <c r="F59" s="299">
        <f>IF([11]Vagt!F4&lt;&gt;"",[11]Vagt!F4,"")</f>
        <v>0</v>
      </c>
      <c r="G59" s="299">
        <f>IF([11]Vagt!G4&lt;&gt;"",[11]Vagt!G4,"")</f>
        <v>0</v>
      </c>
      <c r="H59" s="299" t="e">
        <f>IF([11]Vagt!H4&lt;&gt;"",[11]Vagt!H4,"")</f>
        <v>#REF!</v>
      </c>
      <c r="I59" s="299"/>
      <c r="J59" s="299"/>
      <c r="K59" s="299"/>
      <c r="L59" s="299"/>
      <c r="M59" s="299"/>
      <c r="N59" s="299"/>
      <c r="P59" s="244"/>
      <c r="Q59" s="227"/>
    </row>
    <row r="60" spans="1:17">
      <c r="A60" s="292">
        <f>IF([11]Vagt!A5&lt;&gt;"",[11]Vagt!A5,"")</f>
        <v>0</v>
      </c>
      <c r="B60" s="292" t="str">
        <f>IF([11]Vagt!B5&lt;&gt;"",[11]Vagt!B5,"")</f>
        <v>SOF</v>
      </c>
      <c r="C60" s="292">
        <f>IF([11]Vagt!C5&lt;&gt;"",[11]Vagt!C5,"")</f>
        <v>0</v>
      </c>
      <c r="D60" s="594">
        <f>IF([11]Vagt!D5&lt;&gt;"",[11]Vagt!D5,"")</f>
        <v>5449940</v>
      </c>
      <c r="E60" s="299">
        <f>IF([11]Vagt!E5&lt;&gt;"",[11]Vagt!E5,"")</f>
        <v>0</v>
      </c>
      <c r="F60" s="299">
        <f>IF([11]Vagt!F5&lt;&gt;"",[11]Vagt!F5,"")</f>
        <v>0</v>
      </c>
      <c r="G60" s="299">
        <f>IF([11]Vagt!G5&lt;&gt;"",[11]Vagt!G5,"")</f>
        <v>0</v>
      </c>
      <c r="H60" s="299" t="e">
        <f>IF([11]Vagt!H5&lt;&gt;"",[11]Vagt!H5,"")</f>
        <v>#REF!</v>
      </c>
      <c r="I60" s="299"/>
      <c r="J60" s="299"/>
      <c r="K60" s="299"/>
      <c r="L60" s="299"/>
      <c r="M60" s="299"/>
      <c r="N60" s="299"/>
      <c r="P60" s="244"/>
      <c r="Q60" s="227"/>
    </row>
    <row r="61" spans="1:17">
      <c r="A61" s="292">
        <f>IF([11]Vagt!A6&lt;&gt;"",[11]Vagt!A6,"")</f>
        <v>0</v>
      </c>
      <c r="B61" s="292">
        <f>IF([11]Vagt!B6&lt;&gt;"",[11]Vagt!B6,"")</f>
        <v>0</v>
      </c>
      <c r="C61" s="292">
        <f>IF([11]Vagt!C6&lt;&gt;"",[11]Vagt!C6,"")</f>
        <v>0</v>
      </c>
      <c r="D61" s="594">
        <f>IF([11]Vagt!D6&lt;&gt;"",[11]Vagt!D6,"")</f>
        <v>0</v>
      </c>
      <c r="E61" s="299">
        <f>IF([11]Vagt!E6&lt;&gt;"",[11]Vagt!E6,"")</f>
        <v>0</v>
      </c>
      <c r="F61" s="299">
        <f>IF([11]Vagt!F6&lt;&gt;"",[11]Vagt!F6,"")</f>
        <v>0</v>
      </c>
      <c r="G61" s="299">
        <f>IF([11]Vagt!G6&lt;&gt;"",[11]Vagt!G6,"")</f>
        <v>0</v>
      </c>
      <c r="H61" s="299" t="e">
        <f>IF([11]Vagt!H6&lt;&gt;"",[11]Vagt!H6,"")</f>
        <v>#REF!</v>
      </c>
      <c r="I61" s="299"/>
      <c r="J61" s="299"/>
      <c r="K61" s="299"/>
      <c r="L61" s="299"/>
      <c r="M61" s="299"/>
      <c r="N61" s="299"/>
      <c r="O61" s="291"/>
      <c r="P61" s="244"/>
      <c r="Q61" s="227"/>
    </row>
    <row r="62" spans="1:17">
      <c r="A62" s="292" t="e">
        <f>IF([11]Vagt!A7&lt;&gt;"",[11]Vagt!A7,"")</f>
        <v>#REF!</v>
      </c>
      <c r="B62" s="292">
        <f>IF([11]Vagt!B7&lt;&gt;"",[11]Vagt!B7,"")</f>
        <v>0</v>
      </c>
      <c r="C62" s="292">
        <f>IF([11]Vagt!C7&lt;&gt;"",[11]Vagt!C7,"")</f>
        <v>0</v>
      </c>
      <c r="D62" s="594">
        <f>IF([11]Vagt!D7&lt;&gt;"",[11]Vagt!D7,"")</f>
        <v>0</v>
      </c>
      <c r="E62" s="299">
        <f>IF([11]Vagt!E7&lt;&gt;"",[11]Vagt!E7,"")</f>
        <v>0</v>
      </c>
      <c r="F62" s="299">
        <f>IF([11]Vagt!F7&lt;&gt;"",[11]Vagt!F7,"")</f>
        <v>0</v>
      </c>
      <c r="G62" s="299">
        <f>IF([11]Vagt!G7&lt;&gt;"",[11]Vagt!G7,"")</f>
        <v>0</v>
      </c>
      <c r="H62" s="299" t="e">
        <f>IF([11]Vagt!H7&lt;&gt;"",[11]Vagt!H7,"")</f>
        <v>#REF!</v>
      </c>
      <c r="I62" s="299"/>
      <c r="J62" s="299"/>
      <c r="K62" s="299"/>
      <c r="L62" s="299"/>
      <c r="M62" s="299"/>
      <c r="N62" s="299"/>
      <c r="O62" s="298"/>
      <c r="P62" s="244"/>
      <c r="Q62" s="227"/>
    </row>
    <row r="63" spans="1:17">
      <c r="A63" s="292">
        <f>IF([11]Vagt!A8&lt;&gt;"",[11]Vagt!A8,"")</f>
        <v>0</v>
      </c>
      <c r="B63" s="292">
        <f>IF([11]Vagt!B8&lt;&gt;"",[11]Vagt!B8,"")</f>
        <v>0</v>
      </c>
      <c r="C63" s="292">
        <f>IF([11]Vagt!C8&lt;&gt;"",[11]Vagt!C8,"")</f>
        <v>0</v>
      </c>
      <c r="D63" s="594">
        <f>IF([11]Vagt!D8&lt;&gt;"",[11]Vagt!D8,"")</f>
        <v>0</v>
      </c>
      <c r="E63" s="299" t="e">
        <f>IF([11]Vagt!E8&lt;&gt;"",[11]Vagt!E8,"")</f>
        <v>#REF!</v>
      </c>
      <c r="F63" s="299">
        <f>IF([11]Vagt!F8&lt;&gt;"",[11]Vagt!F8,"")</f>
        <v>0</v>
      </c>
      <c r="G63" s="299">
        <f>IF([11]Vagt!G8&lt;&gt;"",[11]Vagt!G8,"")</f>
        <v>0</v>
      </c>
      <c r="H63" s="299" t="e">
        <f>IF([11]Vagt!H8&lt;&gt;"",[11]Vagt!H8,"")</f>
        <v>#REF!</v>
      </c>
      <c r="I63" s="299"/>
      <c r="J63" s="299"/>
      <c r="K63" s="299"/>
      <c r="L63" s="299"/>
      <c r="M63" s="299"/>
      <c r="N63" s="299"/>
      <c r="O63" s="320"/>
      <c r="P63" s="244"/>
      <c r="Q63" s="227"/>
    </row>
    <row r="64" spans="1:17">
      <c r="A64" s="292">
        <f>IF([11]Vagt!A9&lt;&gt;"",[11]Vagt!A9,"")</f>
        <v>0</v>
      </c>
      <c r="B64" s="292">
        <f>IF([11]Vagt!B9&lt;&gt;"",[11]Vagt!B9,"")</f>
        <v>0</v>
      </c>
      <c r="C64" s="292">
        <f>IF([11]Vagt!C9&lt;&gt;"",[11]Vagt!C9,"")</f>
        <v>0</v>
      </c>
      <c r="D64" s="594">
        <f>IF([11]Vagt!D9&lt;&gt;"",[11]Vagt!D9,"")</f>
        <v>0</v>
      </c>
      <c r="E64" s="299">
        <f>IF([11]Vagt!E9&lt;&gt;"",[11]Vagt!E9,"")</f>
        <v>0</v>
      </c>
      <c r="F64" s="299">
        <f>IF([11]Vagt!F9&lt;&gt;"",[11]Vagt!F9,"")</f>
        <v>0</v>
      </c>
      <c r="G64" s="299">
        <f>IF([11]Vagt!G9&lt;&gt;"",[11]Vagt!G9,"")</f>
        <v>0</v>
      </c>
      <c r="H64" s="299" t="e">
        <f>IF([11]Vagt!H9&lt;&gt;"",[11]Vagt!H9,"")</f>
        <v>#REF!</v>
      </c>
      <c r="I64" s="299"/>
      <c r="J64" s="299"/>
      <c r="K64" s="299"/>
      <c r="L64" s="299"/>
      <c r="M64" s="299"/>
      <c r="N64" s="299"/>
      <c r="O64" s="320"/>
      <c r="P64" s="244"/>
      <c r="Q64" s="227"/>
    </row>
    <row r="65" spans="1:17">
      <c r="A65" s="292">
        <f>IF([11]Vagt!A10&lt;&gt;"",[11]Vagt!A10,"")</f>
        <v>0</v>
      </c>
      <c r="B65" s="292">
        <f>IF([11]Vagt!B10&lt;&gt;"",[11]Vagt!B10,"")</f>
        <v>0</v>
      </c>
      <c r="C65" s="292">
        <f>IF([11]Vagt!C10&lt;&gt;"",[11]Vagt!C10,"")</f>
        <v>0</v>
      </c>
      <c r="D65" s="594">
        <f>IF([11]Vagt!D10&lt;&gt;"",[11]Vagt!D10,"")</f>
        <v>0</v>
      </c>
      <c r="E65" s="299">
        <f>IF([11]Vagt!E10&lt;&gt;"",[11]Vagt!E10,"")</f>
        <v>0</v>
      </c>
      <c r="F65" s="299">
        <f>IF([11]Vagt!F10&lt;&gt;"",[11]Vagt!F10,"")</f>
        <v>0</v>
      </c>
      <c r="G65" s="299">
        <f>IF([11]Vagt!G10&lt;&gt;"",[11]Vagt!G10,"")</f>
        <v>0</v>
      </c>
      <c r="H65" s="299" t="e">
        <f>IF([11]Vagt!H10&lt;&gt;"",[11]Vagt!H10,"")</f>
        <v>#REF!</v>
      </c>
      <c r="I65" s="299"/>
      <c r="J65" s="299"/>
      <c r="K65" s="299"/>
      <c r="L65" s="299"/>
      <c r="M65" s="299"/>
      <c r="N65" s="299"/>
      <c r="O65" s="320"/>
      <c r="P65" s="244"/>
      <c r="Q65" s="227"/>
    </row>
    <row r="66" spans="1:17">
      <c r="A66" s="292">
        <f>IF([11]Vagt!A11&lt;&gt;"",[11]Vagt!A11,"")</f>
        <v>0</v>
      </c>
      <c r="B66" s="292">
        <f>IF([11]Vagt!B11&lt;&gt;"",[11]Vagt!B11,"")</f>
        <v>0</v>
      </c>
      <c r="C66" s="292">
        <f>IF([11]Vagt!C11&lt;&gt;"",[11]Vagt!C11,"")</f>
        <v>0</v>
      </c>
      <c r="D66" s="594">
        <f>IF([11]Vagt!D11&lt;&gt;"",[11]Vagt!D11,"")</f>
        <v>0</v>
      </c>
      <c r="E66" s="299">
        <f>IF([11]Vagt!E11&lt;&gt;"",[11]Vagt!E11,"")</f>
        <v>0</v>
      </c>
      <c r="F66" s="299">
        <f>IF([11]Vagt!F11&lt;&gt;"",[11]Vagt!F11,"")</f>
        <v>0</v>
      </c>
      <c r="G66" s="299">
        <f>IF([11]Vagt!G11&lt;&gt;"",[11]Vagt!G11,"")</f>
        <v>0</v>
      </c>
      <c r="H66" s="299" t="e">
        <f>IF([11]Vagt!H11&lt;&gt;"",[11]Vagt!H11,"")</f>
        <v>#REF!</v>
      </c>
      <c r="I66" s="299"/>
      <c r="J66" s="299"/>
      <c r="K66" s="299"/>
      <c r="L66" s="299"/>
      <c r="M66" s="299"/>
      <c r="N66" s="299"/>
      <c r="O66" s="291"/>
      <c r="P66" s="244"/>
      <c r="Q66" s="227"/>
    </row>
    <row r="67" spans="1:17">
      <c r="A67" s="292">
        <f>IF([11]Vagt!A12&lt;&gt;"",[11]Vagt!A12,"")</f>
        <v>0</v>
      </c>
      <c r="B67" s="292">
        <f>IF([11]Vagt!B12&lt;&gt;"",[11]Vagt!B12,"")</f>
        <v>0</v>
      </c>
      <c r="C67" s="292">
        <f>IF([11]Vagt!C12&lt;&gt;"",[11]Vagt!C12,"")</f>
        <v>0</v>
      </c>
      <c r="D67" s="594">
        <f>IF([11]Vagt!D12&lt;&gt;"",[11]Vagt!D12,"")</f>
        <v>0</v>
      </c>
      <c r="E67" s="299" t="str">
        <f>IF([11]Vagt!E12&lt;&gt;"",[11]Vagt!E12,"")</f>
        <v>Sort = ikke betalt eller genfremsendt</v>
      </c>
      <c r="F67" s="299">
        <f>IF([11]Vagt!F12&lt;&gt;"",[11]Vagt!F12,"")</f>
        <v>0</v>
      </c>
      <c r="G67" s="299">
        <f>IF([11]Vagt!G12&lt;&gt;"",[11]Vagt!G12,"")</f>
        <v>0</v>
      </c>
      <c r="H67" s="299" t="e">
        <f>IF([11]Vagt!H12&lt;&gt;"",[11]Vagt!H12,"")</f>
        <v>#REF!</v>
      </c>
      <c r="I67" s="299"/>
      <c r="J67" s="299"/>
      <c r="K67" s="299"/>
      <c r="L67" s="299"/>
      <c r="M67" s="299"/>
      <c r="N67" s="299"/>
      <c r="O67" s="317"/>
      <c r="P67" s="244"/>
      <c r="Q67" s="227"/>
    </row>
    <row r="68" spans="1:17" ht="13.5" thickBot="1">
      <c r="A68" s="586">
        <f>IF([11]Vagt!A13&lt;&gt;"",[11]Vagt!A13,"")</f>
        <v>0</v>
      </c>
      <c r="B68" s="586">
        <f>IF([11]Vagt!B13&lt;&gt;"",[11]Vagt!B13,"")</f>
        <v>0</v>
      </c>
      <c r="C68" s="586">
        <f>IF([11]Vagt!C13&lt;&gt;"",[11]Vagt!C13,"")</f>
        <v>0</v>
      </c>
      <c r="D68" s="595">
        <f>IF([11]Vagt!D13&lt;&gt;"",[11]Vagt!D13,"")</f>
        <v>0</v>
      </c>
      <c r="E68" s="299" t="str">
        <f>IF([11]Vagt!E13&lt;&gt;"",[11]Vagt!E13,"")</f>
        <v>Grøn = Ikke betalt men genfremsendt</v>
      </c>
      <c r="F68" s="299">
        <f>IF([11]Vagt!F13&lt;&gt;"",[11]Vagt!F13,"")</f>
        <v>0</v>
      </c>
      <c r="G68" s="299">
        <f>IF([11]Vagt!G13&lt;&gt;"",[11]Vagt!G13,"")</f>
        <v>0</v>
      </c>
      <c r="H68" s="299" t="e">
        <f>IF([11]Vagt!H13&lt;&gt;"",[11]Vagt!H13,"")</f>
        <v>#REF!</v>
      </c>
      <c r="I68" s="299" t="e">
        <f>IF([11]Vagt!I13&lt;&gt;"",[11]Vagt!I13,"")</f>
        <v>#REF!</v>
      </c>
      <c r="J68" s="299" t="e">
        <f>IF([11]Vagt!J13&lt;&gt;"",[11]Vagt!J13,"")</f>
        <v>#REF!</v>
      </c>
      <c r="K68" s="299" t="e">
        <f>IF([11]Vagt!K13&lt;&gt;"",[11]Vagt!K13,"")</f>
        <v>#REF!</v>
      </c>
      <c r="L68" s="299" t="e">
        <f>IF([11]Vagt!L13&lt;&gt;"",[11]Vagt!L13,"")</f>
        <v>#REF!</v>
      </c>
      <c r="M68" s="299" t="e">
        <f>IF([11]Vagt!M13&lt;&gt;"",[11]Vagt!M13,"")</f>
        <v>#REF!</v>
      </c>
      <c r="N68" s="299" t="e">
        <f>IF([11]Vagt!N13&lt;&gt;"",[11]Vagt!N13,"")</f>
        <v>#REF!</v>
      </c>
      <c r="O68" s="320"/>
      <c r="P68" s="244"/>
      <c r="Q68" s="227"/>
    </row>
    <row r="69" spans="1:17">
      <c r="A69" s="585" t="str">
        <f>IF([11]Vagt!A14&lt;&gt;"",[11]Vagt!A14,"")</f>
        <v>Årligt</v>
      </c>
      <c r="B69" s="585">
        <f>IF([11]Vagt!B14&lt;&gt;"",[11]Vagt!B14,"")</f>
        <v>0</v>
      </c>
      <c r="C69" s="585">
        <f>IF([11]Vagt!C14&lt;&gt;"",[11]Vagt!C14,"")</f>
        <v>0</v>
      </c>
      <c r="D69" s="596">
        <f>IF([11]Vagt!D14&lt;&gt;"",[11]Vagt!D14,"")</f>
        <v>5449940</v>
      </c>
      <c r="E69" s="584" t="str">
        <f>IF([11]Vagt!E14&lt;&gt;"",[11]Vagt!E14,"")</f>
        <v>Når org. Nr. er røde, er de betalt</v>
      </c>
      <c r="F69" s="299">
        <f>IF([11]Vagt!F14&lt;&gt;"",[11]Vagt!F14,"")</f>
        <v>0</v>
      </c>
      <c r="G69" s="299">
        <f>IF([11]Vagt!G14&lt;&gt;"",[11]Vagt!G14,"")</f>
        <v>0</v>
      </c>
      <c r="H69" s="299" t="e">
        <f>IF([11]Vagt!H14&lt;&gt;"",[11]Vagt!H14,"")</f>
        <v>#REF!</v>
      </c>
      <c r="I69" s="299" t="e">
        <f>IF([11]Vagt!I14&lt;&gt;"",[11]Vagt!I14,"")</f>
        <v>#REF!</v>
      </c>
      <c r="J69" s="299" t="e">
        <f>IF([11]Vagt!J14&lt;&gt;"",[11]Vagt!J14,"")</f>
        <v>#REF!</v>
      </c>
      <c r="K69" s="299" t="e">
        <f>IF([11]Vagt!K14&lt;&gt;"",[11]Vagt!K14,"")</f>
        <v>#REF!</v>
      </c>
      <c r="L69" s="299" t="e">
        <f>IF([11]Vagt!L14&lt;&gt;"",[11]Vagt!L14,"")</f>
        <v>#REF!</v>
      </c>
      <c r="M69" s="299" t="e">
        <f>IF([11]Vagt!M14&lt;&gt;"",[11]Vagt!M14,"")</f>
        <v>#REF!</v>
      </c>
      <c r="N69" s="299" t="e">
        <f>IF([11]Vagt!N14&lt;&gt;"",[11]Vagt!N14,"")</f>
        <v>#REF!</v>
      </c>
      <c r="O69" s="320"/>
      <c r="P69" s="244"/>
      <c r="Q69" s="227"/>
    </row>
    <row r="70" spans="1:17">
      <c r="A70" s="587" t="str">
        <f>IF([11]Vagt!A15&lt;&gt;"",[11]Vagt!A15,"")</f>
        <v>Månedligt</v>
      </c>
      <c r="B70" s="587">
        <f>IF([11]Vagt!B15&lt;&gt;"",[11]Vagt!B15,"")</f>
        <v>0</v>
      </c>
      <c r="C70" s="587">
        <f>IF([11]Vagt!C15&lt;&gt;"",[11]Vagt!C15,"")</f>
        <v>0</v>
      </c>
      <c r="D70" s="597">
        <f>IF([11]Vagt!D15&lt;&gt;"",[11]Vagt!D15,"")</f>
        <v>454161.66666666669</v>
      </c>
      <c r="E70" s="584" t="str">
        <f>IF([11]Vagt!E15&lt;&gt;"",[11]Vagt!E15,"")</f>
        <v>Der er en pris fremskrivning/stigning på 1.3 % og ingen stigning på timepris påført for 2014</v>
      </c>
      <c r="F70" s="299" t="e">
        <f>IF([11]Vagt!F15&lt;&gt;"",[11]Vagt!F15,"")</f>
        <v>#REF!</v>
      </c>
      <c r="G70" s="299" t="e">
        <f>IF([11]Vagt!G15&lt;&gt;"",[11]Vagt!G15,"")</f>
        <v>#REF!</v>
      </c>
      <c r="H70" s="299" t="e">
        <f>IF([11]Vagt!H15&lt;&gt;"",[11]Vagt!H15,"")</f>
        <v>#REF!</v>
      </c>
      <c r="I70" s="299" t="e">
        <f>IF([11]Vagt!I15&lt;&gt;"",[11]Vagt!I15,"")</f>
        <v>#REF!</v>
      </c>
      <c r="J70" s="299" t="e">
        <f>IF([11]Vagt!J15&lt;&gt;"",[11]Vagt!J15,"")</f>
        <v>#REF!</v>
      </c>
      <c r="K70" s="299">
        <f>IF([11]Vagt!K15&lt;&gt;"",[11]Vagt!K15,"")</f>
        <v>0</v>
      </c>
      <c r="L70" s="299" t="e">
        <f>IF([11]Vagt!L15&lt;&gt;"",[11]Vagt!L15,"")</f>
        <v>#REF!</v>
      </c>
      <c r="M70" s="299" t="e">
        <f>IF([11]Vagt!M15&lt;&gt;"",[11]Vagt!M15,"")</f>
        <v>#REF!</v>
      </c>
      <c r="N70" s="299" t="e">
        <f>IF([11]Vagt!N15&lt;&gt;"",[11]Vagt!N15,"")</f>
        <v>#REF!</v>
      </c>
      <c r="O70" s="291"/>
      <c r="P70" s="244"/>
      <c r="Q70" s="227"/>
    </row>
    <row r="71" spans="1:17">
      <c r="A71" s="299">
        <f>IF([11]Vagt!A16&lt;&gt;"",[11]Vagt!A16,"")</f>
        <v>0</v>
      </c>
      <c r="B71" s="299">
        <f>IF([11]Vagt!B16&lt;&gt;"",[11]Vagt!B16,"")</f>
        <v>0</v>
      </c>
      <c r="C71" s="299">
        <f>IF([11]Vagt!C16&lt;&gt;"",[11]Vagt!C16,"")</f>
        <v>0</v>
      </c>
      <c r="D71" s="299" t="e">
        <f>IF([11]Vagt!D16&lt;&gt;"",[11]Vagt!D16,"")</f>
        <v>#REF!</v>
      </c>
      <c r="E71" s="299" t="e">
        <f>IF([11]Vagt!E16&lt;&gt;"",[11]Vagt!E16,"")</f>
        <v>#REF!</v>
      </c>
      <c r="F71" s="299" t="e">
        <f>IF([11]Vagt!F16&lt;&gt;"",[11]Vagt!F16,"")</f>
        <v>#REF!</v>
      </c>
      <c r="G71" s="299" t="e">
        <f>IF([11]Vagt!G16&lt;&gt;"",[11]Vagt!G16,"")</f>
        <v>#REF!</v>
      </c>
      <c r="H71" s="299" t="e">
        <f>IF([11]Vagt!H16&lt;&gt;"",[11]Vagt!H16,"")</f>
        <v>#REF!</v>
      </c>
      <c r="I71" s="299" t="e">
        <f>IF([11]Vagt!I16&lt;&gt;"",[11]Vagt!I16,"")</f>
        <v>#REF!</v>
      </c>
      <c r="J71" s="299" t="e">
        <f>IF([11]Vagt!J16&lt;&gt;"",[11]Vagt!J16,"")</f>
        <v>#REF!</v>
      </c>
      <c r="K71" s="299" t="e">
        <f>IF([11]Vagt!K16&lt;&gt;"",[11]Vagt!K16,"")</f>
        <v>#REF!</v>
      </c>
      <c r="L71" s="299" t="e">
        <f>IF([11]Vagt!L16&lt;&gt;"",[11]Vagt!L16,"")</f>
        <v>#REF!</v>
      </c>
      <c r="M71" s="299" t="e">
        <f>IF([11]Vagt!M16&lt;&gt;"",[11]Vagt!M16,"")</f>
        <v>#REF!</v>
      </c>
      <c r="N71" s="299" t="e">
        <f>IF([11]Vagt!N16&lt;&gt;"",[11]Vagt!N16,"")</f>
        <v>#REF!</v>
      </c>
      <c r="O71" s="291"/>
      <c r="P71" s="244"/>
      <c r="Q71" s="227"/>
    </row>
    <row r="72" spans="1:17">
      <c r="A72" s="554">
        <f>IF([11]Vagt!A17&lt;&gt;"",[11]Vagt!A17,"")</f>
        <v>0</v>
      </c>
      <c r="B72" s="554" t="str">
        <f>IF([11]Vagt!B17&lt;&gt;"",[11]Vagt!B17,"")</f>
        <v xml:space="preserve">Note 2  Kontrakt kunder fast rundering </v>
      </c>
      <c r="C72" s="554">
        <f>IF([11]Vagt!C17&lt;&gt;"",[11]Vagt!C17,"")</f>
        <v>0</v>
      </c>
      <c r="D72" s="526">
        <f>IF([11]Vagt!D17&lt;&gt;"",[11]Vagt!D17,"")</f>
        <v>0</v>
      </c>
      <c r="E72" s="299">
        <f>IF([11]Vagt!E17&lt;&gt;"",[11]Vagt!E17,"")</f>
        <v>0</v>
      </c>
      <c r="F72" s="299">
        <f>IF([11]Vagt!F17&lt;&gt;"",[11]Vagt!F17,"")</f>
        <v>0</v>
      </c>
      <c r="G72" s="299">
        <f>IF([11]Vagt!G17&lt;&gt;"",[11]Vagt!G17,"")</f>
        <v>0</v>
      </c>
      <c r="H72" s="299">
        <f>IF([11]Vagt!H17&lt;&gt;"",[11]Vagt!H17,"")</f>
        <v>0</v>
      </c>
      <c r="I72" s="299">
        <f>IF([11]Vagt!I17&lt;&gt;"",[11]Vagt!I17,"")</f>
        <v>0</v>
      </c>
      <c r="J72" s="299" t="str">
        <f>IF([11]Vagt!J17&lt;&gt;"",[11]Vagt!J17,"")</f>
        <v xml:space="preserve">Note 2  Kontrakt kunder fast rundering </v>
      </c>
      <c r="K72" s="299">
        <f>IF([11]Vagt!K17&lt;&gt;"",[11]Vagt!K17,"")</f>
        <v>0</v>
      </c>
      <c r="L72" s="299">
        <f>IF([11]Vagt!L17&lt;&gt;"",[11]Vagt!L17,"")</f>
        <v>0</v>
      </c>
      <c r="M72" s="299">
        <f>IF([11]Vagt!M17&lt;&gt;"",[11]Vagt!M17,"")</f>
        <v>0</v>
      </c>
      <c r="N72" s="299">
        <f>IF([11]Vagt!N17&lt;&gt;"",[11]Vagt!N17,"")</f>
        <v>0</v>
      </c>
      <c r="O72" s="291"/>
      <c r="P72" s="244"/>
      <c r="Q72" s="227"/>
    </row>
    <row r="73" spans="1:17">
      <c r="A73" s="302" t="str">
        <f>IF([11]Vagt!A18&lt;&gt;"",[11]Vagt!A18,"")</f>
        <v>Org. Nr.</v>
      </c>
      <c r="B73" s="286" t="str">
        <f>IF([11]Vagt!B18&lt;&gt;"",[11]Vagt!B18,"")</f>
        <v>Kontrakt nr.</v>
      </c>
      <c r="C73" s="286" t="str">
        <f>IF([11]Vagt!C18&lt;&gt;"",[11]Vagt!C18,"")</f>
        <v>Start dato</v>
      </c>
      <c r="D73" s="286" t="str">
        <f>IF([11]Vagt!D18&lt;&gt;"",[11]Vagt!D18,"")</f>
        <v>Adresse</v>
      </c>
      <c r="E73" s="289">
        <f>IF([11]Vagt!E18&lt;&gt;"",[11]Vagt!E18,"")</f>
        <v>0</v>
      </c>
      <c r="F73" s="292" t="str">
        <f>IF([11]Vagt!F18&lt;&gt;"",[11]Vagt!F18,"")</f>
        <v xml:space="preserve">Årlig pris  </v>
      </c>
      <c r="G73" s="226">
        <f>IF([11]Vagt!G18&lt;&gt;"",[11]Vagt!G18,"")</f>
        <v>0</v>
      </c>
      <c r="H73" s="226">
        <f>IF([11]Vagt!H18&lt;&gt;"",[11]Vagt!H18,"")</f>
        <v>0</v>
      </c>
      <c r="I73" s="292" t="str">
        <f>IF([11]Vagt!I18&lt;&gt;"",[11]Vagt!I18,"")</f>
        <v>Org. Nr.</v>
      </c>
      <c r="J73" s="292" t="str">
        <f>IF([11]Vagt!J18&lt;&gt;"",[11]Vagt!J18,"")</f>
        <v>Bygningsnr.</v>
      </c>
      <c r="K73" s="292" t="str">
        <f>IF([11]Vagt!K18&lt;&gt;"",[11]Vagt!K18,"")</f>
        <v>V og I dato</v>
      </c>
      <c r="L73" s="286" t="str">
        <f>IF([11]Vagt!L18&lt;&gt;"",[11]Vagt!L18,"")</f>
        <v>Adresse</v>
      </c>
      <c r="M73" s="289">
        <f>IF([11]Vagt!M18&lt;&gt;"",[11]Vagt!M18,"")</f>
        <v>0</v>
      </c>
      <c r="N73" s="292" t="str">
        <f>IF([11]Vagt!N18&lt;&gt;"",[11]Vagt!N18,"")</f>
        <v xml:space="preserve">Årlig pris  </v>
      </c>
      <c r="O73" s="291"/>
      <c r="P73" s="244"/>
      <c r="Q73" s="227"/>
    </row>
    <row r="74" spans="1:17">
      <c r="A74" s="302" t="str">
        <f>IF([11]Vagt!A19&lt;&gt;"",[11]Vagt!A19,"")</f>
        <v>64715</v>
      </c>
      <c r="B74" s="286">
        <f>IF([11]Vagt!B19&lt;&gt;"",[11]Vagt!B19,"")</f>
        <v>112</v>
      </c>
      <c r="C74" s="286">
        <f>IF([11]Vagt!C19&lt;&gt;"",[11]Vagt!C19,"")</f>
        <v>37956</v>
      </c>
      <c r="D74" s="286" t="str">
        <f>IF([11]Vagt!D19&lt;&gt;"",[11]Vagt!D19,"")</f>
        <v>Røde Mellemvej 52 (Søren Rasmussen)</v>
      </c>
      <c r="E74" s="289"/>
      <c r="F74" s="594">
        <f>IF([11]Vagt!F19&lt;&gt;"",[11]Vagt!F19,"")</f>
        <v>122161</v>
      </c>
      <c r="G74" s="226">
        <f>IF([11]Vagt!G19&lt;&gt;"",[11]Vagt!G19,"")</f>
        <v>398701</v>
      </c>
      <c r="H74" s="226">
        <f>IF([11]Vagt!H19&lt;&gt;"",[11]Vagt!H19,"")</f>
        <v>0</v>
      </c>
      <c r="I74" s="828" t="str">
        <f>IF([11]Vagt!I19&lt;&gt;"",[11]Vagt!I19,"")</f>
        <v>Fortsat</v>
      </c>
      <c r="J74" s="829"/>
      <c r="K74" s="829"/>
      <c r="L74" s="829"/>
      <c r="M74" s="830"/>
      <c r="N74" s="598">
        <f>IF([11]Vagt!N19&lt;&gt;"",[11]Vagt!N19,"")</f>
        <v>2314515</v>
      </c>
      <c r="O74" s="298"/>
      <c r="P74" s="244"/>
      <c r="Q74" s="227"/>
    </row>
    <row r="75" spans="1:17">
      <c r="A75" s="302" t="str">
        <f>IF([11]Vagt!A20&lt;&gt;"",[11]Vagt!A20,"")</f>
        <v>37567</v>
      </c>
      <c r="B75" s="286">
        <f>IF([11]Vagt!B20&lt;&gt;"",[11]Vagt!B20,"")</f>
        <v>113</v>
      </c>
      <c r="C75" s="286">
        <f>IF([11]Vagt!C20&lt;&gt;"",[11]Vagt!C20,"")</f>
        <v>38012</v>
      </c>
      <c r="D75" s="286" t="str">
        <f>IF([11]Vagt!D20&lt;&gt;"",[11]Vagt!D20,"")</f>
        <v>Studsgårdsgade 55</v>
      </c>
      <c r="E75" s="289"/>
      <c r="F75" s="594">
        <f>IF([11]Vagt!F20&lt;&gt;"",[11]Vagt!F20,"")</f>
        <v>148969</v>
      </c>
      <c r="G75" s="226">
        <f>IF([11]Vagt!G20&lt;&gt;"",[11]Vagt!G20,"")</f>
        <v>398707</v>
      </c>
      <c r="H75" s="226">
        <f>IF([11]Vagt!H20&lt;&gt;"",[11]Vagt!H20,"")</f>
        <v>0</v>
      </c>
      <c r="I75" s="226">
        <f>IF([11]Vagt!I20&lt;&gt;"",[11]Vagt!I20,"")</f>
        <v>0</v>
      </c>
      <c r="J75" s="226">
        <f>IF([11]Vagt!J20&lt;&gt;"",[11]Vagt!J20,"")</f>
        <v>0</v>
      </c>
      <c r="K75" s="226">
        <f>IF([11]Vagt!K20&lt;&gt;"",[11]Vagt!K20,"")</f>
        <v>0</v>
      </c>
      <c r="L75" s="226">
        <f>IF([11]Vagt!L20&lt;&gt;"",[11]Vagt!L20,"")</f>
        <v>0</v>
      </c>
      <c r="M75" s="226">
        <f>IF([11]Vagt!M20&lt;&gt;"",[11]Vagt!M20,"")</f>
        <v>0</v>
      </c>
      <c r="N75" s="598">
        <f>IF([11]Vagt!N20&lt;&gt;"",[11]Vagt!N20,"")</f>
        <v>0</v>
      </c>
      <c r="O75" s="291"/>
      <c r="P75" s="244"/>
      <c r="Q75" s="227"/>
    </row>
    <row r="76" spans="1:17">
      <c r="A76" s="286">
        <f>IF([11]Vagt!A21&lt;&gt;"",[11]Vagt!A21,"")</f>
        <v>23140</v>
      </c>
      <c r="B76" s="286">
        <f>IF([11]Vagt!B21&lt;&gt;"",[11]Vagt!B21,"")</f>
        <v>116</v>
      </c>
      <c r="C76" s="286">
        <f>IF([11]Vagt!C21&lt;&gt;"",[11]Vagt!C21,"")</f>
        <v>38412</v>
      </c>
      <c r="D76" s="286" t="str">
        <f>IF([11]Vagt!D21&lt;&gt;"",[11]Vagt!D21,"")</f>
        <v>Amagerbrogade 150</v>
      </c>
      <c r="E76" s="289"/>
      <c r="F76" s="594">
        <f>IF([11]Vagt!F21&lt;&gt;"",[11]Vagt!F21,"")</f>
        <v>63443</v>
      </c>
      <c r="G76" s="226">
        <f>IF([11]Vagt!G21&lt;&gt;"",[11]Vagt!G21,"")</f>
        <v>398723</v>
      </c>
      <c r="H76" s="226">
        <f>IF([11]Vagt!H21&lt;&gt;"",[11]Vagt!H21,"")</f>
        <v>0</v>
      </c>
      <c r="I76" s="292">
        <f>IF([11]Vagt!I21&lt;&gt;"",[11]Vagt!I21,"")</f>
        <v>62300</v>
      </c>
      <c r="J76" s="292">
        <f>IF([11]Vagt!J21&lt;&gt;"",[11]Vagt!J21,"")</f>
        <v>150</v>
      </c>
      <c r="K76" s="292">
        <f>IF([11]Vagt!K21&lt;&gt;"",[11]Vagt!K21,"")</f>
        <v>38047</v>
      </c>
      <c r="L76" s="292" t="str">
        <f>IF([11]Vagt!L21&lt;&gt;"",[11]Vagt!L21,"")</f>
        <v>Brønshøjvej 17 - 19, SOF, BFCK-Brønshøj-Husum-Vanløse               (399318)</v>
      </c>
      <c r="M76" s="292"/>
      <c r="N76" s="598">
        <f>IF([11]Vagt!N21&lt;&gt;"",[11]Vagt!N21,"")</f>
        <v>65016</v>
      </c>
      <c r="O76" s="291"/>
      <c r="P76" s="244"/>
      <c r="Q76" s="227"/>
    </row>
    <row r="77" spans="1:17">
      <c r="A77" s="286">
        <f>IF([11]Vagt!A22&lt;&gt;"",[11]Vagt!A22,"")</f>
        <v>54190</v>
      </c>
      <c r="B77" s="286">
        <f>IF([11]Vagt!B22&lt;&gt;"",[11]Vagt!B22,"")</f>
        <v>119</v>
      </c>
      <c r="C77" s="286">
        <f>IF([11]Vagt!C22&lt;&gt;"",[11]Vagt!C22,"")</f>
        <v>41395</v>
      </c>
      <c r="D77" s="286" t="str">
        <f>IF([11]Vagt!D22&lt;&gt;"",[11]Vagt!D22,"")</f>
        <v>Hvide Kødby(rundering)</v>
      </c>
      <c r="E77" s="289"/>
      <c r="F77" s="594">
        <f>IF([11]Vagt!F22&lt;&gt;"",[11]Vagt!F22,"")</f>
        <v>757052</v>
      </c>
      <c r="G77" s="226">
        <f>IF([11]Vagt!G22&lt;&gt;"",[11]Vagt!G22,"")</f>
        <v>398735</v>
      </c>
      <c r="H77" s="226">
        <f>IF([11]Vagt!H22&lt;&gt;"",[11]Vagt!H22,"")</f>
        <v>0</v>
      </c>
      <c r="I77" s="292">
        <f>IF([11]Vagt!I22&lt;&gt;"",[11]Vagt!I22,"")</f>
        <v>22803</v>
      </c>
      <c r="J77" s="292" t="str">
        <f>IF([11]Vagt!J22&lt;&gt;"",[11]Vagt!J22,"")</f>
        <v>747a</v>
      </c>
      <c r="K77" s="292">
        <f>IF([11]Vagt!K22&lt;&gt;"",[11]Vagt!K22,"")</f>
        <v>38048</v>
      </c>
      <c r="L77" s="286" t="str">
        <f>IF([11]Vagt!L22&lt;&gt;"",[11]Vagt!L22,"")</f>
        <v>Brønshøjvej 17 - 19, Sundhed (Løven)(Opsagt,slut 30-6-14)(399322)</v>
      </c>
      <c r="M77" s="289"/>
      <c r="N77" s="598">
        <f>IF([11]Vagt!N22&lt;&gt;"",[11]Vagt!N22,"")</f>
        <v>10292</v>
      </c>
      <c r="O77" s="291"/>
      <c r="P77" s="244"/>
      <c r="Q77" s="227"/>
    </row>
    <row r="78" spans="1:17">
      <c r="A78" s="286">
        <f>IF([11]Vagt!A23&lt;&gt;"",[11]Vagt!A23,"")</f>
        <v>62300</v>
      </c>
      <c r="B78" s="286">
        <f>IF([11]Vagt!B23&lt;&gt;"",[11]Vagt!B23,"")</f>
        <v>121</v>
      </c>
      <c r="C78" s="286">
        <f>IF([11]Vagt!C23&lt;&gt;"",[11]Vagt!C23,"")</f>
        <v>39264</v>
      </c>
      <c r="D78" s="286" t="str">
        <f>IF([11]Vagt!D23&lt;&gt;"",[11]Vagt!D23,"")</f>
        <v>Griffenfeldsgade 44</v>
      </c>
      <c r="E78" s="289"/>
      <c r="F78" s="594">
        <f>IF([11]Vagt!F23&lt;&gt;"",[11]Vagt!F23,"")</f>
        <v>103263</v>
      </c>
      <c r="G78" s="226">
        <f>IF([11]Vagt!G23&lt;&gt;"",[11]Vagt!G23,"")</f>
        <v>398760</v>
      </c>
      <c r="H78" s="226">
        <f>IF([11]Vagt!H23&lt;&gt;"",[11]Vagt!H23,"")</f>
        <v>0</v>
      </c>
      <c r="I78" s="292">
        <f>IF([11]Vagt!I23&lt;&gt;"",[11]Vagt!I23,"")</f>
        <v>38910</v>
      </c>
      <c r="J78" s="292" t="str">
        <f>IF([11]Vagt!J23&lt;&gt;"",[11]Vagt!J23,"")</f>
        <v>747b</v>
      </c>
      <c r="K78" s="292">
        <f>IF([11]Vagt!K23&lt;&gt;"",[11]Vagt!K23,"")</f>
        <v>38047</v>
      </c>
      <c r="L78" s="286" t="str">
        <f>IF([11]Vagt!L23&lt;&gt;"",[11]Vagt!L23,"")</f>
        <v>Brønshøjvej 17 - 19, Tandlæge  (Sara Marie Jacobsen)  (437987)</v>
      </c>
      <c r="M78" s="289"/>
      <c r="N78" s="598">
        <f>IF([11]Vagt!N23&lt;&gt;"",[11]Vagt!N23,"")</f>
        <v>20584</v>
      </c>
      <c r="O78" s="291"/>
      <c r="P78" s="244"/>
      <c r="Q78" s="227"/>
    </row>
    <row r="79" spans="1:17">
      <c r="A79" s="286">
        <f>IF([11]Vagt!A24&lt;&gt;"",[11]Vagt!A24,"")</f>
        <v>38450</v>
      </c>
      <c r="B79" s="286">
        <f>IF([11]Vagt!B24&lt;&gt;"",[11]Vagt!B24,"")</f>
        <v>122</v>
      </c>
      <c r="C79" s="286">
        <f>IF([11]Vagt!C24&lt;&gt;"",[11]Vagt!C24,"")</f>
        <v>39264</v>
      </c>
      <c r="D79" s="286" t="str">
        <f>IF([11]Vagt!D24&lt;&gt;"",[11]Vagt!D24,"")</f>
        <v>Kapelvej 47</v>
      </c>
      <c r="E79" s="289"/>
      <c r="F79" s="594">
        <f>IF([11]Vagt!F24&lt;&gt;"",[11]Vagt!F24,"")</f>
        <v>19459</v>
      </c>
      <c r="G79" s="226">
        <f>IF([11]Vagt!G24&lt;&gt;"",[11]Vagt!G24,"")</f>
        <v>398765</v>
      </c>
      <c r="H79" s="226">
        <f>IF([11]Vagt!H24&lt;&gt;"",[11]Vagt!H24,"")</f>
        <v>0</v>
      </c>
      <c r="I79" s="292">
        <f>IF([11]Vagt!I24&lt;&gt;"",[11]Vagt!I24,"")</f>
        <v>11820</v>
      </c>
      <c r="J79" s="292">
        <f>IF([11]Vagt!J24&lt;&gt;"",[11]Vagt!J24,"")</f>
        <v>147</v>
      </c>
      <c r="K79" s="292">
        <f>IF([11]Vagt!K24&lt;&gt;"",[11]Vagt!K24,"")</f>
        <v>40664</v>
      </c>
      <c r="L79" s="286" t="str">
        <f>IF([11]Vagt!L24&lt;&gt;"",[11]Vagt!L24,"")</f>
        <v>ØK-KBS- Nørre Søgade 35                                         (399335)</v>
      </c>
      <c r="M79" s="289"/>
      <c r="N79" s="598">
        <f>IF([11]Vagt!N24&lt;&gt;"",[11]Vagt!N24,"")</f>
        <v>74275</v>
      </c>
      <c r="O79" s="291"/>
      <c r="P79" s="244"/>
      <c r="Q79" s="227"/>
    </row>
    <row r="80" spans="1:17">
      <c r="A80" s="286">
        <f>IF([11]Vagt!A25&lt;&gt;"",[11]Vagt!A25,"")</f>
        <v>60109</v>
      </c>
      <c r="B80" s="286">
        <f>IF([11]Vagt!B25&lt;&gt;"",[11]Vagt!B25,"")</f>
        <v>128</v>
      </c>
      <c r="C80" s="286">
        <f>IF([11]Vagt!C25&lt;&gt;"",[11]Vagt!C25,"")</f>
        <v>39815</v>
      </c>
      <c r="D80" s="286" t="str">
        <f>IF([11]Vagt!D25&lt;&gt;"",[11]Vagt!D25,"")</f>
        <v>Bernstorffshus  (Ruth Denise Hansen)</v>
      </c>
      <c r="E80" s="289"/>
      <c r="F80" s="594">
        <f>IF([11]Vagt!F25&lt;&gt;"",[11]Vagt!F25,"")</f>
        <v>184424</v>
      </c>
      <c r="G80" s="226" t="str">
        <f>IF([11]Vagt!G25&lt;&gt;"",[11]Vagt!G25,"")</f>
        <v>437979</v>
      </c>
      <c r="H80" s="226" t="str">
        <f>IF([11]Vagt!H25&lt;&gt;"",[11]Vagt!H25,"")</f>
        <v>Fordeling</v>
      </c>
      <c r="I80" s="292">
        <f>IF([11]Vagt!I25&lt;&gt;"",[11]Vagt!I25,"")</f>
        <v>0</v>
      </c>
      <c r="J80" s="292">
        <f>IF([11]Vagt!J25&lt;&gt;"",[11]Vagt!J25,"")</f>
        <v>0</v>
      </c>
      <c r="K80" s="292">
        <f>IF([11]Vagt!K25&lt;&gt;"",[11]Vagt!K25,"")</f>
        <v>0</v>
      </c>
      <c r="L80" s="286">
        <f>IF([11]Vagt!L25&lt;&gt;"",[11]Vagt!L25,"")</f>
        <v>0</v>
      </c>
      <c r="M80" s="289"/>
      <c r="N80" s="598">
        <f>IF([11]Vagt!N25&lt;&gt;"",[11]Vagt!N25,"")</f>
        <v>0</v>
      </c>
      <c r="O80" s="291"/>
      <c r="P80" s="244"/>
      <c r="Q80" s="227"/>
    </row>
    <row r="81" spans="1:17">
      <c r="A81" s="286">
        <f>IF([11]Vagt!A26&lt;&gt;"",[11]Vagt!A26,"")</f>
        <v>0</v>
      </c>
      <c r="B81" s="286">
        <f>IF([11]Vagt!B26&lt;&gt;"",[11]Vagt!B26,"")</f>
        <v>0</v>
      </c>
      <c r="C81" s="286">
        <f>IF([11]Vagt!C26&lt;&gt;"",[11]Vagt!C26,"")</f>
        <v>0</v>
      </c>
      <c r="D81" s="286">
        <f>IF([11]Vagt!D26&lt;&gt;"",[11]Vagt!D26,"")</f>
        <v>0</v>
      </c>
      <c r="E81" s="289"/>
      <c r="F81" s="594">
        <f>IF([11]Vagt!F26&lt;&gt;"",[11]Vagt!F26,"")</f>
        <v>0</v>
      </c>
      <c r="G81" s="226">
        <f>IF([11]Vagt!G26&lt;&gt;"",[11]Vagt!G26,"")</f>
        <v>0</v>
      </c>
      <c r="H81" s="589" t="str">
        <f>IF([11]Vagt!H26&lt;&gt;"",[11]Vagt!H26,"")</f>
        <v>43,37 %</v>
      </c>
      <c r="I81" s="590">
        <f>IF([11]Vagt!I26&lt;&gt;"",[11]Vagt!I26,"")</f>
        <v>31404</v>
      </c>
      <c r="J81" s="590">
        <f>IF([11]Vagt!J26&lt;&gt;"",[11]Vagt!J26,"")</f>
        <v>758</v>
      </c>
      <c r="K81" s="590">
        <f>IF([11]Vagt!K26&lt;&gt;"",[11]Vagt!K26,"")</f>
        <v>37500</v>
      </c>
      <c r="L81" s="588" t="str">
        <f>IF([11]Vagt!L26&lt;&gt;"",[11]Vagt!L26,"")</f>
        <v>Jemtelandgade 3 KKU                                                (399342)</v>
      </c>
      <c r="M81" s="591"/>
      <c r="N81" s="598">
        <f>IF([11]Vagt!N26&lt;&gt;"",[11]Vagt!N26,"")</f>
        <v>41394</v>
      </c>
      <c r="O81" s="317"/>
      <c r="P81" s="244"/>
      <c r="Q81" s="227"/>
    </row>
    <row r="82" spans="1:17">
      <c r="A82" s="286">
        <f>IF([11]Vagt!A27&lt;&gt;"",[11]Vagt!A27,"")</f>
        <v>69707</v>
      </c>
      <c r="B82" s="286">
        <f>IF([11]Vagt!B27&lt;&gt;"",[11]Vagt!B27,"")</f>
        <v>130</v>
      </c>
      <c r="C82" s="286">
        <f>IF([11]Vagt!C27&lt;&gt;"",[11]Vagt!C27,"")</f>
        <v>39918</v>
      </c>
      <c r="D82" s="286" t="str">
        <f>IF([11]Vagt!D27&lt;&gt;"",[11]Vagt!D27,"")</f>
        <v>Rådhuspladsen 77, 1+2. sal (Carsten Pauli Hansen)</v>
      </c>
      <c r="E82" s="289"/>
      <c r="F82" s="594">
        <f>IF([11]Vagt!F27&lt;&gt;"",[11]Vagt!F27,"")</f>
        <v>30735</v>
      </c>
      <c r="G82" s="226" t="str">
        <f>IF([11]Vagt!G27&lt;&gt;"",[11]Vagt!G27,"")</f>
        <v>419415</v>
      </c>
      <c r="H82" s="589" t="str">
        <f>IF([11]Vagt!H27&lt;&gt;"",[11]Vagt!H27,"")</f>
        <v>18,16%</v>
      </c>
      <c r="I82" s="590">
        <f>IF([11]Vagt!I27&lt;&gt;"",[11]Vagt!I27,"")</f>
        <v>51302</v>
      </c>
      <c r="J82" s="590">
        <f>IF([11]Vagt!J27&lt;&gt;"",[11]Vagt!J27,"")</f>
        <v>114</v>
      </c>
      <c r="K82" s="590">
        <f>IF([11]Vagt!K27&lt;&gt;"",[11]Vagt!K27,"")</f>
        <v>40544</v>
      </c>
      <c r="L82" s="588" t="str">
        <f>IF([11]Vagt!L27&lt;&gt;"",[11]Vagt!L27,"")</f>
        <v>Jemtelandgade 3 Kvarterløft                                        (339347)</v>
      </c>
      <c r="M82" s="591"/>
      <c r="N82" s="598">
        <f>IF([11]Vagt!N27&lt;&gt;"",[11]Vagt!N27,"")</f>
        <v>17330</v>
      </c>
      <c r="O82" s="317"/>
      <c r="P82" s="244"/>
      <c r="Q82" s="227"/>
    </row>
    <row r="83" spans="1:17">
      <c r="A83" s="286">
        <f>IF([11]Vagt!A28&lt;&gt;"",[11]Vagt!A28,"")</f>
        <v>0</v>
      </c>
      <c r="B83" s="286">
        <f>IF([11]Vagt!B28&lt;&gt;"",[11]Vagt!B28,"")</f>
        <v>0</v>
      </c>
      <c r="C83" s="286">
        <f>IF([11]Vagt!C28&lt;&gt;"",[11]Vagt!C28,"")</f>
        <v>0</v>
      </c>
      <c r="D83" s="286">
        <f>IF([11]Vagt!D28&lt;&gt;"",[11]Vagt!D28,"")</f>
        <v>0</v>
      </c>
      <c r="E83" s="289"/>
      <c r="F83" s="594">
        <f>IF([11]Vagt!F28&lt;&gt;"",[11]Vagt!F28,"")</f>
        <v>0</v>
      </c>
      <c r="G83" s="226">
        <f>IF([11]Vagt!G28&lt;&gt;"",[11]Vagt!G28,"")</f>
        <v>0</v>
      </c>
      <c r="H83" s="589" t="str">
        <f>IF([11]Vagt!H28&lt;&gt;"",[11]Vagt!H28,"")</f>
        <v>38,47 %</v>
      </c>
      <c r="I83" s="590">
        <f>IF([11]Vagt!I28&lt;&gt;"",[11]Vagt!I28,"")</f>
        <v>53204</v>
      </c>
      <c r="J83" s="590">
        <f>IF([11]Vagt!J28&lt;&gt;"",[11]Vagt!J28,"")</f>
        <v>114</v>
      </c>
      <c r="K83" s="590">
        <f>IF([11]Vagt!K28&lt;&gt;"",[11]Vagt!K28,"")</f>
        <v>40544</v>
      </c>
      <c r="L83" s="588" t="str">
        <f>IF([11]Vagt!L28&lt;&gt;"",[11]Vagt!L28,"")</f>
        <v>Jemtelandgade 3 bibliotek                                           (399355)</v>
      </c>
      <c r="M83" s="591"/>
      <c r="N83" s="598">
        <f>IF([11]Vagt!N28&lt;&gt;"",[11]Vagt!N28,"")</f>
        <v>36865</v>
      </c>
      <c r="O83" s="317"/>
      <c r="P83" s="244"/>
      <c r="Q83" s="227"/>
    </row>
    <row r="84" spans="1:17">
      <c r="A84" s="286">
        <f>IF([11]Vagt!A29&lt;&gt;"",[11]Vagt!A29,"")</f>
        <v>54116</v>
      </c>
      <c r="B84" s="286">
        <f>IF([11]Vagt!B29&lt;&gt;"",[11]Vagt!B29,"")</f>
        <v>132</v>
      </c>
      <c r="C84" s="286">
        <f>IF([11]Vagt!C29&lt;&gt;"",[11]Vagt!C29,"")</f>
        <v>40057</v>
      </c>
      <c r="D84" s="286" t="str">
        <f>IF([11]Vagt!D29&lt;&gt;"",[11]Vagt!D29,"")</f>
        <v>Hans Nansens Gård (Kejd)(FM)</v>
      </c>
      <c r="E84" s="289"/>
      <c r="F84" s="594">
        <f>IF([11]Vagt!F29&lt;&gt;"",[11]Vagt!F29,"")</f>
        <v>187854</v>
      </c>
      <c r="G84" s="226">
        <f>IF([11]Vagt!G29&lt;&gt;"",[11]Vagt!G29,"")</f>
        <v>399143</v>
      </c>
      <c r="H84" s="226">
        <f>IF([11]Vagt!H29&lt;&gt;"",[11]Vagt!H29,"")</f>
        <v>0</v>
      </c>
      <c r="I84" s="292">
        <f>IF([11]Vagt!I29&lt;&gt;"",[11]Vagt!I29,"")</f>
        <v>62300</v>
      </c>
      <c r="J84" s="292">
        <f>IF([11]Vagt!J29&lt;&gt;"",[11]Vagt!J29,"")</f>
        <v>149</v>
      </c>
      <c r="K84" s="292">
        <f>IF([11]Vagt!K29&lt;&gt;"",[11]Vagt!K29,"")</f>
        <v>40544</v>
      </c>
      <c r="L84" s="286" t="str">
        <f>IF([11]Vagt!L29&lt;&gt;"",[11]Vagt!L29,"")</f>
        <v>Spaniensgade 25, BFCK-Amager øst                           (399390)</v>
      </c>
      <c r="M84" s="289"/>
      <c r="N84" s="594">
        <f>IF([11]Vagt!N29&lt;&gt;"",[11]Vagt!N29,"")</f>
        <v>51630</v>
      </c>
      <c r="O84" s="317"/>
      <c r="P84" s="244"/>
      <c r="Q84" s="227"/>
    </row>
    <row r="85" spans="1:17">
      <c r="A85" s="286">
        <f>IF([11]Vagt!A30&lt;&gt;"",[11]Vagt!A30,"")</f>
        <v>38050</v>
      </c>
      <c r="B85" s="286" t="str">
        <f>IF([11]Vagt!B30&lt;&gt;"",[11]Vagt!B30,"")</f>
        <v>724 a</v>
      </c>
      <c r="C85" s="286">
        <f>IF([11]Vagt!C30&lt;&gt;"",[11]Vagt!C30,"")</f>
        <v>39448</v>
      </c>
      <c r="D85" s="286" t="str">
        <f>IF([11]Vagt!D30&lt;&gt;"",[11]Vagt!D30,"")</f>
        <v>Stormgade 18 (BUF)</v>
      </c>
      <c r="E85" s="289"/>
      <c r="F85" s="594">
        <f>IF([11]Vagt!F30&lt;&gt;"",[11]Vagt!F30,"")</f>
        <v>31603</v>
      </c>
      <c r="G85" s="226" t="str">
        <f>IF([11]Vagt!G30&lt;&gt;"",[11]Vagt!G30,"")</f>
        <v>418541</v>
      </c>
      <c r="H85" s="226">
        <f>IF([11]Vagt!H30&lt;&gt;"",[11]Vagt!H30,"")</f>
        <v>0</v>
      </c>
      <c r="I85" s="292">
        <f>IF([11]Vagt!I30&lt;&gt;"",[11]Vagt!I30,"")</f>
        <v>62300</v>
      </c>
      <c r="J85" s="292">
        <f>IF([11]Vagt!J30&lt;&gt;"",[11]Vagt!J30,"")</f>
        <v>148</v>
      </c>
      <c r="K85" s="292">
        <f>IF([11]Vagt!K30&lt;&gt;"",[11]Vagt!K30,"")</f>
        <v>40544</v>
      </c>
      <c r="L85" s="286" t="str">
        <f>IF([11]Vagt!L30&lt;&gt;"",[11]Vagt!L30,"")</f>
        <v>Remisevej 19, BFCK-Amager vest                               (438042)</v>
      </c>
      <c r="M85" s="289"/>
      <c r="N85" s="594">
        <f>IF([11]Vagt!N30&lt;&gt;"",[11]Vagt!N30,"")</f>
        <v>59243</v>
      </c>
      <c r="O85" s="317"/>
      <c r="P85" s="244"/>
      <c r="Q85" s="227"/>
    </row>
    <row r="86" spans="1:17">
      <c r="A86" s="286">
        <f>IF([11]Vagt!A31&lt;&gt;"",[11]Vagt!A31,"")</f>
        <v>0</v>
      </c>
      <c r="B86" s="286">
        <f>IF([11]Vagt!B31&lt;&gt;"",[11]Vagt!B31,"")</f>
        <v>0</v>
      </c>
      <c r="C86" s="286">
        <f>IF([11]Vagt!C31&lt;&gt;"",[11]Vagt!C31,"")</f>
        <v>0</v>
      </c>
      <c r="D86" s="286">
        <f>IF([11]Vagt!D31&lt;&gt;"",[11]Vagt!D31,"")</f>
        <v>0</v>
      </c>
      <c r="E86" s="289"/>
      <c r="F86" s="594">
        <f>IF([11]Vagt!F31&lt;&gt;"",[11]Vagt!F31,"")</f>
        <v>0</v>
      </c>
      <c r="G86" s="226">
        <f>IF([11]Vagt!G31&lt;&gt;"",[11]Vagt!G31,"")</f>
        <v>0</v>
      </c>
      <c r="H86" s="226">
        <f>IF([11]Vagt!H31&lt;&gt;"",[11]Vagt!H31,"")</f>
        <v>0</v>
      </c>
      <c r="I86" s="292">
        <f>IF([11]Vagt!I31&lt;&gt;"",[11]Vagt!I31,"")</f>
        <v>40530</v>
      </c>
      <c r="J86" s="292">
        <f>IF([11]Vagt!J31&lt;&gt;"",[11]Vagt!J31,"")</f>
        <v>900</v>
      </c>
      <c r="K86" s="292">
        <f>IF([11]Vagt!K31&lt;&gt;"",[11]Vagt!K31,"")</f>
        <v>38353</v>
      </c>
      <c r="L86" s="286" t="str">
        <f>IF([11]Vagt!L31&lt;&gt;"",[11]Vagt!L31,"")</f>
        <v>Miljøkontrollen (tlf. eksp.)                                            (419762)</v>
      </c>
      <c r="M86" s="289"/>
      <c r="N86" s="594">
        <f>IF([11]Vagt!N31&lt;&gt;"",[11]Vagt!N31,"")</f>
        <v>4306</v>
      </c>
      <c r="O86" s="317"/>
      <c r="P86" s="244"/>
      <c r="Q86" s="227"/>
    </row>
    <row r="87" spans="1:17">
      <c r="A87" s="286">
        <f>IF([11]Vagt!A32&lt;&gt;"",[11]Vagt!A32,"")</f>
        <v>62200</v>
      </c>
      <c r="B87" s="286">
        <f>IF([11]Vagt!B32&lt;&gt;"",[11]Vagt!B32,"")</f>
        <v>127</v>
      </c>
      <c r="C87" s="286">
        <f>IF([11]Vagt!C32&lt;&gt;"",[11]Vagt!C32,"")</f>
        <v>41275</v>
      </c>
      <c r="D87" s="286" t="str">
        <f>IF([11]Vagt!D32&lt;&gt;"",[11]Vagt!D32,"")</f>
        <v>Matthæusgade 1</v>
      </c>
      <c r="E87" s="289"/>
      <c r="F87" s="594">
        <f>IF([11]Vagt!F32&lt;&gt;"",[11]Vagt!F32,"")</f>
        <v>87352</v>
      </c>
      <c r="G87" s="226">
        <f>IF([11]Vagt!G32&lt;&gt;"",[11]Vagt!G32,"")</f>
        <v>399169</v>
      </c>
      <c r="H87" s="226">
        <f>IF([11]Vagt!H32&lt;&gt;"",[11]Vagt!H32,"")</f>
        <v>0</v>
      </c>
      <c r="I87" s="292">
        <f>IF([11]Vagt!I32&lt;&gt;"",[11]Vagt!I32,"")</f>
        <v>38400</v>
      </c>
      <c r="J87" s="292">
        <f>IF([11]Vagt!J32&lt;&gt;"",[11]Vagt!J32,"")</f>
        <v>138</v>
      </c>
      <c r="K87" s="292">
        <f>IF([11]Vagt!K32&lt;&gt;"",[11]Vagt!K32,"")</f>
        <v>41640</v>
      </c>
      <c r="L87" s="286" t="str">
        <f>IF([11]Vagt!L32&lt;&gt;"",[11]Vagt!L32,"")</f>
        <v>BUF-Linde Alle 40-44                                                  (399520)</v>
      </c>
      <c r="M87" s="289"/>
      <c r="N87" s="594">
        <f>IF([11]Vagt!N32&lt;&gt;"",[11]Vagt!N32,"")</f>
        <v>40250</v>
      </c>
      <c r="O87" s="317"/>
      <c r="P87" s="244"/>
      <c r="Q87" s="227"/>
    </row>
    <row r="88" spans="1:17">
      <c r="A88" s="286">
        <f>IF([11]Vagt!A33&lt;&gt;"",[11]Vagt!A33,"")</f>
        <v>39610</v>
      </c>
      <c r="B88" s="286">
        <f>IF([11]Vagt!B33&lt;&gt;"",[11]Vagt!B33,"")</f>
        <v>153</v>
      </c>
      <c r="C88" s="286">
        <f>IF([11]Vagt!C33&lt;&gt;"",[11]Vagt!C33,"")</f>
        <v>41275</v>
      </c>
      <c r="D88" s="286" t="str">
        <f>IF([11]Vagt!D33&lt;&gt;"",[11]Vagt!D33,"")</f>
        <v>BUF Skolesupport</v>
      </c>
      <c r="E88" s="289"/>
      <c r="F88" s="594">
        <f>IF([11]Vagt!F33&lt;&gt;"",[11]Vagt!F33,"")</f>
        <v>162080</v>
      </c>
      <c r="G88" s="226">
        <f>IF([11]Vagt!G33&lt;&gt;"",[11]Vagt!G33,"")</f>
        <v>399171</v>
      </c>
      <c r="H88" s="226">
        <f>IF([11]Vagt!H33&lt;&gt;"",[11]Vagt!H33,"")</f>
        <v>0</v>
      </c>
      <c r="I88" s="292">
        <f>IF([11]Vagt!I33&lt;&gt;"",[11]Vagt!I33,"")</f>
        <v>51308</v>
      </c>
      <c r="J88" s="292">
        <f>IF([11]Vagt!J33&lt;&gt;"",[11]Vagt!J33,"")</f>
        <v>158</v>
      </c>
      <c r="K88" s="292">
        <f>IF([11]Vagt!K33&lt;&gt;"",[11]Vagt!K33,"")</f>
        <v>41640</v>
      </c>
      <c r="L88" s="286" t="str">
        <f>IF([11]Vagt!L33&lt;&gt;"",[11]Vagt!L33,"")</f>
        <v>Lyrskovgade 4         Fra 2015. 86.231 årligt                  (399529)</v>
      </c>
      <c r="M88" s="289"/>
      <c r="N88" s="594">
        <f>IF([11]Vagt!N33&lt;&gt;"",[11]Vagt!N33,"")</f>
        <v>79045</v>
      </c>
      <c r="O88" s="317"/>
      <c r="P88" s="244"/>
      <c r="Q88" s="227"/>
    </row>
    <row r="89" spans="1:17">
      <c r="A89" s="286">
        <f>IF([11]Vagt!A34&lt;&gt;"",[11]Vagt!A34,"")</f>
        <v>53201</v>
      </c>
      <c r="B89" s="286">
        <f>IF([11]Vagt!B34&lt;&gt;"",[11]Vagt!B34,"")</f>
        <v>154</v>
      </c>
      <c r="C89" s="286">
        <f>IF([11]Vagt!C34&lt;&gt;"",[11]Vagt!C34,"")</f>
        <v>41640</v>
      </c>
      <c r="D89" s="286" t="str">
        <f>IF([11]Vagt!D34&lt;&gt;"",[11]Vagt!D34,"")</f>
        <v>KFF Biblioteket Njalsgade (Jan Henriksen)</v>
      </c>
      <c r="E89" s="289"/>
      <c r="F89" s="594">
        <f>IF([11]Vagt!F34&lt;&gt;"",[11]Vagt!F34,"")</f>
        <v>38823</v>
      </c>
      <c r="G89" s="226">
        <f>IF([11]Vagt!G34&lt;&gt;"",[11]Vagt!G34,"")</f>
        <v>399175</v>
      </c>
      <c r="H89" s="226">
        <f>IF([11]Vagt!H34&lt;&gt;"",[11]Vagt!H34,"")</f>
        <v>0</v>
      </c>
      <c r="I89" s="292">
        <f>IF([11]Vagt!I34&lt;&gt;"",[11]Vagt!I34,"")</f>
        <v>55020</v>
      </c>
      <c r="J89" s="292">
        <f>IF([11]Vagt!J34&lt;&gt;"",[11]Vagt!J34,"")</f>
        <v>115</v>
      </c>
      <c r="K89" s="292">
        <f>IF([11]Vagt!K34&lt;&gt;"",[11]Vagt!K34,"")</f>
        <v>41456</v>
      </c>
      <c r="L89" s="286" t="str">
        <f>IF([11]Vagt!L34&lt;&gt;"",[11]Vagt!L34,"")</f>
        <v>ØK-Borgerservice, Gyldenløvesgade 11                        (399533)</v>
      </c>
      <c r="M89" s="289"/>
      <c r="N89" s="594">
        <f>IF([11]Vagt!N34&lt;&gt;"",[11]Vagt!N34,"")</f>
        <v>29116</v>
      </c>
      <c r="O89" s="320"/>
      <c r="P89" s="244"/>
      <c r="Q89" s="227"/>
    </row>
    <row r="90" spans="1:17">
      <c r="A90" s="286">
        <f>IF([11]Vagt!A35&lt;&gt;"",[11]Vagt!A35,"")</f>
        <v>28100</v>
      </c>
      <c r="B90" s="286">
        <f>IF([11]Vagt!B35&lt;&gt;"",[11]Vagt!B35,"")</f>
        <v>728</v>
      </c>
      <c r="C90" s="286">
        <f>IF([11]Vagt!C35&lt;&gt;"",[11]Vagt!C35,"")</f>
        <v>38846</v>
      </c>
      <c r="D90" s="286" t="str">
        <f>IF([11]Vagt!D35&lt;&gt;"",[11]Vagt!D35,"")</f>
        <v>Enghavevej  (Frits Nielsen)</v>
      </c>
      <c r="E90" s="289"/>
      <c r="F90" s="594">
        <f>IF([11]Vagt!F35&lt;&gt;"",[11]Vagt!F35,"")</f>
        <v>76094</v>
      </c>
      <c r="G90" s="226">
        <f>IF([11]Vagt!G35&lt;&gt;"",[11]Vagt!G35,"")</f>
        <v>399180</v>
      </c>
      <c r="H90" s="226">
        <f>IF([11]Vagt!H35&lt;&gt;"",[11]Vagt!H35,"")</f>
        <v>0</v>
      </c>
      <c r="I90" s="292">
        <f>IF([11]Vagt!I35&lt;&gt;"",[11]Vagt!I35,"")</f>
        <v>54116</v>
      </c>
      <c r="J90" s="292">
        <f>IF([11]Vagt!J35&lt;&gt;"",[11]Vagt!J35,"")</f>
        <v>110</v>
      </c>
      <c r="K90" s="292">
        <f>IF([11]Vagt!K35&lt;&gt;"",[11]Vagt!K35,"")</f>
        <v>41456</v>
      </c>
      <c r="L90" s="286" t="str">
        <f>IF([11]Vagt!L35&lt;&gt;"",[11]Vagt!L35,"")</f>
        <v>Konernservice- Fuglebakken, Borups Alle 177               (399536)</v>
      </c>
      <c r="M90" s="289"/>
      <c r="N90" s="594">
        <f>IF([11]Vagt!N35&lt;&gt;"",[11]Vagt!N35,"")</f>
        <v>174704</v>
      </c>
      <c r="O90" s="320"/>
      <c r="P90" s="244"/>
      <c r="Q90" s="227"/>
    </row>
    <row r="91" spans="1:17">
      <c r="A91" s="286">
        <f>IF([11]Vagt!A36&lt;&gt;"",[11]Vagt!A36,"")</f>
        <v>82500</v>
      </c>
      <c r="B91" s="286">
        <f>IF([11]Vagt!B36&lt;&gt;"",[11]Vagt!B36,"")</f>
        <v>151</v>
      </c>
      <c r="C91" s="286">
        <f>IF([11]Vagt!C36&lt;&gt;"",[11]Vagt!C36,"")</f>
        <v>40603</v>
      </c>
      <c r="D91" s="286" t="str">
        <f>IF([11]Vagt!D36&lt;&gt;"",[11]Vagt!D36,"")</f>
        <v>BIF-Baldersgade 24  (Thomas D. Waarkjær)</v>
      </c>
      <c r="E91" s="289"/>
      <c r="F91" s="594">
        <f>IF([11]Vagt!F36&lt;&gt;"",[11]Vagt!F36,"")</f>
        <v>97863</v>
      </c>
      <c r="G91" s="226" t="str">
        <f>IF([11]Vagt!G36&lt;&gt;"",[11]Vagt!G36,"")</f>
        <v>418360</v>
      </c>
      <c r="H91" s="226">
        <f>IF([11]Vagt!H36&lt;&gt;"",[11]Vagt!H36,"")</f>
        <v>0</v>
      </c>
      <c r="I91" s="292">
        <f>IF([11]Vagt!I36&lt;&gt;"",[11]Vagt!I36,"")</f>
        <v>20100</v>
      </c>
      <c r="J91" s="292" t="str">
        <f>IF([11]Vagt!J36&lt;&gt;"",[11]Vagt!J36,"")</f>
        <v>Rådhuset</v>
      </c>
      <c r="K91" s="292">
        <f>IF([11]Vagt!K36&lt;&gt;"",[11]Vagt!K36,"")</f>
        <v>40179</v>
      </c>
      <c r="L91" s="286" t="str">
        <f>IF([11]Vagt!L36&lt;&gt;"",[11]Vagt!L36,"")</f>
        <v>SUF                  (Tanja K. Lund)                                  (399639)</v>
      </c>
      <c r="M91" s="289"/>
      <c r="N91" s="594">
        <f>IF([11]Vagt!N36&lt;&gt;"",[11]Vagt!N36,"")</f>
        <v>581897</v>
      </c>
      <c r="O91" s="320"/>
      <c r="P91" s="244"/>
      <c r="Q91" s="227"/>
    </row>
    <row r="92" spans="1:17">
      <c r="A92" s="286">
        <f>IF([11]Vagt!A37&lt;&gt;"",[11]Vagt!A37,"")</f>
        <v>82505</v>
      </c>
      <c r="B92" s="286">
        <f>IF([11]Vagt!B37&lt;&gt;"",[11]Vagt!B37,"")</f>
        <v>152</v>
      </c>
      <c r="C92" s="286">
        <f>IF([11]Vagt!C37&lt;&gt;"",[11]Vagt!C37,"")</f>
        <v>40603</v>
      </c>
      <c r="D92" s="286" t="str">
        <f>IF([11]Vagt!D37&lt;&gt;"",[11]Vagt!D37,"")</f>
        <v>BIF-Baldersgade 3B, 1. + 3. sal</v>
      </c>
      <c r="E92" s="289"/>
      <c r="F92" s="594">
        <f>IF([11]Vagt!F37&lt;&gt;"",[11]Vagt!F37,"")</f>
        <v>42969</v>
      </c>
      <c r="G92" s="226" t="str">
        <f>IF([11]Vagt!G37&lt;&gt;"",[11]Vagt!G37,"")</f>
        <v>419317</v>
      </c>
      <c r="H92" s="226">
        <f>IF([11]Vagt!H37&lt;&gt;"",[11]Vagt!H37,"")</f>
        <v>0</v>
      </c>
      <c r="I92" s="292">
        <f>IF([11]Vagt!I37&lt;&gt;"",[11]Vagt!I37,"")</f>
        <v>80005</v>
      </c>
      <c r="J92" s="292" t="str">
        <f>IF([11]Vagt!J37&lt;&gt;"",[11]Vagt!J37,"")</f>
        <v>Rådhuset</v>
      </c>
      <c r="K92" s="292">
        <f>IF([11]Vagt!K37&lt;&gt;"",[11]Vagt!K37,"")</f>
        <v>40179</v>
      </c>
      <c r="L92" s="286" t="str">
        <f>IF([11]Vagt!L37&lt;&gt;"",[11]Vagt!L37,"")</f>
        <v>BIF                                                                           (418351)</v>
      </c>
      <c r="M92" s="289"/>
      <c r="N92" s="594">
        <f>IF([11]Vagt!N37&lt;&gt;"",[11]Vagt!N37,"")</f>
        <v>521491</v>
      </c>
      <c r="O92" s="291"/>
      <c r="P92" s="244"/>
      <c r="Q92" s="227"/>
    </row>
    <row r="93" spans="1:17">
      <c r="A93" s="286">
        <f>IF([11]Vagt!A38&lt;&gt;"",[11]Vagt!A38,"")</f>
        <v>62400</v>
      </c>
      <c r="B93" s="286">
        <f>IF([11]Vagt!B38&lt;&gt;"",[11]Vagt!B38,"")</f>
        <v>141</v>
      </c>
      <c r="C93" s="286">
        <f>IF([11]Vagt!C38&lt;&gt;"",[11]Vagt!C38,"")</f>
        <v>41640</v>
      </c>
      <c r="D93" s="286" t="str">
        <f>IF([11]Vagt!D38&lt;&gt;"",[11]Vagt!D38,"")</f>
        <v>SOF-Nørre Voldgade 15, 1. sal (Avlastenok)</v>
      </c>
      <c r="E93" s="289"/>
      <c r="F93" s="594">
        <f>IF([11]Vagt!F38&lt;&gt;"",[11]Vagt!F38,"")</f>
        <v>24000</v>
      </c>
      <c r="G93" s="584">
        <f>IF([11]Vagt!G38&lt;&gt;"",[11]Vagt!G38,"")</f>
        <v>399218</v>
      </c>
      <c r="H93" s="226">
        <f>IF([11]Vagt!H38&lt;&gt;"",[11]Vagt!H38,"")</f>
        <v>0</v>
      </c>
      <c r="I93" s="292">
        <f>IF([11]Vagt!I38&lt;&gt;"",[11]Vagt!I38,"")</f>
        <v>39630</v>
      </c>
      <c r="J93" s="292" t="str">
        <f>IF([11]Vagt!J38&lt;&gt;"",[11]Vagt!J38,"")</f>
        <v>Rådhuset</v>
      </c>
      <c r="K93" s="292">
        <f>IF([11]Vagt!K38&lt;&gt;"",[11]Vagt!K38,"")</f>
        <v>40179</v>
      </c>
      <c r="L93" s="286" t="str">
        <f>IF([11]Vagt!L38&lt;&gt;"",[11]Vagt!L38,"")</f>
        <v>BUF                                                                          (399651)</v>
      </c>
      <c r="M93" s="289"/>
      <c r="N93" s="594">
        <f>IF([11]Vagt!N38&lt;&gt;"",[11]Vagt!N38,"")</f>
        <v>596426</v>
      </c>
      <c r="O93" s="327"/>
      <c r="P93" s="244"/>
      <c r="Q93" s="227"/>
    </row>
    <row r="94" spans="1:17">
      <c r="A94" s="286">
        <f>IF([11]Vagt!A39&lt;&gt;"",[11]Vagt!A39,"")</f>
        <v>37100</v>
      </c>
      <c r="B94" s="286">
        <f>IF([11]Vagt!B39&lt;&gt;"",[11]Vagt!B39,"")</f>
        <v>142</v>
      </c>
      <c r="C94" s="286">
        <f>IF([11]Vagt!C39&lt;&gt;"",[11]Vagt!C39,"")</f>
        <v>41640</v>
      </c>
      <c r="D94" s="286" t="str">
        <f>IF([11]Vagt!D39&lt;&gt;"",[11]Vagt!D39,"")</f>
        <v>BUF-Nørre Voldgade 15, 2.sal (Thuesen)</v>
      </c>
      <c r="E94" s="289"/>
      <c r="F94" s="594">
        <f>IF([11]Vagt!F39&lt;&gt;"",[11]Vagt!F39,"")</f>
        <v>24000</v>
      </c>
      <c r="G94" s="584">
        <f>IF([11]Vagt!G39&lt;&gt;"",[11]Vagt!G39,"")</f>
        <v>399221</v>
      </c>
      <c r="H94" s="226">
        <f>IF([11]Vagt!H39&lt;&gt;"",[11]Vagt!H39,"")</f>
        <v>0</v>
      </c>
      <c r="I94" s="292">
        <f>IF([11]Vagt!I39&lt;&gt;"",[11]Vagt!I39,"")</f>
        <v>49700</v>
      </c>
      <c r="J94" s="292" t="str">
        <f>IF([11]Vagt!J39&lt;&gt;"",[11]Vagt!J39,"")</f>
        <v>Rådhuset</v>
      </c>
      <c r="K94" s="292">
        <f>IF([11]Vagt!K39&lt;&gt;"",[11]Vagt!K39,"")</f>
        <v>40179</v>
      </c>
      <c r="L94" s="286" t="str">
        <f>IF([11]Vagt!L39&lt;&gt;"",[11]Vagt!L39,"")</f>
        <v>TMF                                                                          (417654)</v>
      </c>
      <c r="M94" s="289"/>
      <c r="N94" s="594">
        <f>IF([11]Vagt!N39&lt;&gt;"",[11]Vagt!N39,"")</f>
        <v>559159</v>
      </c>
      <c r="O94" s="327"/>
      <c r="P94" s="244"/>
      <c r="Q94" s="227"/>
    </row>
    <row r="95" spans="1:17">
      <c r="A95" s="286">
        <f>IF([11]Vagt!A40&lt;&gt;"",[11]Vagt!A40,"")</f>
        <v>33410</v>
      </c>
      <c r="B95" s="286">
        <f>IF([11]Vagt!B40&lt;&gt;"",[11]Vagt!B40,"")</f>
        <v>143</v>
      </c>
      <c r="C95" s="286">
        <f>IF([11]Vagt!C40&lt;&gt;"",[11]Vagt!C40,"")</f>
        <v>41640</v>
      </c>
      <c r="D95" s="286" t="str">
        <f>IF([11]Vagt!D40&lt;&gt;"",[11]Vagt!D40,"")</f>
        <v>BUF-Nørre Voldgade 15, 3. sal (Thor Larsen)</v>
      </c>
      <c r="E95" s="289"/>
      <c r="F95" s="594">
        <f>IF([11]Vagt!F40&lt;&gt;"",[11]Vagt!F40,"")</f>
        <v>24000</v>
      </c>
      <c r="G95" s="584">
        <f>IF([11]Vagt!G40&lt;&gt;"",[11]Vagt!G40,"")</f>
        <v>399225</v>
      </c>
      <c r="H95" s="226">
        <f>IF([11]Vagt!H40&lt;&gt;"",[11]Vagt!H40,"")</f>
        <v>0</v>
      </c>
      <c r="I95" s="292">
        <f>IF([11]Vagt!I40&lt;&gt;"",[11]Vagt!I40,"")</f>
        <v>60109</v>
      </c>
      <c r="J95" s="292" t="str">
        <f>IF([11]Vagt!J40&lt;&gt;"",[11]Vagt!J40,"")</f>
        <v>Rådhuset</v>
      </c>
      <c r="K95" s="292">
        <f>IF([11]Vagt!K40&lt;&gt;"",[11]Vagt!K40,"")</f>
        <v>40179</v>
      </c>
      <c r="L95" s="286" t="str">
        <f>IF([11]Vagt!L40&lt;&gt;"",[11]Vagt!L40,"")</f>
        <v>SOF                                                                          (399669)</v>
      </c>
      <c r="M95" s="289"/>
      <c r="N95" s="594">
        <f>IF([11]Vagt!N40&lt;&gt;"",[11]Vagt!N40,"")</f>
        <v>739129</v>
      </c>
      <c r="O95" s="327"/>
      <c r="P95" s="244"/>
      <c r="Q95" s="227"/>
    </row>
    <row r="96" spans="1:17">
      <c r="A96" s="286">
        <f>IF([11]Vagt!A41&lt;&gt;"",[11]Vagt!A41,"")</f>
        <v>62300</v>
      </c>
      <c r="B96" s="286">
        <f>IF([11]Vagt!B41&lt;&gt;"",[11]Vagt!B41,"")</f>
        <v>144</v>
      </c>
      <c r="C96" s="286">
        <f>IF([11]Vagt!C41&lt;&gt;"",[11]Vagt!C41,"")</f>
        <v>40544</v>
      </c>
      <c r="D96" s="286" t="str">
        <f>IF([11]Vagt!D41&lt;&gt;"",[11]Vagt!D41,"")</f>
        <v>SOF-Linne Gade 16, i port 2 (Ophørt Privat Lej)</v>
      </c>
      <c r="E96" s="289"/>
      <c r="F96" s="594">
        <f>IF([11]Vagt!F41&lt;&gt;"",[11]Vagt!F41,"")</f>
        <v>0</v>
      </c>
      <c r="G96" s="584">
        <f>IF([11]Vagt!G41&lt;&gt;"",[11]Vagt!G41,"")</f>
        <v>0</v>
      </c>
      <c r="H96" s="226">
        <f>IF([11]Vagt!H41&lt;&gt;"",[11]Vagt!H41,"")</f>
        <v>0</v>
      </c>
      <c r="I96" s="292">
        <f>IF([11]Vagt!I41&lt;&gt;"",[11]Vagt!I41,"")</f>
        <v>11023</v>
      </c>
      <c r="J96" s="292" t="str">
        <f>IF([11]Vagt!J41&lt;&gt;"",[11]Vagt!J41,"")</f>
        <v>Rådhuset</v>
      </c>
      <c r="K96" s="292">
        <f>IF([11]Vagt!K41&lt;&gt;"",[11]Vagt!K41,"")</f>
        <v>40179</v>
      </c>
      <c r="L96" s="286" t="str">
        <f>IF([11]Vagt!L41&lt;&gt;"",[11]Vagt!L41,"")</f>
        <v>ØKF                                                                          (399675)</v>
      </c>
      <c r="M96" s="289"/>
      <c r="N96" s="594">
        <f>IF([11]Vagt!N41&lt;&gt;"",[11]Vagt!N41,"")</f>
        <v>4244632</v>
      </c>
      <c r="O96" s="327"/>
      <c r="P96" s="244"/>
      <c r="Q96" s="227"/>
    </row>
    <row r="97" spans="1:17">
      <c r="A97" s="286">
        <f>IF([11]Vagt!A42&lt;&gt;"",[11]Vagt!A42,"")</f>
        <v>39851</v>
      </c>
      <c r="B97" s="286">
        <f>IF([11]Vagt!B42&lt;&gt;"",[11]Vagt!B42,"")</f>
        <v>145</v>
      </c>
      <c r="C97" s="286">
        <f>IF([11]Vagt!C42&lt;&gt;"",[11]Vagt!C42,"")</f>
        <v>41640</v>
      </c>
      <c r="D97" s="286" t="str">
        <f>IF([11]Vagt!D42&lt;&gt;"",[11]Vagt!D42,"")</f>
        <v>BUF-Nørre Voldgade 15, 4.sal (Mikkelsen)</v>
      </c>
      <c r="E97" s="289"/>
      <c r="F97" s="594">
        <f>IF([11]Vagt!F42&lt;&gt;"",[11]Vagt!F42,"")</f>
        <v>24000</v>
      </c>
      <c r="G97" s="584">
        <f>IF([11]Vagt!G42&lt;&gt;"",[11]Vagt!G42,"")</f>
        <v>399228</v>
      </c>
      <c r="H97" s="226">
        <f>IF([11]Vagt!H42&lt;&gt;"",[11]Vagt!H42,"")</f>
        <v>0</v>
      </c>
      <c r="I97" s="292">
        <f>IF([11]Vagt!I42&lt;&gt;"",[11]Vagt!I42,"")</f>
        <v>11023</v>
      </c>
      <c r="J97" s="292" t="str">
        <f>IF([11]Vagt!J42&lt;&gt;"",[11]Vagt!J42,"")</f>
        <v>Rådhuset</v>
      </c>
      <c r="K97" s="292">
        <f>IF([11]Vagt!K42&lt;&gt;"",[11]Vagt!K42,"")</f>
        <v>40179</v>
      </c>
      <c r="L97" s="286" t="str">
        <f>IF([11]Vagt!L42&lt;&gt;"",[11]Vagt!L42,"")</f>
        <v>BR                                                                            (399679)</v>
      </c>
      <c r="M97" s="289"/>
      <c r="N97" s="594">
        <f>IF([11]Vagt!N42&lt;&gt;"",[11]Vagt!N42,"")</f>
        <v>1119348</v>
      </c>
      <c r="O97" s="327"/>
      <c r="P97" s="244"/>
      <c r="Q97" s="227"/>
    </row>
    <row r="98" spans="1:17">
      <c r="A98" s="286">
        <f>IF([11]Vagt!A43&lt;&gt;"",[11]Vagt!A43,"")</f>
        <v>69722</v>
      </c>
      <c r="B98" s="286">
        <f>IF([11]Vagt!B43&lt;&gt;"",[11]Vagt!B43,"")</f>
        <v>146</v>
      </c>
      <c r="C98" s="286">
        <f>IF([11]Vagt!C43&lt;&gt;"",[11]Vagt!C43,"")</f>
        <v>41640</v>
      </c>
      <c r="D98" s="286" t="str">
        <f>IF([11]Vagt!D43&lt;&gt;"",[11]Vagt!D43,"")</f>
        <v>SOF-Nørre Voldgade 15, 5. sal (Ann Provis)</v>
      </c>
      <c r="E98" s="289"/>
      <c r="F98" s="594">
        <f>IF([11]Vagt!F43&lt;&gt;"",[11]Vagt!F43,"")</f>
        <v>4000</v>
      </c>
      <c r="G98" s="584">
        <f>IF([11]Vagt!G43&lt;&gt;"",[11]Vagt!G43,"")</f>
        <v>399231</v>
      </c>
      <c r="H98" s="226">
        <f>IF([11]Vagt!H43&lt;&gt;"",[11]Vagt!H43,"")</f>
        <v>0</v>
      </c>
      <c r="I98" s="292">
        <f>IF([11]Vagt!I43&lt;&gt;"",[11]Vagt!I43,"")</f>
        <v>50000</v>
      </c>
      <c r="J98" s="292" t="str">
        <f>IF([11]Vagt!J43&lt;&gt;"",[11]Vagt!J43,"")</f>
        <v>Rådhuset</v>
      </c>
      <c r="K98" s="292">
        <f>IF([11]Vagt!K43&lt;&gt;"",[11]Vagt!K43,"")</f>
        <v>40179</v>
      </c>
      <c r="L98" s="286" t="str">
        <f>IF([11]Vagt!L43&lt;&gt;"",[11]Vagt!L43,"")</f>
        <v>KFF                                                                          (456784)</v>
      </c>
      <c r="M98" s="289"/>
      <c r="N98" s="594">
        <f>IF([11]Vagt!N43&lt;&gt;"",[11]Vagt!N43,"")</f>
        <v>1108980.55</v>
      </c>
      <c r="O98" s="327"/>
      <c r="P98" s="244"/>
      <c r="Q98" s="227"/>
    </row>
    <row r="99" spans="1:17" ht="13.5" thickBot="1">
      <c r="A99" s="309">
        <f>IF([11]Vagt!A44&lt;&gt;"",[11]Vagt!A44,"")</f>
        <v>31139</v>
      </c>
      <c r="B99" s="309">
        <f>IF([11]Vagt!B44&lt;&gt;"",[11]Vagt!B44,"")</f>
        <v>111</v>
      </c>
      <c r="C99" s="309">
        <f>IF([11]Vagt!C44&lt;&gt;"",[11]Vagt!C44,"")</f>
        <v>40634</v>
      </c>
      <c r="D99" s="464" t="str">
        <f>IF([11]Vagt!D44&lt;&gt;"",[11]Vagt!D44,"")</f>
        <v>BUF-Gasværksvej 22 (skole)</v>
      </c>
      <c r="E99" s="592"/>
      <c r="F99" s="640">
        <f>IF([11]Vagt!F44&lt;&gt;"",[11]Vagt!F44,"")</f>
        <v>60371</v>
      </c>
      <c r="G99" s="226" t="str">
        <f>IF([11]Vagt!G44&lt;&gt;"",[11]Vagt!G44,"")</f>
        <v>417611</v>
      </c>
      <c r="H99" s="226">
        <f>IF([11]Vagt!H44&lt;&gt;"",[11]Vagt!H44,"")</f>
        <v>0</v>
      </c>
      <c r="I99" s="292">
        <f>IF([11]Vagt!I44&lt;&gt;"",[11]Vagt!I44,"")</f>
        <v>0</v>
      </c>
      <c r="J99" s="292" t="str">
        <f>IF([11]Vagt!J44&lt;&gt;"",[11]Vagt!J44,"")</f>
        <v>Rådhuset</v>
      </c>
      <c r="K99" s="292">
        <f>IF([11]Vagt!K44&lt;&gt;"",[11]Vagt!K44,"")</f>
        <v>40179</v>
      </c>
      <c r="L99" s="286" t="str">
        <f>IF([11]Vagt!L44&lt;&gt;"",[11]Vagt!L44,"")</f>
        <v>Kejd (posteres) Rådhusservice på Rådhuset  (Postering godkendt)</v>
      </c>
      <c r="M99" s="289"/>
      <c r="N99" s="594">
        <f>IF([11]Vagt!N44&lt;&gt;"",[11]Vagt!N44,"")</f>
        <v>623801.44999999995</v>
      </c>
      <c r="O99" s="327"/>
      <c r="P99" s="244"/>
      <c r="Q99" s="227"/>
    </row>
    <row r="100" spans="1:17" ht="13.5" thickBot="1">
      <c r="A100" s="226">
        <f>IF([11]Vagt!A45&lt;&gt;"",[11]Vagt!A45,"")</f>
        <v>0</v>
      </c>
      <c r="B100" s="294" t="str">
        <f>IF([11]Vagt!B45&lt;&gt;"",[11]Vagt!B45,"")</f>
        <v>Forsættes i højre side</v>
      </c>
      <c r="C100" s="296">
        <f>IF([11]Vagt!C45&lt;&gt;"",[11]Vagt!C45,"")</f>
        <v>0</v>
      </c>
      <c r="D100" s="296">
        <f>IF([11]Vagt!D45&lt;&gt;"",[11]Vagt!D45,"")</f>
        <v>0</v>
      </c>
      <c r="E100" s="296">
        <f>IF([11]Vagt!E45&lt;&gt;"",[11]Vagt!E45,"")</f>
        <v>0</v>
      </c>
      <c r="F100" s="641">
        <f>IF([11]Vagt!F45&lt;&gt;"",[11]Vagt!F45,"")</f>
        <v>2314515</v>
      </c>
      <c r="G100" s="226">
        <f>IF([11]Vagt!G45&lt;&gt;"",[11]Vagt!G45,"")</f>
        <v>0</v>
      </c>
      <c r="H100" s="226">
        <f>IF([11]Vagt!H45&lt;&gt;"",[11]Vagt!H45,"")</f>
        <v>0</v>
      </c>
      <c r="I100" s="586">
        <f>IF([11]Vagt!I45&lt;&gt;"",[11]Vagt!I45,"")</f>
        <v>0</v>
      </c>
      <c r="J100" s="586">
        <f>IF([11]Vagt!J45&lt;&gt;"",[11]Vagt!J45,"")</f>
        <v>0</v>
      </c>
      <c r="K100" s="586">
        <f>IF([11]Vagt!K45&lt;&gt;"",[11]Vagt!K45,"")</f>
        <v>0</v>
      </c>
      <c r="L100" s="464">
        <f>IF([11]Vagt!L45&lt;&gt;"",[11]Vagt!L45,"")</f>
        <v>0</v>
      </c>
      <c r="M100" s="592"/>
      <c r="N100" s="595">
        <f>IF([11]Vagt!N45&lt;&gt;"",[11]Vagt!N45,"")</f>
        <v>0</v>
      </c>
      <c r="O100" s="327"/>
      <c r="P100" s="244"/>
      <c r="Q100" s="227"/>
    </row>
    <row r="101" spans="1:17">
      <c r="A101" s="299">
        <f>IF([11]Vagt!A46&lt;&gt;"",[11]Vagt!A46,"")</f>
        <v>0</v>
      </c>
      <c r="B101" s="299">
        <f>IF([11]Vagt!B46&lt;&gt;"",[11]Vagt!B46,"")</f>
        <v>0</v>
      </c>
      <c r="C101" s="299">
        <f>IF([11]Vagt!C46&lt;&gt;"",[11]Vagt!C46,"")</f>
        <v>0</v>
      </c>
      <c r="D101" s="299">
        <f>IF([11]Vagt!D46&lt;&gt;"",[11]Vagt!D46,"")</f>
        <v>0</v>
      </c>
      <c r="E101" s="299">
        <f>IF([11]Vagt!E46&lt;&gt;"",[11]Vagt!E46,"")</f>
        <v>0</v>
      </c>
      <c r="F101" s="299">
        <f>IF([11]Vagt!F46&lt;&gt;"",[11]Vagt!F46,"")</f>
        <v>0</v>
      </c>
      <c r="G101" s="299">
        <f>IF([11]Vagt!G46&lt;&gt;"",[11]Vagt!G46,"")</f>
        <v>0</v>
      </c>
      <c r="H101" s="299">
        <f>IF([11]Vagt!H46&lt;&gt;"",[11]Vagt!H46,"")</f>
        <v>0</v>
      </c>
      <c r="I101" s="585" t="e">
        <f>IF([11]Vagt!I46&lt;&gt;"",[11]Vagt!I46,"")</f>
        <v>#REF!</v>
      </c>
      <c r="J101" s="585" t="str">
        <f>IF([11]Vagt!J46&lt;&gt;"",[11]Vagt!J46,"")</f>
        <v>Årligt</v>
      </c>
      <c r="K101" s="585">
        <f>IF([11]Vagt!K46&lt;&gt;"",[11]Vagt!K46,"")</f>
        <v>0</v>
      </c>
      <c r="L101" s="554">
        <f>IF([11]Vagt!L46&lt;&gt;"",[11]Vagt!L46,"")</f>
        <v>0</v>
      </c>
      <c r="M101" s="593">
        <f>IF([11]Vagt!M46&lt;&gt;"",[11]Vagt!M46,"")</f>
        <v>0</v>
      </c>
      <c r="N101" s="596">
        <f>IF([11]Vagt!N46&lt;&gt;"",[11]Vagt!N46,"")</f>
        <v>13113429</v>
      </c>
      <c r="O101" s="327"/>
      <c r="P101" s="244"/>
      <c r="Q101" s="227"/>
    </row>
    <row r="102" spans="1:17">
      <c r="A102" s="299">
        <f>IF([11]Vagt!A47&lt;&gt;"",[11]Vagt!A47,"")</f>
        <v>0</v>
      </c>
      <c r="B102" s="299">
        <f>IF([11]Vagt!B47&lt;&gt;"",[11]Vagt!B47,"")</f>
        <v>0</v>
      </c>
      <c r="C102" s="299">
        <f>IF([11]Vagt!C47&lt;&gt;"",[11]Vagt!C47,"")</f>
        <v>0</v>
      </c>
      <c r="D102" s="299">
        <f>IF([11]Vagt!D47&lt;&gt;"",[11]Vagt!D47,"")</f>
        <v>0</v>
      </c>
      <c r="E102" s="299">
        <f>IF([11]Vagt!E47&lt;&gt;"",[11]Vagt!E47,"")</f>
        <v>0</v>
      </c>
      <c r="F102" s="299">
        <f>IF([11]Vagt!F47&lt;&gt;"",[11]Vagt!F47,"")</f>
        <v>0</v>
      </c>
      <c r="G102" s="299">
        <f>IF([11]Vagt!G47&lt;&gt;"",[11]Vagt!G47,"")</f>
        <v>0</v>
      </c>
      <c r="H102" s="299">
        <f>IF([11]Vagt!H47&lt;&gt;"",[11]Vagt!H47,"")</f>
        <v>0</v>
      </c>
      <c r="I102" s="527" t="e">
        <f>IF([11]Vagt!I47&lt;&gt;"",[11]Vagt!I47,"")</f>
        <v>#REF!</v>
      </c>
      <c r="J102" s="527">
        <f>IF([11]Vagt!J47&lt;&gt;"",[11]Vagt!J47,"")</f>
        <v>0</v>
      </c>
      <c r="K102" s="527">
        <f>IF([11]Vagt!K47&lt;&gt;"",[11]Vagt!K47,"")</f>
        <v>0</v>
      </c>
      <c r="L102" s="283">
        <f>IF([11]Vagt!L47&lt;&gt;"",[11]Vagt!L47,"")</f>
        <v>0</v>
      </c>
      <c r="M102" s="288">
        <f>IF([11]Vagt!M47&lt;&gt;"",[11]Vagt!M47,"")</f>
        <v>0</v>
      </c>
      <c r="N102" s="599">
        <f>IF([11]Vagt!N47&lt;&gt;"",[11]Vagt!N47,"")</f>
        <v>0</v>
      </c>
      <c r="O102" s="327"/>
      <c r="P102" s="244"/>
      <c r="Q102" s="227"/>
    </row>
    <row r="103" spans="1:17">
      <c r="A103" s="299" t="e">
        <f>IF([11]Vagt!A48&lt;&gt;"",[11]Vagt!A48,"")</f>
        <v>#REF!</v>
      </c>
      <c r="B103" s="299" t="e">
        <f>IF([11]Vagt!B48&lt;&gt;"",[11]Vagt!B48,"")</f>
        <v>#REF!</v>
      </c>
      <c r="C103" s="299" t="e">
        <f>IF([11]Vagt!C48&lt;&gt;"",[11]Vagt!C48,"")</f>
        <v>#REF!</v>
      </c>
      <c r="D103" s="299" t="e">
        <f>IF([11]Vagt!D48&lt;&gt;"",[11]Vagt!D48,"")</f>
        <v>#REF!</v>
      </c>
      <c r="E103" s="299" t="e">
        <f>IF([11]Vagt!E48&lt;&gt;"",[11]Vagt!E48,"")</f>
        <v>#REF!</v>
      </c>
      <c r="F103" s="299" t="e">
        <f>IF([11]Vagt!F48&lt;&gt;"",[11]Vagt!F48,"")</f>
        <v>#REF!</v>
      </c>
      <c r="G103" s="299" t="e">
        <f>IF([11]Vagt!G48&lt;&gt;"",[11]Vagt!G48,"")</f>
        <v>#REF!</v>
      </c>
      <c r="H103" s="299">
        <f>IF([11]Vagt!H48&lt;&gt;"",[11]Vagt!H48,"")</f>
        <v>0</v>
      </c>
      <c r="I103" s="527" t="e">
        <f>IF([11]Vagt!I48&lt;&gt;"",[11]Vagt!I48,"")</f>
        <v>#REF!</v>
      </c>
      <c r="J103" s="527" t="str">
        <f>IF([11]Vagt!J48&lt;&gt;"",[11]Vagt!J48,"")</f>
        <v>Månedligt</v>
      </c>
      <c r="K103" s="527">
        <f>IF([11]Vagt!K48&lt;&gt;"",[11]Vagt!K48,"")</f>
        <v>0</v>
      </c>
      <c r="L103" s="283">
        <f>IF([11]Vagt!L48&lt;&gt;"",[11]Vagt!L48,"")</f>
        <v>0</v>
      </c>
      <c r="M103" s="288">
        <f>IF([11]Vagt!M48&lt;&gt;"",[11]Vagt!M48,"")</f>
        <v>0</v>
      </c>
      <c r="N103" s="599">
        <f>IF([11]Vagt!N48&lt;&gt;"",[11]Vagt!N48,"")</f>
        <v>1092785.75</v>
      </c>
      <c r="O103" s="320"/>
      <c r="P103" s="244"/>
      <c r="Q103" s="227"/>
    </row>
    <row r="104" spans="1:17">
      <c r="C104" s="291"/>
      <c r="D104" s="291"/>
      <c r="E104" s="291"/>
      <c r="F104" s="291"/>
      <c r="G104" s="291"/>
      <c r="L104" s="300"/>
      <c r="M104" s="326"/>
      <c r="N104" s="326"/>
      <c r="O104" s="291"/>
      <c r="P104" s="244"/>
      <c r="Q104" s="227"/>
    </row>
    <row r="105" spans="1:17">
      <c r="C105" s="291"/>
      <c r="D105" s="291"/>
      <c r="L105" s="300"/>
      <c r="M105" s="326"/>
      <c r="N105" s="326"/>
    </row>
    <row r="106" spans="1:17">
      <c r="A106" s="328" t="s">
        <v>113</v>
      </c>
      <c r="B106" s="232" t="s">
        <v>44</v>
      </c>
      <c r="C106" s="232" t="s">
        <v>45</v>
      </c>
      <c r="D106" s="232" t="s">
        <v>46</v>
      </c>
      <c r="E106" s="232" t="s">
        <v>47</v>
      </c>
      <c r="F106" s="232" t="s">
        <v>48</v>
      </c>
      <c r="G106" s="232" t="s">
        <v>49</v>
      </c>
      <c r="H106" s="232" t="s">
        <v>38</v>
      </c>
      <c r="I106" s="232" t="s">
        <v>39</v>
      </c>
      <c r="J106" s="232" t="s">
        <v>40</v>
      </c>
      <c r="K106" s="232" t="s">
        <v>41</v>
      </c>
      <c r="L106" s="232" t="s">
        <v>42</v>
      </c>
      <c r="M106" s="232" t="s">
        <v>43</v>
      </c>
      <c r="N106" s="228"/>
    </row>
    <row r="107" spans="1:17">
      <c r="A107" s="231" t="s">
        <v>115</v>
      </c>
      <c r="B107" s="329">
        <f>$D$70</f>
        <v>454161.66666666669</v>
      </c>
      <c r="C107" s="329">
        <f t="shared" ref="C107:M107" si="12">$D$70</f>
        <v>454161.66666666669</v>
      </c>
      <c r="D107" s="329">
        <f t="shared" si="12"/>
        <v>454161.66666666669</v>
      </c>
      <c r="E107" s="329">
        <f t="shared" si="12"/>
        <v>454161.66666666669</v>
      </c>
      <c r="F107" s="329">
        <f t="shared" si="12"/>
        <v>454161.66666666669</v>
      </c>
      <c r="G107" s="329">
        <f t="shared" si="12"/>
        <v>454161.66666666669</v>
      </c>
      <c r="H107" s="329">
        <f t="shared" si="12"/>
        <v>454161.66666666669</v>
      </c>
      <c r="I107" s="329">
        <f t="shared" si="12"/>
        <v>454161.66666666669</v>
      </c>
      <c r="J107" s="329">
        <f t="shared" si="12"/>
        <v>454161.66666666669</v>
      </c>
      <c r="K107" s="329">
        <f t="shared" si="12"/>
        <v>454161.66666666669</v>
      </c>
      <c r="L107" s="329">
        <f t="shared" si="12"/>
        <v>454161.66666666669</v>
      </c>
      <c r="M107" s="329">
        <f t="shared" si="12"/>
        <v>454161.66666666669</v>
      </c>
      <c r="N107" s="330">
        <f t="shared" ref="N107:N128" si="13">SUM(B107:M107)</f>
        <v>5449940</v>
      </c>
    </row>
    <row r="108" spans="1:17" ht="13.5" thickBot="1">
      <c r="A108" s="247" t="s">
        <v>116</v>
      </c>
      <c r="B108" s="331">
        <f>$N$103</f>
        <v>1092785.75</v>
      </c>
      <c r="C108" s="331">
        <f t="shared" ref="C108:M108" si="14">$N$103</f>
        <v>1092785.75</v>
      </c>
      <c r="D108" s="331">
        <f t="shared" si="14"/>
        <v>1092785.75</v>
      </c>
      <c r="E108" s="331">
        <f t="shared" si="14"/>
        <v>1092785.75</v>
      </c>
      <c r="F108" s="331">
        <f t="shared" si="14"/>
        <v>1092785.75</v>
      </c>
      <c r="G108" s="331">
        <f t="shared" si="14"/>
        <v>1092785.75</v>
      </c>
      <c r="H108" s="331">
        <f t="shared" si="14"/>
        <v>1092785.75</v>
      </c>
      <c r="I108" s="331">
        <f t="shared" si="14"/>
        <v>1092785.75</v>
      </c>
      <c r="J108" s="331">
        <f t="shared" si="14"/>
        <v>1092785.75</v>
      </c>
      <c r="K108" s="331">
        <f t="shared" si="14"/>
        <v>1092785.75</v>
      </c>
      <c r="L108" s="331">
        <f t="shared" si="14"/>
        <v>1092785.75</v>
      </c>
      <c r="M108" s="331">
        <f t="shared" si="14"/>
        <v>1092785.75</v>
      </c>
      <c r="N108" s="332">
        <f t="shared" si="13"/>
        <v>13113429</v>
      </c>
    </row>
    <row r="109" spans="1:17" ht="13.5" thickBot="1">
      <c r="A109" s="333" t="s">
        <v>117</v>
      </c>
      <c r="B109" s="334">
        <f t="shared" ref="B109:M109" si="15">SUM(B107:B108)</f>
        <v>1546947.4166666667</v>
      </c>
      <c r="C109" s="334">
        <f t="shared" si="15"/>
        <v>1546947.4166666667</v>
      </c>
      <c r="D109" s="334">
        <f t="shared" si="15"/>
        <v>1546947.4166666667</v>
      </c>
      <c r="E109" s="334">
        <f t="shared" si="15"/>
        <v>1546947.4166666667</v>
      </c>
      <c r="F109" s="334">
        <f t="shared" si="15"/>
        <v>1546947.4166666667</v>
      </c>
      <c r="G109" s="334">
        <f t="shared" si="15"/>
        <v>1546947.4166666667</v>
      </c>
      <c r="H109" s="334">
        <f t="shared" si="15"/>
        <v>1546947.4166666667</v>
      </c>
      <c r="I109" s="334">
        <f t="shared" si="15"/>
        <v>1546947.4166666667</v>
      </c>
      <c r="J109" s="334">
        <f t="shared" si="15"/>
        <v>1546947.4166666667</v>
      </c>
      <c r="K109" s="334">
        <f t="shared" si="15"/>
        <v>1546947.4166666667</v>
      </c>
      <c r="L109" s="334">
        <f t="shared" si="15"/>
        <v>1546947.4166666667</v>
      </c>
      <c r="M109" s="334">
        <f t="shared" si="15"/>
        <v>1546947.4166666667</v>
      </c>
      <c r="N109" s="334">
        <f t="shared" si="13"/>
        <v>18563369</v>
      </c>
    </row>
    <row r="110" spans="1:17">
      <c r="A110" s="336" t="s">
        <v>255</v>
      </c>
      <c r="B110" s="337">
        <v>5162</v>
      </c>
      <c r="C110" s="337">
        <v>1400</v>
      </c>
      <c r="D110" s="337">
        <v>6737</v>
      </c>
      <c r="E110" s="337">
        <v>3062</v>
      </c>
      <c r="F110" s="337">
        <v>7611</v>
      </c>
      <c r="G110" s="338">
        <v>10149</v>
      </c>
      <c r="H110" s="338">
        <v>3850</v>
      </c>
      <c r="I110" s="338">
        <v>4462</v>
      </c>
      <c r="J110" s="338">
        <v>4637</v>
      </c>
      <c r="K110" s="338">
        <v>5950</v>
      </c>
      <c r="L110" s="338">
        <v>8924</v>
      </c>
      <c r="M110" s="338">
        <v>5599</v>
      </c>
      <c r="N110" s="332">
        <f t="shared" si="13"/>
        <v>67543</v>
      </c>
    </row>
    <row r="111" spans="1:17">
      <c r="A111" s="228" t="s">
        <v>256</v>
      </c>
      <c r="B111" s="330">
        <v>9637</v>
      </c>
      <c r="C111" s="330"/>
      <c r="D111" s="330">
        <v>60675</v>
      </c>
      <c r="E111" s="330"/>
      <c r="F111" s="330">
        <v>7375</v>
      </c>
      <c r="G111" s="330">
        <v>5325</v>
      </c>
      <c r="H111" s="330">
        <v>68250</v>
      </c>
      <c r="I111" s="330">
        <v>2625</v>
      </c>
      <c r="J111" s="330">
        <v>8625</v>
      </c>
      <c r="K111" s="330">
        <v>1525</v>
      </c>
      <c r="L111" s="330">
        <v>36000</v>
      </c>
      <c r="M111" s="330">
        <v>51935</v>
      </c>
      <c r="N111" s="332">
        <f t="shared" si="13"/>
        <v>251972</v>
      </c>
    </row>
    <row r="112" spans="1:17">
      <c r="A112" s="228" t="s">
        <v>257</v>
      </c>
      <c r="B112" s="330">
        <v>30445</v>
      </c>
      <c r="C112" s="330">
        <v>19895</v>
      </c>
      <c r="D112" s="330">
        <v>46620</v>
      </c>
      <c r="E112" s="330">
        <v>16920</v>
      </c>
      <c r="F112" s="330">
        <v>55020</v>
      </c>
      <c r="G112" s="330">
        <v>20520</v>
      </c>
      <c r="H112" s="330">
        <v>27370</v>
      </c>
      <c r="I112" s="330">
        <v>35158</v>
      </c>
      <c r="J112" s="330">
        <v>30295</v>
      </c>
      <c r="K112" s="330">
        <v>30120</v>
      </c>
      <c r="L112" s="330">
        <v>25395</v>
      </c>
      <c r="M112" s="330">
        <v>23595</v>
      </c>
      <c r="N112" s="332">
        <f t="shared" si="13"/>
        <v>361353</v>
      </c>
    </row>
    <row r="113" spans="1:14">
      <c r="A113" s="228" t="s">
        <v>211</v>
      </c>
      <c r="B113" s="330">
        <v>314262.5</v>
      </c>
      <c r="C113" s="329">
        <v>12325</v>
      </c>
      <c r="D113" s="329">
        <v>74487.5</v>
      </c>
      <c r="E113" s="340">
        <v>77512.5</v>
      </c>
      <c r="F113" s="340">
        <v>204712.5</v>
      </c>
      <c r="G113" s="340">
        <v>122950</v>
      </c>
      <c r="H113" s="340">
        <v>50000</v>
      </c>
      <c r="I113" s="340">
        <v>155787.5</v>
      </c>
      <c r="J113" s="340">
        <v>105862.5</v>
      </c>
      <c r="K113" s="340">
        <v>216612.13</v>
      </c>
      <c r="L113" s="340">
        <v>102075</v>
      </c>
      <c r="M113" s="340">
        <v>88850</v>
      </c>
      <c r="N113" s="332">
        <f t="shared" si="13"/>
        <v>1525437.13</v>
      </c>
    </row>
    <row r="114" spans="1:14">
      <c r="A114" s="228" t="s">
        <v>258</v>
      </c>
      <c r="B114" s="330">
        <v>2540</v>
      </c>
      <c r="C114" s="329">
        <v>3530</v>
      </c>
      <c r="D114" s="329">
        <v>6110</v>
      </c>
      <c r="E114" s="329">
        <v>2010</v>
      </c>
      <c r="F114" s="329">
        <v>2700</v>
      </c>
      <c r="G114" s="329">
        <v>1800</v>
      </c>
      <c r="H114" s="329">
        <v>0</v>
      </c>
      <c r="I114" s="329">
        <v>7790</v>
      </c>
      <c r="J114" s="329">
        <v>2640</v>
      </c>
      <c r="K114" s="329">
        <v>1510</v>
      </c>
      <c r="L114" s="329">
        <v>510</v>
      </c>
      <c r="M114" s="329">
        <v>620</v>
      </c>
      <c r="N114" s="332">
        <f t="shared" si="13"/>
        <v>31760</v>
      </c>
    </row>
    <row r="115" spans="1:14">
      <c r="A115" s="228" t="s">
        <v>259</v>
      </c>
      <c r="B115" s="330"/>
      <c r="C115" s="329"/>
      <c r="D115" s="329"/>
      <c r="E115" s="329"/>
      <c r="F115" s="329"/>
      <c r="G115" s="329"/>
      <c r="H115" s="329"/>
      <c r="I115" s="329"/>
      <c r="J115" s="329"/>
      <c r="K115" s="329"/>
      <c r="L115" s="329"/>
      <c r="M115" s="329"/>
      <c r="N115" s="332">
        <f t="shared" si="13"/>
        <v>0</v>
      </c>
    </row>
    <row r="116" spans="1:14">
      <c r="A116" s="228" t="s">
        <v>120</v>
      </c>
      <c r="B116" s="330">
        <v>41000</v>
      </c>
      <c r="C116" s="330">
        <v>58336</v>
      </c>
      <c r="D116" s="330">
        <v>80410</v>
      </c>
      <c r="E116" s="330">
        <v>73050</v>
      </c>
      <c r="F116" s="330">
        <v>107569</v>
      </c>
      <c r="G116" s="330">
        <v>87590</v>
      </c>
      <c r="H116" s="330">
        <v>20320</v>
      </c>
      <c r="I116" s="330">
        <v>67140</v>
      </c>
      <c r="J116" s="330">
        <v>92025</v>
      </c>
      <c r="K116" s="330">
        <v>94865</v>
      </c>
      <c r="L116" s="330">
        <v>106140</v>
      </c>
      <c r="M116" s="330">
        <v>42427</v>
      </c>
      <c r="N116" s="332">
        <f t="shared" si="13"/>
        <v>870872</v>
      </c>
    </row>
    <row r="117" spans="1:14">
      <c r="A117" s="228" t="s">
        <v>260</v>
      </c>
      <c r="B117" s="330">
        <v>10640</v>
      </c>
      <c r="C117" s="329">
        <v>13080</v>
      </c>
      <c r="D117" s="329">
        <v>10000</v>
      </c>
      <c r="E117" s="329">
        <v>10000</v>
      </c>
      <c r="F117" s="329">
        <v>10000</v>
      </c>
      <c r="G117" s="329">
        <v>10000</v>
      </c>
      <c r="H117" s="329">
        <v>10000</v>
      </c>
      <c r="I117" s="329">
        <v>10000</v>
      </c>
      <c r="J117" s="329">
        <v>10000</v>
      </c>
      <c r="K117" s="329">
        <v>10000</v>
      </c>
      <c r="L117" s="329">
        <v>10000</v>
      </c>
      <c r="M117" s="329">
        <v>10000</v>
      </c>
      <c r="N117" s="332">
        <f t="shared" si="13"/>
        <v>123720</v>
      </c>
    </row>
    <row r="118" spans="1:14">
      <c r="A118" s="228" t="s">
        <v>261</v>
      </c>
      <c r="B118" s="330">
        <v>3150</v>
      </c>
      <c r="C118" s="329">
        <v>6300</v>
      </c>
      <c r="D118" s="329">
        <v>4050</v>
      </c>
      <c r="E118" s="329">
        <v>13050</v>
      </c>
      <c r="F118" s="329">
        <v>5850</v>
      </c>
      <c r="G118" s="329">
        <v>1350</v>
      </c>
      <c r="H118" s="329">
        <v>450</v>
      </c>
      <c r="I118" s="329">
        <v>900</v>
      </c>
      <c r="J118" s="329">
        <v>19350</v>
      </c>
      <c r="K118" s="329">
        <v>15300</v>
      </c>
      <c r="L118" s="329">
        <v>8550</v>
      </c>
      <c r="M118" s="329">
        <v>13500</v>
      </c>
      <c r="N118" s="332">
        <f t="shared" si="13"/>
        <v>91800</v>
      </c>
    </row>
    <row r="119" spans="1:14">
      <c r="A119" s="228" t="s">
        <v>262</v>
      </c>
      <c r="B119" s="330"/>
      <c r="C119" s="330"/>
      <c r="D119" s="330"/>
      <c r="E119" s="330"/>
      <c r="F119" s="330"/>
      <c r="G119" s="330"/>
      <c r="H119" s="330"/>
      <c r="I119" s="330"/>
      <c r="J119" s="330"/>
      <c r="K119" s="330"/>
      <c r="L119" s="330"/>
      <c r="M119" s="330"/>
      <c r="N119" s="332">
        <f t="shared" si="13"/>
        <v>0</v>
      </c>
    </row>
    <row r="120" spans="1:14" ht="13.5" thickBot="1">
      <c r="A120" s="228" t="s">
        <v>125</v>
      </c>
      <c r="B120" s="330">
        <v>14000</v>
      </c>
      <c r="C120" s="329">
        <v>11200</v>
      </c>
      <c r="D120" s="329"/>
      <c r="E120" s="329"/>
      <c r="F120" s="329">
        <v>85050</v>
      </c>
      <c r="G120" s="329"/>
      <c r="H120" s="329"/>
      <c r="I120" s="329"/>
      <c r="J120" s="329"/>
      <c r="K120" s="329"/>
      <c r="L120" s="329"/>
      <c r="M120" s="329"/>
      <c r="N120" s="332">
        <f t="shared" si="13"/>
        <v>110250</v>
      </c>
    </row>
    <row r="121" spans="1:14" ht="13.5" thickBot="1">
      <c r="A121" s="341" t="s">
        <v>126</v>
      </c>
      <c r="B121" s="342">
        <f t="shared" ref="B121:M121" si="16">SUM(B110:B120)</f>
        <v>430836.5</v>
      </c>
      <c r="C121" s="342">
        <f t="shared" si="16"/>
        <v>126066</v>
      </c>
      <c r="D121" s="342">
        <f t="shared" si="16"/>
        <v>289089.5</v>
      </c>
      <c r="E121" s="342">
        <f t="shared" si="16"/>
        <v>195604.5</v>
      </c>
      <c r="F121" s="342">
        <f t="shared" si="16"/>
        <v>485887.5</v>
      </c>
      <c r="G121" s="342">
        <f t="shared" si="16"/>
        <v>259684</v>
      </c>
      <c r="H121" s="342">
        <f t="shared" si="16"/>
        <v>180240</v>
      </c>
      <c r="I121" s="342">
        <f t="shared" si="16"/>
        <v>283862.5</v>
      </c>
      <c r="J121" s="342">
        <f t="shared" si="16"/>
        <v>273434.5</v>
      </c>
      <c r="K121" s="342">
        <f t="shared" si="16"/>
        <v>375882.13</v>
      </c>
      <c r="L121" s="342">
        <f t="shared" si="16"/>
        <v>297594</v>
      </c>
      <c r="M121" s="342">
        <f t="shared" si="16"/>
        <v>236526</v>
      </c>
      <c r="N121" s="334">
        <f t="shared" si="13"/>
        <v>3434707.13</v>
      </c>
    </row>
    <row r="122" spans="1:14" ht="13.5" thickBot="1">
      <c r="A122" s="336" t="s">
        <v>127</v>
      </c>
      <c r="B122" s="673"/>
      <c r="C122" s="344"/>
      <c r="D122" s="344"/>
      <c r="E122" s="344"/>
      <c r="F122" s="344"/>
      <c r="G122" s="344"/>
      <c r="H122" s="344"/>
      <c r="I122" s="344"/>
      <c r="J122" s="344"/>
      <c r="K122" s="344"/>
      <c r="L122" s="344"/>
      <c r="M122" s="344"/>
      <c r="N122" s="332">
        <f t="shared" si="13"/>
        <v>0</v>
      </c>
    </row>
    <row r="123" spans="1:14" ht="13.5" thickBot="1">
      <c r="A123" s="345" t="s">
        <v>129</v>
      </c>
      <c r="B123" s="346">
        <f t="shared" ref="B123:M123" si="17">SUM(B109,B121,B122)</f>
        <v>1977783.9166666667</v>
      </c>
      <c r="C123" s="346">
        <f t="shared" si="17"/>
        <v>1673013.4166666667</v>
      </c>
      <c r="D123" s="346">
        <f t="shared" si="17"/>
        <v>1836036.9166666667</v>
      </c>
      <c r="E123" s="346">
        <f t="shared" si="17"/>
        <v>1742551.9166666667</v>
      </c>
      <c r="F123" s="346">
        <f t="shared" si="17"/>
        <v>2032834.9166666667</v>
      </c>
      <c r="G123" s="346">
        <f t="shared" si="17"/>
        <v>1806631.4166666667</v>
      </c>
      <c r="H123" s="346">
        <f t="shared" si="17"/>
        <v>1727187.4166666667</v>
      </c>
      <c r="I123" s="346">
        <f t="shared" si="17"/>
        <v>1830809.9166666667</v>
      </c>
      <c r="J123" s="346">
        <f t="shared" si="17"/>
        <v>1820381.9166666667</v>
      </c>
      <c r="K123" s="346">
        <f t="shared" si="17"/>
        <v>1922829.5466666669</v>
      </c>
      <c r="L123" s="346">
        <f t="shared" si="17"/>
        <v>1844541.4166666667</v>
      </c>
      <c r="M123" s="346">
        <f t="shared" si="17"/>
        <v>1783473.4166666667</v>
      </c>
      <c r="N123" s="334">
        <f t="shared" si="13"/>
        <v>21998076.130000003</v>
      </c>
    </row>
    <row r="124" spans="1:14">
      <c r="A124" s="347" t="s">
        <v>131</v>
      </c>
      <c r="B124" s="331">
        <v>1556961</v>
      </c>
      <c r="C124" s="331">
        <v>1731222</v>
      </c>
      <c r="D124" s="331">
        <v>1627599</v>
      </c>
      <c r="E124" s="331">
        <v>1425932</v>
      </c>
      <c r="F124" s="331">
        <v>1865930</v>
      </c>
      <c r="G124" s="331">
        <v>1376767</v>
      </c>
      <c r="H124" s="331">
        <v>1603392</v>
      </c>
      <c r="I124" s="331">
        <v>1697193</v>
      </c>
      <c r="J124" s="331">
        <v>1535533</v>
      </c>
      <c r="K124" s="331">
        <v>1666000</v>
      </c>
      <c r="L124" s="331">
        <v>1666000</v>
      </c>
      <c r="M124" s="331">
        <v>1666000</v>
      </c>
      <c r="N124" s="332">
        <f t="shared" si="13"/>
        <v>19418529</v>
      </c>
    </row>
    <row r="125" spans="1:14">
      <c r="A125" s="349" t="s">
        <v>135</v>
      </c>
      <c r="B125" s="331"/>
      <c r="C125" s="331"/>
      <c r="D125" s="331"/>
      <c r="E125" s="331">
        <v>95000</v>
      </c>
      <c r="F125" s="331">
        <v>45000</v>
      </c>
      <c r="G125" s="331">
        <v>20887</v>
      </c>
      <c r="H125" s="331">
        <v>25946</v>
      </c>
      <c r="I125" s="331">
        <v>19150</v>
      </c>
      <c r="J125" s="331">
        <v>15335</v>
      </c>
      <c r="K125" s="331"/>
      <c r="L125" s="331"/>
      <c r="M125" s="331"/>
      <c r="N125" s="332">
        <f t="shared" si="13"/>
        <v>221318</v>
      </c>
    </row>
    <row r="126" spans="1:14">
      <c r="A126" s="349" t="s">
        <v>157</v>
      </c>
      <c r="B126" s="331"/>
      <c r="C126" s="331"/>
      <c r="D126" s="331"/>
      <c r="E126" s="331"/>
      <c r="F126" s="331"/>
      <c r="G126" s="331"/>
      <c r="H126" s="331"/>
      <c r="I126" s="331"/>
      <c r="J126" s="331"/>
      <c r="K126" s="331"/>
      <c r="L126" s="331"/>
      <c r="M126" s="331"/>
      <c r="N126" s="332">
        <f t="shared" si="13"/>
        <v>0</v>
      </c>
    </row>
    <row r="127" spans="1:14">
      <c r="A127" s="349" t="s">
        <v>263</v>
      </c>
      <c r="B127" s="331">
        <v>5106</v>
      </c>
      <c r="C127" s="331">
        <v>5106</v>
      </c>
      <c r="D127" s="331">
        <v>5106</v>
      </c>
      <c r="E127" s="331">
        <v>5106</v>
      </c>
      <c r="F127" s="331">
        <v>5106</v>
      </c>
      <c r="G127" s="331">
        <v>5106</v>
      </c>
      <c r="H127" s="331">
        <v>5106</v>
      </c>
      <c r="I127" s="331">
        <v>5106</v>
      </c>
      <c r="J127" s="331">
        <v>5106</v>
      </c>
      <c r="K127" s="331">
        <v>5106</v>
      </c>
      <c r="L127" s="331">
        <v>5106</v>
      </c>
      <c r="M127" s="331">
        <v>5106</v>
      </c>
      <c r="N127" s="332">
        <f t="shared" si="13"/>
        <v>61272</v>
      </c>
    </row>
    <row r="128" spans="1:14" ht="13.5" thickBot="1">
      <c r="A128" s="349" t="s">
        <v>264</v>
      </c>
      <c r="B128" s="331">
        <v>36811</v>
      </c>
      <c r="C128" s="331">
        <v>13025</v>
      </c>
      <c r="D128" s="331">
        <v>1938</v>
      </c>
      <c r="E128" s="331">
        <v>0</v>
      </c>
      <c r="F128" s="331">
        <v>49531</v>
      </c>
      <c r="G128" s="331">
        <v>20000</v>
      </c>
      <c r="H128" s="331">
        <v>2000</v>
      </c>
      <c r="I128" s="331">
        <v>20000</v>
      </c>
      <c r="J128" s="331">
        <v>20000</v>
      </c>
      <c r="K128" s="331">
        <v>20000</v>
      </c>
      <c r="L128" s="331">
        <v>20000</v>
      </c>
      <c r="M128" s="331">
        <v>20000</v>
      </c>
      <c r="N128" s="332">
        <f t="shared" si="13"/>
        <v>223305</v>
      </c>
    </row>
    <row r="129" spans="1:14" ht="13.5" thickBot="1">
      <c r="A129" s="350" t="s">
        <v>146</v>
      </c>
      <c r="B129" s="351">
        <f t="shared" ref="B129:N129" si="18">B123-SUM(B124:B128)</f>
        <v>378905.91666666674</v>
      </c>
      <c r="C129" s="351">
        <f t="shared" si="18"/>
        <v>-76339.583333333256</v>
      </c>
      <c r="D129" s="351">
        <f t="shared" si="18"/>
        <v>201393.91666666674</v>
      </c>
      <c r="E129" s="351">
        <f t="shared" si="18"/>
        <v>216513.91666666674</v>
      </c>
      <c r="F129" s="351">
        <f t="shared" si="18"/>
        <v>67267.916666666744</v>
      </c>
      <c r="G129" s="351">
        <f t="shared" si="18"/>
        <v>383871.41666666674</v>
      </c>
      <c r="H129" s="351">
        <f t="shared" si="18"/>
        <v>90743.416666666744</v>
      </c>
      <c r="I129" s="351">
        <f t="shared" si="18"/>
        <v>89360.916666666744</v>
      </c>
      <c r="J129" s="351">
        <f t="shared" si="18"/>
        <v>244407.91666666674</v>
      </c>
      <c r="K129" s="351">
        <f t="shared" si="18"/>
        <v>231723.54666666687</v>
      </c>
      <c r="L129" s="351">
        <f t="shared" si="18"/>
        <v>153435.41666666674</v>
      </c>
      <c r="M129" s="351">
        <f t="shared" si="18"/>
        <v>92367.416666666744</v>
      </c>
      <c r="N129" s="351">
        <f t="shared" si="18"/>
        <v>2073652.1300000027</v>
      </c>
    </row>
    <row r="130" spans="1:14" ht="13.5" thickBot="1">
      <c r="A130" s="352"/>
      <c r="B130" s="353"/>
      <c r="C130" s="353"/>
      <c r="D130" s="353"/>
      <c r="E130" s="353"/>
      <c r="F130" s="353"/>
      <c r="G130" s="353"/>
      <c r="H130" s="353"/>
      <c r="I130" s="353"/>
      <c r="J130" s="353"/>
      <c r="K130" s="353"/>
      <c r="L130" s="353"/>
      <c r="M130" s="353"/>
      <c r="N130" s="353"/>
    </row>
    <row r="131" spans="1:14" ht="20.25">
      <c r="A131" s="825" t="s">
        <v>265</v>
      </c>
      <c r="B131" s="825"/>
      <c r="C131" s="825"/>
      <c r="D131" s="825"/>
      <c r="E131" s="825"/>
      <c r="F131" s="825"/>
      <c r="G131" s="825"/>
      <c r="H131" s="825"/>
      <c r="I131" s="825"/>
      <c r="J131" s="825"/>
      <c r="K131" s="825"/>
      <c r="L131" s="825"/>
      <c r="M131" s="825"/>
      <c r="N131" s="825"/>
    </row>
    <row r="132" spans="1:14">
      <c r="A132" s="227"/>
      <c r="B132" s="227"/>
      <c r="C132" s="227"/>
      <c r="D132" s="227"/>
      <c r="E132" s="227"/>
      <c r="F132" s="227"/>
      <c r="G132" s="227"/>
      <c r="H132" s="227"/>
      <c r="I132" s="227"/>
      <c r="J132" s="227"/>
      <c r="K132" s="227"/>
      <c r="L132" s="227"/>
      <c r="M132" s="227"/>
    </row>
    <row r="133" spans="1:14">
      <c r="A133" s="228"/>
      <c r="B133" s="229" t="s">
        <v>44</v>
      </c>
      <c r="C133" s="229" t="s">
        <v>45</v>
      </c>
      <c r="D133" s="230" t="s">
        <v>46</v>
      </c>
      <c r="E133" s="229" t="s">
        <v>47</v>
      </c>
      <c r="F133" s="229" t="s">
        <v>48</v>
      </c>
      <c r="G133" s="230" t="s">
        <v>49</v>
      </c>
      <c r="H133" s="229" t="s">
        <v>38</v>
      </c>
      <c r="I133" s="229" t="s">
        <v>39</v>
      </c>
      <c r="J133" s="229" t="s">
        <v>40</v>
      </c>
      <c r="K133" s="229" t="s">
        <v>41</v>
      </c>
      <c r="L133" s="229" t="s">
        <v>42</v>
      </c>
      <c r="M133" s="229" t="s">
        <v>43</v>
      </c>
      <c r="N133" s="228" t="s">
        <v>64</v>
      </c>
    </row>
    <row r="134" spans="1:14">
      <c r="A134" s="231" t="s">
        <v>65</v>
      </c>
      <c r="B134" s="620">
        <v>2565</v>
      </c>
      <c r="C134" s="620">
        <v>2565</v>
      </c>
      <c r="D134" s="620">
        <v>2565</v>
      </c>
      <c r="E134" s="620">
        <v>2565</v>
      </c>
      <c r="F134" s="620">
        <v>2565</v>
      </c>
      <c r="G134" s="620">
        <v>2565</v>
      </c>
      <c r="H134" s="620">
        <v>2565</v>
      </c>
      <c r="I134" s="620">
        <v>2565</v>
      </c>
      <c r="J134" s="620">
        <v>2565</v>
      </c>
      <c r="K134" s="620">
        <v>2565</v>
      </c>
      <c r="L134" s="620">
        <v>2565</v>
      </c>
      <c r="M134" s="620">
        <v>2565</v>
      </c>
      <c r="N134" s="620">
        <f t="shared" ref="N134:N144" si="19">SUM(B134:M134)</f>
        <v>30780</v>
      </c>
    </row>
    <row r="135" spans="1:14">
      <c r="A135" s="231" t="s">
        <v>66</v>
      </c>
      <c r="B135" s="620"/>
      <c r="C135" s="620"/>
      <c r="D135" s="620"/>
      <c r="E135" s="620"/>
      <c r="F135" s="620"/>
      <c r="G135" s="621"/>
      <c r="H135" s="620"/>
      <c r="I135" s="620"/>
      <c r="J135" s="622"/>
      <c r="K135" s="620"/>
      <c r="L135" s="620"/>
      <c r="M135" s="620"/>
      <c r="N135" s="620">
        <f t="shared" si="19"/>
        <v>0</v>
      </c>
    </row>
    <row r="136" spans="1:14">
      <c r="A136" s="231" t="s">
        <v>148</v>
      </c>
      <c r="B136" s="620"/>
      <c r="C136" s="620"/>
      <c r="D136" s="620"/>
      <c r="E136" s="620"/>
      <c r="F136" s="620"/>
      <c r="G136" s="621"/>
      <c r="H136" s="620"/>
      <c r="I136" s="620"/>
      <c r="J136" s="620"/>
      <c r="K136" s="620"/>
      <c r="L136" s="620"/>
      <c r="M136" s="620"/>
      <c r="N136" s="620">
        <f t="shared" si="19"/>
        <v>0</v>
      </c>
    </row>
    <row r="137" spans="1:14">
      <c r="A137" s="231" t="s">
        <v>69</v>
      </c>
      <c r="B137" s="620">
        <v>56</v>
      </c>
      <c r="C137" s="620">
        <v>146.25</v>
      </c>
      <c r="D137" s="620">
        <v>105</v>
      </c>
      <c r="E137" s="620">
        <v>316.75</v>
      </c>
      <c r="F137" s="620"/>
      <c r="G137" s="621">
        <v>268.75</v>
      </c>
      <c r="H137" s="620">
        <v>1061</v>
      </c>
      <c r="I137" s="620">
        <v>272.5</v>
      </c>
      <c r="J137" s="620">
        <v>103.25</v>
      </c>
      <c r="K137" s="620">
        <v>177.25</v>
      </c>
      <c r="L137" s="620"/>
      <c r="M137" s="620">
        <v>299.75</v>
      </c>
      <c r="N137" s="620">
        <f t="shared" si="19"/>
        <v>2806.5</v>
      </c>
    </row>
    <row r="138" spans="1:14">
      <c r="A138" s="231" t="s">
        <v>70</v>
      </c>
      <c r="B138" s="620">
        <v>27.5</v>
      </c>
      <c r="C138" s="620">
        <v>21.5</v>
      </c>
      <c r="D138" s="620">
        <v>21.5</v>
      </c>
      <c r="E138" s="620">
        <v>52.5</v>
      </c>
      <c r="F138" s="620"/>
      <c r="G138" s="621"/>
      <c r="H138" s="620"/>
      <c r="I138" s="620"/>
      <c r="J138" s="620"/>
      <c r="K138" s="620"/>
      <c r="L138" s="620"/>
      <c r="M138" s="620"/>
      <c r="N138" s="620">
        <f t="shared" si="19"/>
        <v>123</v>
      </c>
    </row>
    <row r="139" spans="1:14">
      <c r="A139" s="231" t="s">
        <v>71</v>
      </c>
      <c r="B139" s="620"/>
      <c r="C139" s="620">
        <v>21.5</v>
      </c>
      <c r="D139" s="620">
        <v>112.75</v>
      </c>
      <c r="E139" s="620">
        <v>118.75</v>
      </c>
      <c r="F139" s="620">
        <v>81.75</v>
      </c>
      <c r="G139" s="621">
        <v>107.25</v>
      </c>
      <c r="H139" s="620">
        <v>66.25</v>
      </c>
      <c r="I139" s="620">
        <v>15.5</v>
      </c>
      <c r="J139" s="620">
        <v>37</v>
      </c>
      <c r="K139" s="620">
        <v>101.5</v>
      </c>
      <c r="L139" s="620">
        <v>134.25</v>
      </c>
      <c r="M139" s="620">
        <v>74</v>
      </c>
      <c r="N139" s="620">
        <f t="shared" si="19"/>
        <v>870.5</v>
      </c>
    </row>
    <row r="140" spans="1:14">
      <c r="A140" s="231" t="s">
        <v>72</v>
      </c>
      <c r="B140" s="620"/>
      <c r="C140" s="620"/>
      <c r="D140" s="620">
        <v>7.75</v>
      </c>
      <c r="E140" s="620"/>
      <c r="F140" s="620"/>
      <c r="G140" s="621"/>
      <c r="H140" s="620"/>
      <c r="I140" s="620"/>
      <c r="J140" s="620"/>
      <c r="K140" s="620"/>
      <c r="L140" s="620"/>
      <c r="M140" s="620"/>
      <c r="N140" s="620">
        <f t="shared" si="19"/>
        <v>7.75</v>
      </c>
    </row>
    <row r="141" spans="1:14">
      <c r="A141" s="231" t="s">
        <v>73</v>
      </c>
      <c r="B141" s="620">
        <v>85.75</v>
      </c>
      <c r="C141" s="620">
        <v>51.5</v>
      </c>
      <c r="D141" s="620">
        <v>15.5</v>
      </c>
      <c r="E141" s="620">
        <v>82.25</v>
      </c>
      <c r="F141" s="620">
        <v>63.25</v>
      </c>
      <c r="G141" s="621">
        <v>60</v>
      </c>
      <c r="H141" s="620">
        <v>118.75</v>
      </c>
      <c r="I141" s="620">
        <v>46.25</v>
      </c>
      <c r="J141" s="620">
        <v>134.75</v>
      </c>
      <c r="K141" s="620">
        <v>120.25</v>
      </c>
      <c r="L141" s="620">
        <v>7.75</v>
      </c>
      <c r="M141" s="620">
        <v>96.25</v>
      </c>
      <c r="N141" s="620">
        <f t="shared" si="19"/>
        <v>882.25</v>
      </c>
    </row>
    <row r="142" spans="1:14">
      <c r="A142" s="231" t="s">
        <v>74</v>
      </c>
      <c r="B142" s="620"/>
      <c r="C142" s="620"/>
      <c r="D142" s="620"/>
      <c r="E142" s="620"/>
      <c r="F142" s="620"/>
      <c r="G142" s="621"/>
      <c r="H142" s="620"/>
      <c r="I142" s="620"/>
      <c r="J142" s="620"/>
      <c r="K142" s="620"/>
      <c r="L142" s="620"/>
      <c r="M142" s="620"/>
      <c r="N142" s="620">
        <f t="shared" si="19"/>
        <v>0</v>
      </c>
    </row>
    <row r="143" spans="1:14">
      <c r="A143" s="231" t="s">
        <v>75</v>
      </c>
      <c r="B143" s="620"/>
      <c r="C143" s="620">
        <v>151.25</v>
      </c>
      <c r="D143" s="620"/>
      <c r="E143" s="620"/>
      <c r="F143" s="620">
        <v>16.25</v>
      </c>
      <c r="G143" s="621"/>
      <c r="H143" s="620"/>
      <c r="I143" s="620"/>
      <c r="J143" s="620"/>
      <c r="K143" s="620"/>
      <c r="L143" s="620"/>
      <c r="M143" s="620">
        <v>15.5</v>
      </c>
      <c r="N143" s="620">
        <f t="shared" si="19"/>
        <v>183</v>
      </c>
    </row>
    <row r="144" spans="1:14" ht="13.5" thickBot="1">
      <c r="A144" s="235" t="s">
        <v>76</v>
      </c>
      <c r="B144" s="623"/>
      <c r="C144" s="623">
        <v>7.75</v>
      </c>
      <c r="D144" s="623"/>
      <c r="E144" s="623"/>
      <c r="F144" s="623"/>
      <c r="G144" s="624"/>
      <c r="H144" s="623"/>
      <c r="I144" s="623">
        <v>15.5</v>
      </c>
      <c r="J144" s="623">
        <v>37</v>
      </c>
      <c r="K144" s="623"/>
      <c r="L144" s="623"/>
      <c r="M144" s="623"/>
      <c r="N144" s="625">
        <f t="shared" si="19"/>
        <v>60.25</v>
      </c>
    </row>
    <row r="145" spans="1:14" ht="13.5" thickBot="1">
      <c r="A145" s="239" t="s">
        <v>77</v>
      </c>
      <c r="B145" s="626">
        <f>SUM(B134:B144)</f>
        <v>2734.25</v>
      </c>
      <c r="C145" s="626">
        <f t="shared" ref="C145:N145" si="20">SUM(C134:C144)</f>
        <v>2964.75</v>
      </c>
      <c r="D145" s="626">
        <f t="shared" si="20"/>
        <v>2827.5</v>
      </c>
      <c r="E145" s="626">
        <f t="shared" si="20"/>
        <v>3135.25</v>
      </c>
      <c r="F145" s="626">
        <f t="shared" si="20"/>
        <v>2726.25</v>
      </c>
      <c r="G145" s="626">
        <f t="shared" si="20"/>
        <v>3001</v>
      </c>
      <c r="H145" s="626">
        <f t="shared" si="20"/>
        <v>3811</v>
      </c>
      <c r="I145" s="626">
        <f t="shared" si="20"/>
        <v>2914.75</v>
      </c>
      <c r="J145" s="626">
        <f t="shared" si="20"/>
        <v>2877</v>
      </c>
      <c r="K145" s="626">
        <f t="shared" si="20"/>
        <v>2964</v>
      </c>
      <c r="L145" s="626">
        <f t="shared" si="20"/>
        <v>2707</v>
      </c>
      <c r="M145" s="626">
        <f t="shared" si="20"/>
        <v>3050.5</v>
      </c>
      <c r="N145" s="626">
        <f t="shared" si="20"/>
        <v>35713.25</v>
      </c>
    </row>
    <row r="146" spans="1:14">
      <c r="A146" s="243"/>
      <c r="B146" s="261"/>
      <c r="C146" s="261"/>
      <c r="D146" s="261"/>
      <c r="E146" s="261"/>
      <c r="F146" s="261"/>
      <c r="G146" s="261"/>
      <c r="H146" s="261"/>
      <c r="I146" s="261"/>
      <c r="J146" s="261"/>
      <c r="K146" s="261"/>
      <c r="L146" s="261"/>
      <c r="M146" s="261"/>
      <c r="N146" s="261"/>
    </row>
    <row r="147" spans="1:14">
      <c r="A147" s="243"/>
      <c r="B147" s="261"/>
      <c r="C147" s="261"/>
      <c r="D147" s="261"/>
      <c r="E147" s="261"/>
      <c r="F147" s="261"/>
      <c r="G147" s="261"/>
      <c r="H147" s="261"/>
      <c r="I147" s="261"/>
      <c r="J147" s="261"/>
      <c r="K147" s="261"/>
      <c r="L147" s="261"/>
      <c r="M147" s="261"/>
      <c r="N147" s="629" t="s">
        <v>78</v>
      </c>
    </row>
    <row r="148" spans="1:14">
      <c r="A148" s="231" t="s">
        <v>79</v>
      </c>
      <c r="B148" s="620">
        <f t="shared" ref="B148:M148" si="21">SUM(B135*100/B145)</f>
        <v>0</v>
      </c>
      <c r="C148" s="620">
        <f t="shared" si="21"/>
        <v>0</v>
      </c>
      <c r="D148" s="620">
        <f t="shared" si="21"/>
        <v>0</v>
      </c>
      <c r="E148" s="620">
        <f t="shared" si="21"/>
        <v>0</v>
      </c>
      <c r="F148" s="620">
        <f t="shared" si="21"/>
        <v>0</v>
      </c>
      <c r="G148" s="620">
        <f t="shared" si="21"/>
        <v>0</v>
      </c>
      <c r="H148" s="620">
        <f t="shared" si="21"/>
        <v>0</v>
      </c>
      <c r="I148" s="620">
        <f t="shared" si="21"/>
        <v>0</v>
      </c>
      <c r="J148" s="620">
        <f t="shared" si="21"/>
        <v>0</v>
      </c>
      <c r="K148" s="620">
        <f t="shared" si="21"/>
        <v>0</v>
      </c>
      <c r="L148" s="620">
        <f t="shared" si="21"/>
        <v>0</v>
      </c>
      <c r="M148" s="620">
        <f t="shared" si="21"/>
        <v>0</v>
      </c>
      <c r="N148" s="630">
        <f>SUM(B148:M148)/12</f>
        <v>0</v>
      </c>
    </row>
    <row r="149" spans="1:14">
      <c r="A149" s="243"/>
      <c r="B149" s="261"/>
      <c r="C149" s="261"/>
      <c r="D149" s="261"/>
      <c r="E149" s="261"/>
      <c r="F149" s="261"/>
      <c r="G149" s="261"/>
      <c r="H149" s="261"/>
      <c r="I149" s="261"/>
      <c r="J149" s="261"/>
      <c r="K149" s="261"/>
      <c r="L149" s="261"/>
      <c r="M149" s="261"/>
      <c r="N149" s="261"/>
    </row>
    <row r="150" spans="1:14">
      <c r="A150" s="231" t="s">
        <v>80</v>
      </c>
      <c r="B150" s="620">
        <f t="shared" ref="B150:M150" si="22">SUM(B139*100/B145)</f>
        <v>0</v>
      </c>
      <c r="C150" s="620">
        <f t="shared" si="22"/>
        <v>0.72518762121595415</v>
      </c>
      <c r="D150" s="620">
        <f t="shared" si="22"/>
        <v>3.9876215738284704</v>
      </c>
      <c r="E150" s="620">
        <f t="shared" si="22"/>
        <v>3.7875767482656886</v>
      </c>
      <c r="F150" s="620">
        <f t="shared" si="22"/>
        <v>2.9986244841815681</v>
      </c>
      <c r="G150" s="620">
        <f t="shared" si="22"/>
        <v>3.5738087304231922</v>
      </c>
      <c r="H150" s="620">
        <f t="shared" si="22"/>
        <v>1.7383888743112044</v>
      </c>
      <c r="I150" s="620">
        <f t="shared" si="22"/>
        <v>0.53177802555965348</v>
      </c>
      <c r="J150" s="620">
        <f t="shared" si="22"/>
        <v>1.2860618700034758</v>
      </c>
      <c r="K150" s="620">
        <f t="shared" si="22"/>
        <v>3.4244264507422404</v>
      </c>
      <c r="L150" s="620">
        <f t="shared" si="22"/>
        <v>4.9593646102696711</v>
      </c>
      <c r="M150" s="620">
        <f t="shared" si="22"/>
        <v>2.4258318308474021</v>
      </c>
      <c r="N150" s="630">
        <f>SUM(B150:M150)/12</f>
        <v>2.4532225683040436</v>
      </c>
    </row>
    <row r="151" spans="1:14" ht="13.5" thickBot="1">
      <c r="A151" s="247" t="s">
        <v>81</v>
      </c>
      <c r="B151" s="625">
        <f t="shared" ref="B151:M151" si="23">SUM(B140*100/B145)</f>
        <v>0</v>
      </c>
      <c r="C151" s="625">
        <f t="shared" si="23"/>
        <v>0</v>
      </c>
      <c r="D151" s="625">
        <f t="shared" si="23"/>
        <v>0.27409372236958446</v>
      </c>
      <c r="E151" s="625">
        <f t="shared" si="23"/>
        <v>0</v>
      </c>
      <c r="F151" s="625">
        <f t="shared" si="23"/>
        <v>0</v>
      </c>
      <c r="G151" s="625">
        <f t="shared" si="23"/>
        <v>0</v>
      </c>
      <c r="H151" s="625">
        <f t="shared" si="23"/>
        <v>0</v>
      </c>
      <c r="I151" s="625">
        <f t="shared" si="23"/>
        <v>0</v>
      </c>
      <c r="J151" s="625">
        <f t="shared" si="23"/>
        <v>0</v>
      </c>
      <c r="K151" s="625">
        <f t="shared" si="23"/>
        <v>0</v>
      </c>
      <c r="L151" s="625">
        <f t="shared" si="23"/>
        <v>0</v>
      </c>
      <c r="M151" s="625">
        <f t="shared" si="23"/>
        <v>0</v>
      </c>
      <c r="N151" s="631">
        <f>SUM(B151:M151)/12</f>
        <v>2.2841143530798705E-2</v>
      </c>
    </row>
    <row r="152" spans="1:14" ht="13.5" thickBot="1">
      <c r="A152" s="249" t="s">
        <v>82</v>
      </c>
      <c r="B152" s="632">
        <f t="shared" ref="B152:M152" si="24">SUM(B150:B150)</f>
        <v>0</v>
      </c>
      <c r="C152" s="632">
        <f t="shared" si="24"/>
        <v>0.72518762121595415</v>
      </c>
      <c r="D152" s="632">
        <f t="shared" si="24"/>
        <v>3.9876215738284704</v>
      </c>
      <c r="E152" s="632">
        <f t="shared" si="24"/>
        <v>3.7875767482656886</v>
      </c>
      <c r="F152" s="632">
        <f t="shared" si="24"/>
        <v>2.9986244841815681</v>
      </c>
      <c r="G152" s="632">
        <f t="shared" si="24"/>
        <v>3.5738087304231922</v>
      </c>
      <c r="H152" s="632">
        <f t="shared" si="24"/>
        <v>1.7383888743112044</v>
      </c>
      <c r="I152" s="632">
        <f t="shared" si="24"/>
        <v>0.53177802555965348</v>
      </c>
      <c r="J152" s="632">
        <f t="shared" si="24"/>
        <v>1.2860618700034758</v>
      </c>
      <c r="K152" s="632">
        <f t="shared" si="24"/>
        <v>3.4244264507422404</v>
      </c>
      <c r="L152" s="632">
        <f t="shared" si="24"/>
        <v>4.9593646102696711</v>
      </c>
      <c r="M152" s="632">
        <f t="shared" si="24"/>
        <v>2.4258318308474021</v>
      </c>
      <c r="N152" s="633">
        <f>SUM(N150:N151)</f>
        <v>2.4760637118348425</v>
      </c>
    </row>
    <row r="153" spans="1:14">
      <c r="A153" s="243" t="s">
        <v>83</v>
      </c>
      <c r="B153" s="261"/>
      <c r="C153" s="261"/>
      <c r="D153" s="634">
        <f>SUM(B152:D152)/3</f>
        <v>1.5709363983481415</v>
      </c>
      <c r="E153" s="261"/>
      <c r="F153" s="261"/>
      <c r="G153" s="634">
        <f>SUM(E152,F152,G152)/3</f>
        <v>3.4533366542901494</v>
      </c>
      <c r="H153" s="261"/>
      <c r="I153" s="261"/>
      <c r="J153" s="634">
        <f>SUM(H152,I152,J152)/3</f>
        <v>1.1854095899581114</v>
      </c>
      <c r="K153" s="261"/>
      <c r="L153" s="261"/>
      <c r="M153" s="634">
        <f>SUM(K152,L152,M152)/3</f>
        <v>3.6032076306197713</v>
      </c>
      <c r="N153" s="635">
        <f>SUM(D153:M153)/4</f>
        <v>2.4532225683040436</v>
      </c>
    </row>
    <row r="154" spans="1:14">
      <c r="A154" s="243" t="s">
        <v>84</v>
      </c>
      <c r="B154" s="261"/>
      <c r="C154" s="261"/>
      <c r="D154" s="262"/>
      <c r="E154" s="261"/>
      <c r="F154" s="261"/>
      <c r="G154" s="262"/>
      <c r="H154" s="261"/>
      <c r="I154" s="261"/>
      <c r="J154" s="262"/>
      <c r="K154" s="261"/>
      <c r="L154" s="261"/>
      <c r="M154" s="262"/>
      <c r="N154" s="630">
        <f>SUM(D154:G154,J154,M154)/4</f>
        <v>0</v>
      </c>
    </row>
    <row r="155" spans="1:14">
      <c r="A155" s="243"/>
      <c r="B155" s="261"/>
      <c r="C155" s="261"/>
      <c r="D155" s="261"/>
      <c r="E155" s="261"/>
      <c r="F155" s="261"/>
      <c r="G155" s="261"/>
      <c r="H155" s="261"/>
      <c r="I155" s="261"/>
      <c r="J155" s="261"/>
      <c r="K155" s="261"/>
      <c r="L155" s="261"/>
      <c r="M155" s="261"/>
      <c r="N155" s="261"/>
    </row>
    <row r="156" spans="1:14">
      <c r="A156" s="231" t="s">
        <v>85</v>
      </c>
      <c r="B156" s="620">
        <f t="shared" ref="B156:M156" si="25">B143*100/B145</f>
        <v>0</v>
      </c>
      <c r="C156" s="620">
        <f t="shared" si="25"/>
        <v>5.1016105911122356</v>
      </c>
      <c r="D156" s="620">
        <f t="shared" si="25"/>
        <v>0</v>
      </c>
      <c r="E156" s="620">
        <f t="shared" si="25"/>
        <v>0</v>
      </c>
      <c r="F156" s="620">
        <f t="shared" si="25"/>
        <v>0.59605685465382852</v>
      </c>
      <c r="G156" s="620">
        <f t="shared" si="25"/>
        <v>0</v>
      </c>
      <c r="H156" s="620">
        <f t="shared" si="25"/>
        <v>0</v>
      </c>
      <c r="I156" s="620">
        <f t="shared" si="25"/>
        <v>0</v>
      </c>
      <c r="J156" s="620">
        <f t="shared" si="25"/>
        <v>0</v>
      </c>
      <c r="K156" s="620">
        <f t="shared" si="25"/>
        <v>0</v>
      </c>
      <c r="L156" s="620">
        <f t="shared" si="25"/>
        <v>0</v>
      </c>
      <c r="M156" s="620">
        <f t="shared" si="25"/>
        <v>0.50811342402884774</v>
      </c>
      <c r="N156" s="630">
        <f>SUM(B156:M156)/12</f>
        <v>0.51714840581624266</v>
      </c>
    </row>
    <row r="157" spans="1:14">
      <c r="A157" s="231" t="s">
        <v>86</v>
      </c>
      <c r="B157" s="620">
        <f t="shared" ref="B157:M157" si="26">B141*100/B145</f>
        <v>3.1361433665538998</v>
      </c>
      <c r="C157" s="620">
        <f t="shared" si="26"/>
        <v>1.7370773252382157</v>
      </c>
      <c r="D157" s="620">
        <f t="shared" si="26"/>
        <v>0.54818744473916892</v>
      </c>
      <c r="E157" s="620">
        <f t="shared" si="26"/>
        <v>2.623395263535603</v>
      </c>
      <c r="F157" s="620">
        <f t="shared" si="26"/>
        <v>2.3200366804218246</v>
      </c>
      <c r="G157" s="620">
        <f t="shared" si="26"/>
        <v>1.9993335554815062</v>
      </c>
      <c r="H157" s="620">
        <f t="shared" si="26"/>
        <v>3.1159800577276306</v>
      </c>
      <c r="I157" s="620">
        <f t="shared" si="26"/>
        <v>1.5867570117505789</v>
      </c>
      <c r="J157" s="620">
        <f t="shared" si="26"/>
        <v>4.6836982968369831</v>
      </c>
      <c r="K157" s="620">
        <f t="shared" si="26"/>
        <v>4.057017543859649</v>
      </c>
      <c r="L157" s="620">
        <f t="shared" si="26"/>
        <v>0.28629479128186186</v>
      </c>
      <c r="M157" s="620">
        <f t="shared" si="26"/>
        <v>3.1552204556630059</v>
      </c>
      <c r="N157" s="630">
        <f>SUM(B157:M157)/12</f>
        <v>2.4374284827574937</v>
      </c>
    </row>
    <row r="158" spans="1:14" ht="13.5" thickBot="1">
      <c r="A158" s="231" t="s">
        <v>87</v>
      </c>
      <c r="B158" s="620">
        <f t="shared" ref="B158:M158" si="27">B137*100/B145</f>
        <v>2.0480936271372405</v>
      </c>
      <c r="C158" s="620">
        <f t="shared" si="27"/>
        <v>4.9329623071085251</v>
      </c>
      <c r="D158" s="620">
        <f t="shared" si="27"/>
        <v>3.7135278514588861</v>
      </c>
      <c r="E158" s="620">
        <f t="shared" si="27"/>
        <v>10.102862610637111</v>
      </c>
      <c r="F158" s="620">
        <f t="shared" si="27"/>
        <v>0</v>
      </c>
      <c r="G158" s="620">
        <f t="shared" si="27"/>
        <v>8.9553482172609122</v>
      </c>
      <c r="H158" s="620">
        <f t="shared" si="27"/>
        <v>27.840461821044347</v>
      </c>
      <c r="I158" s="620">
        <f t="shared" si="27"/>
        <v>9.3490007719358434</v>
      </c>
      <c r="J158" s="620">
        <f t="shared" si="27"/>
        <v>3.5888077858880778</v>
      </c>
      <c r="K158" s="620">
        <f t="shared" si="27"/>
        <v>5.9800944669365723</v>
      </c>
      <c r="L158" s="620">
        <f t="shared" si="27"/>
        <v>0</v>
      </c>
      <c r="M158" s="620">
        <f t="shared" si="27"/>
        <v>9.826257990493362</v>
      </c>
      <c r="N158" s="630">
        <f>SUM(B158:M158)/12</f>
        <v>7.1947847874917406</v>
      </c>
    </row>
    <row r="159" spans="1:14" ht="13.5" thickBot="1">
      <c r="A159" s="255" t="s">
        <v>88</v>
      </c>
      <c r="B159" s="636">
        <f t="shared" ref="B159:M159" si="28">SUM(B134-B145)*100/B145</f>
        <v>-6.1899972570174633</v>
      </c>
      <c r="C159" s="636">
        <f t="shared" si="28"/>
        <v>-13.483430306096636</v>
      </c>
      <c r="D159" s="636">
        <f t="shared" si="28"/>
        <v>-9.2838196286472154</v>
      </c>
      <c r="E159" s="636">
        <f t="shared" si="28"/>
        <v>-18.188342237461129</v>
      </c>
      <c r="F159" s="636">
        <f t="shared" si="28"/>
        <v>-5.9147180192572213</v>
      </c>
      <c r="G159" s="636">
        <f t="shared" si="28"/>
        <v>-14.528490503165612</v>
      </c>
      <c r="H159" s="636">
        <f t="shared" si="28"/>
        <v>-32.694830753083181</v>
      </c>
      <c r="I159" s="636">
        <f t="shared" si="28"/>
        <v>-11.999313834805729</v>
      </c>
      <c r="J159" s="636">
        <f t="shared" si="28"/>
        <v>-10.844629822732012</v>
      </c>
      <c r="K159" s="636">
        <f t="shared" si="28"/>
        <v>-13.461538461538462</v>
      </c>
      <c r="L159" s="636">
        <f t="shared" si="28"/>
        <v>-5.2456594015515332</v>
      </c>
      <c r="M159" s="636">
        <f t="shared" si="28"/>
        <v>-15.915423701032617</v>
      </c>
      <c r="N159" s="637">
        <f>SUM(B159:M159)/12</f>
        <v>-13.145849493865734</v>
      </c>
    </row>
    <row r="160" spans="1:14">
      <c r="A160" s="243"/>
      <c r="B160" s="244"/>
      <c r="C160" s="244"/>
      <c r="D160" s="244"/>
      <c r="E160" s="244"/>
      <c r="F160" s="244"/>
      <c r="G160" s="244"/>
      <c r="H160" s="244"/>
      <c r="I160" s="244"/>
      <c r="J160" s="244"/>
      <c r="K160" s="244"/>
      <c r="L160" s="244"/>
      <c r="M160" s="244"/>
      <c r="N160" s="227"/>
    </row>
    <row r="161" spans="1:14">
      <c r="A161" s="258" t="s">
        <v>89</v>
      </c>
      <c r="B161" s="244"/>
      <c r="C161" s="244"/>
      <c r="D161" s="244"/>
      <c r="E161" s="244"/>
      <c r="F161" s="244"/>
      <c r="G161" s="244"/>
      <c r="H161" s="244"/>
      <c r="I161" s="244"/>
      <c r="J161" s="244"/>
      <c r="K161" s="244"/>
      <c r="L161" s="244"/>
      <c r="M161" s="244"/>
      <c r="N161" s="227"/>
    </row>
    <row r="162" spans="1:14">
      <c r="A162" s="231" t="s">
        <v>90</v>
      </c>
      <c r="B162" s="259">
        <v>16</v>
      </c>
      <c r="C162" s="259">
        <v>16</v>
      </c>
      <c r="D162" s="259">
        <v>16</v>
      </c>
      <c r="E162" s="259">
        <v>16</v>
      </c>
      <c r="F162" s="259">
        <v>16</v>
      </c>
      <c r="G162" s="259">
        <v>16</v>
      </c>
      <c r="H162" s="259">
        <v>16</v>
      </c>
      <c r="I162" s="259">
        <f t="shared" ref="I162:N162" si="29">H165</f>
        <v>16</v>
      </c>
      <c r="J162" s="259">
        <f t="shared" si="29"/>
        <v>16</v>
      </c>
      <c r="K162" s="259">
        <f t="shared" si="29"/>
        <v>16</v>
      </c>
      <c r="L162" s="259">
        <f t="shared" si="29"/>
        <v>16</v>
      </c>
      <c r="M162" s="259">
        <f t="shared" si="29"/>
        <v>16</v>
      </c>
      <c r="N162" s="259">
        <f t="shared" si="29"/>
        <v>16</v>
      </c>
    </row>
    <row r="163" spans="1:14">
      <c r="A163" s="231" t="s">
        <v>91</v>
      </c>
      <c r="B163" s="259"/>
      <c r="C163" s="259"/>
      <c r="D163" s="259"/>
      <c r="E163" s="259"/>
      <c r="F163" s="259"/>
      <c r="G163" s="259"/>
      <c r="H163" s="259"/>
      <c r="I163" s="259"/>
      <c r="J163" s="259"/>
      <c r="K163" s="259"/>
      <c r="L163" s="259"/>
      <c r="M163" s="259"/>
      <c r="N163" s="259">
        <f>SUM(B163:M163)/12</f>
        <v>0</v>
      </c>
    </row>
    <row r="164" spans="1:14">
      <c r="A164" s="231" t="s">
        <v>92</v>
      </c>
      <c r="B164" s="259"/>
      <c r="C164" s="259"/>
      <c r="D164" s="259"/>
      <c r="E164" s="259"/>
      <c r="F164" s="259"/>
      <c r="G164" s="259"/>
      <c r="H164" s="259"/>
      <c r="I164" s="259"/>
      <c r="J164" s="259"/>
      <c r="K164" s="259"/>
      <c r="L164" s="259"/>
      <c r="M164" s="259"/>
      <c r="N164" s="259">
        <f>SUM(B163:M163)/12</f>
        <v>0</v>
      </c>
    </row>
    <row r="165" spans="1:14">
      <c r="A165" s="231" t="s">
        <v>89</v>
      </c>
      <c r="B165" s="259">
        <f t="shared" ref="B165:M165" si="30">SUM(B162+B163-B164)</f>
        <v>16</v>
      </c>
      <c r="C165" s="259">
        <f t="shared" si="30"/>
        <v>16</v>
      </c>
      <c r="D165" s="259">
        <f t="shared" si="30"/>
        <v>16</v>
      </c>
      <c r="E165" s="259">
        <f t="shared" si="30"/>
        <v>16</v>
      </c>
      <c r="F165" s="259">
        <f t="shared" si="30"/>
        <v>16</v>
      </c>
      <c r="G165" s="259">
        <f t="shared" si="30"/>
        <v>16</v>
      </c>
      <c r="H165" s="259">
        <f t="shared" si="30"/>
        <v>16</v>
      </c>
      <c r="I165" s="259">
        <f t="shared" si="30"/>
        <v>16</v>
      </c>
      <c r="J165" s="259">
        <f t="shared" si="30"/>
        <v>16</v>
      </c>
      <c r="K165" s="259">
        <f t="shared" si="30"/>
        <v>16</v>
      </c>
      <c r="L165" s="259">
        <f t="shared" si="30"/>
        <v>16</v>
      </c>
      <c r="M165" s="259">
        <f t="shared" si="30"/>
        <v>16</v>
      </c>
      <c r="N165" s="259">
        <f>SUM(B164:M164)/12</f>
        <v>0</v>
      </c>
    </row>
    <row r="166" spans="1:14">
      <c r="A166" s="231" t="s">
        <v>93</v>
      </c>
      <c r="B166" s="260">
        <f t="shared" ref="B166:M166" si="31">SUM(B165*100)/B162-100</f>
        <v>0</v>
      </c>
      <c r="C166" s="260">
        <f t="shared" si="31"/>
        <v>0</v>
      </c>
      <c r="D166" s="260">
        <f t="shared" si="31"/>
        <v>0</v>
      </c>
      <c r="E166" s="260">
        <f t="shared" si="31"/>
        <v>0</v>
      </c>
      <c r="F166" s="260">
        <f t="shared" si="31"/>
        <v>0</v>
      </c>
      <c r="G166" s="260">
        <f t="shared" si="31"/>
        <v>0</v>
      </c>
      <c r="H166" s="260">
        <f t="shared" si="31"/>
        <v>0</v>
      </c>
      <c r="I166" s="260">
        <f t="shared" si="31"/>
        <v>0</v>
      </c>
      <c r="J166" s="260">
        <f t="shared" si="31"/>
        <v>0</v>
      </c>
      <c r="K166" s="260">
        <f t="shared" si="31"/>
        <v>0</v>
      </c>
      <c r="L166" s="260">
        <f t="shared" si="31"/>
        <v>0</v>
      </c>
      <c r="M166" s="260">
        <f t="shared" si="31"/>
        <v>0</v>
      </c>
      <c r="N166" s="259"/>
    </row>
    <row r="167" spans="1:14">
      <c r="A167" s="243" t="s">
        <v>94</v>
      </c>
      <c r="B167" s="261"/>
      <c r="C167" s="261"/>
      <c r="D167" s="262">
        <f>SUM(B166:D166/3)</f>
        <v>0</v>
      </c>
      <c r="E167" s="261"/>
      <c r="F167" s="261"/>
      <c r="G167" s="262">
        <f>SUM(E166:G166)/3</f>
        <v>0</v>
      </c>
      <c r="H167" s="261"/>
      <c r="I167" s="261"/>
      <c r="J167" s="262">
        <f>SUM(H166:J166)/3</f>
        <v>0</v>
      </c>
      <c r="K167" s="261"/>
      <c r="L167" s="261"/>
      <c r="M167" s="262">
        <f>SUM(K166:M166)/3</f>
        <v>0</v>
      </c>
      <c r="N167" s="261"/>
    </row>
    <row r="168" spans="1:14">
      <c r="A168" s="243"/>
      <c r="B168" s="244"/>
      <c r="C168" s="244"/>
      <c r="D168" s="244"/>
      <c r="E168" s="244"/>
      <c r="F168" s="244"/>
      <c r="G168" s="244"/>
      <c r="H168" s="244"/>
      <c r="I168" s="244"/>
      <c r="J168" s="244"/>
      <c r="K168" s="244"/>
      <c r="L168" s="244"/>
      <c r="M168" s="244"/>
      <c r="N168" s="227"/>
    </row>
    <row r="169" spans="1:14" ht="15.75">
      <c r="A169" s="258"/>
      <c r="B169" s="326"/>
      <c r="C169" s="326"/>
      <c r="D169" s="326"/>
      <c r="E169" s="326"/>
      <c r="F169" s="326"/>
      <c r="G169" s="355"/>
      <c r="H169" s="326"/>
      <c r="I169" s="326"/>
      <c r="J169" s="326"/>
      <c r="K169" s="326"/>
      <c r="L169" s="326"/>
      <c r="M169" s="326"/>
      <c r="N169" s="227"/>
    </row>
    <row r="170" spans="1:14">
      <c r="A170" s="328" t="s">
        <v>150</v>
      </c>
      <c r="B170" s="232" t="s">
        <v>44</v>
      </c>
      <c r="C170" s="232" t="s">
        <v>45</v>
      </c>
      <c r="D170" s="232" t="s">
        <v>46</v>
      </c>
      <c r="E170" s="232" t="s">
        <v>47</v>
      </c>
      <c r="F170" s="232" t="s">
        <v>48</v>
      </c>
      <c r="G170" s="232" t="s">
        <v>49</v>
      </c>
      <c r="H170" s="232" t="s">
        <v>38</v>
      </c>
      <c r="I170" s="232" t="s">
        <v>39</v>
      </c>
      <c r="J170" s="232" t="s">
        <v>40</v>
      </c>
      <c r="K170" s="232" t="s">
        <v>41</v>
      </c>
      <c r="L170" s="232" t="s">
        <v>42</v>
      </c>
      <c r="M170" s="232" t="s">
        <v>43</v>
      </c>
      <c r="N170" s="228" t="s">
        <v>64</v>
      </c>
    </row>
    <row r="171" spans="1:14">
      <c r="A171" s="231" t="s">
        <v>238</v>
      </c>
      <c r="B171" s="529">
        <v>309000</v>
      </c>
      <c r="C171" s="529">
        <v>309000</v>
      </c>
      <c r="D171" s="529">
        <v>309000</v>
      </c>
      <c r="E171" s="529">
        <v>309000</v>
      </c>
      <c r="F171" s="529">
        <v>309000</v>
      </c>
      <c r="G171" s="529">
        <v>309000</v>
      </c>
      <c r="H171" s="529">
        <v>309000</v>
      </c>
      <c r="I171" s="529">
        <v>309000</v>
      </c>
      <c r="J171" s="529">
        <v>309000</v>
      </c>
      <c r="K171" s="529">
        <v>309000</v>
      </c>
      <c r="L171" s="529">
        <v>309000</v>
      </c>
      <c r="M171" s="529">
        <v>309000</v>
      </c>
      <c r="N171" s="529">
        <f t="shared" ref="N171:N186" si="32">SUM(B171:M171)</f>
        <v>3708000</v>
      </c>
    </row>
    <row r="172" spans="1:14">
      <c r="A172" s="231" t="s">
        <v>239</v>
      </c>
      <c r="B172" s="329">
        <v>81500</v>
      </c>
      <c r="C172" s="329">
        <v>81500</v>
      </c>
      <c r="D172" s="329">
        <v>81500</v>
      </c>
      <c r="E172" s="329">
        <v>81500</v>
      </c>
      <c r="F172" s="329">
        <v>81500</v>
      </c>
      <c r="G172" s="329">
        <v>81500</v>
      </c>
      <c r="H172" s="329">
        <v>81500</v>
      </c>
      <c r="I172" s="329">
        <v>81500</v>
      </c>
      <c r="J172" s="329">
        <v>81500</v>
      </c>
      <c r="K172" s="329">
        <v>81500</v>
      </c>
      <c r="L172" s="329">
        <v>81500</v>
      </c>
      <c r="M172" s="329">
        <v>81500</v>
      </c>
      <c r="N172" s="329">
        <f t="shared" si="32"/>
        <v>978000</v>
      </c>
    </row>
    <row r="173" spans="1:14">
      <c r="A173" s="231"/>
      <c r="B173" s="329"/>
      <c r="C173" s="329">
        <v>0</v>
      </c>
      <c r="D173" s="329">
        <v>0</v>
      </c>
      <c r="E173" s="329">
        <v>0</v>
      </c>
      <c r="F173" s="329">
        <v>0</v>
      </c>
      <c r="G173" s="329">
        <v>0</v>
      </c>
      <c r="H173" s="329">
        <v>0</v>
      </c>
      <c r="I173" s="329">
        <v>0</v>
      </c>
      <c r="J173" s="329">
        <v>0</v>
      </c>
      <c r="K173" s="329">
        <v>0</v>
      </c>
      <c r="L173" s="329">
        <v>0</v>
      </c>
      <c r="M173" s="329">
        <v>0</v>
      </c>
      <c r="N173" s="329">
        <f t="shared" si="32"/>
        <v>0</v>
      </c>
    </row>
    <row r="174" spans="1:14" ht="13.5" thickBot="1">
      <c r="A174" s="356"/>
      <c r="B174" s="357"/>
      <c r="C174" s="357"/>
      <c r="D174" s="357"/>
      <c r="E174" s="357"/>
      <c r="F174" s="357"/>
      <c r="G174" s="357"/>
      <c r="H174" s="357"/>
      <c r="I174" s="357"/>
      <c r="J174" s="357"/>
      <c r="K174" s="357"/>
      <c r="L174" s="357"/>
      <c r="M174" s="357"/>
      <c r="N174" s="329">
        <f t="shared" si="32"/>
        <v>0</v>
      </c>
    </row>
    <row r="175" spans="1:14" ht="13.5" thickBot="1">
      <c r="A175" s="333" t="s">
        <v>151</v>
      </c>
      <c r="B175" s="334">
        <f t="shared" ref="B175:M175" si="33">SUM(B171:B174)</f>
        <v>390500</v>
      </c>
      <c r="C175" s="334">
        <f t="shared" si="33"/>
        <v>390500</v>
      </c>
      <c r="D175" s="334">
        <f t="shared" si="33"/>
        <v>390500</v>
      </c>
      <c r="E175" s="334">
        <f t="shared" si="33"/>
        <v>390500</v>
      </c>
      <c r="F175" s="334">
        <f t="shared" si="33"/>
        <v>390500</v>
      </c>
      <c r="G175" s="334">
        <f t="shared" si="33"/>
        <v>390500</v>
      </c>
      <c r="H175" s="334">
        <f t="shared" si="33"/>
        <v>390500</v>
      </c>
      <c r="I175" s="334">
        <f t="shared" si="33"/>
        <v>390500</v>
      </c>
      <c r="J175" s="334">
        <f t="shared" si="33"/>
        <v>390500</v>
      </c>
      <c r="K175" s="334">
        <f t="shared" si="33"/>
        <v>390500</v>
      </c>
      <c r="L175" s="334">
        <f t="shared" si="33"/>
        <v>390500</v>
      </c>
      <c r="M175" s="334">
        <f t="shared" si="33"/>
        <v>390500</v>
      </c>
      <c r="N175" s="334">
        <f t="shared" si="32"/>
        <v>4686000</v>
      </c>
    </row>
    <row r="176" spans="1:14">
      <c r="A176" s="228" t="s">
        <v>152</v>
      </c>
      <c r="B176" s="329">
        <v>5075</v>
      </c>
      <c r="C176" s="329">
        <v>1225</v>
      </c>
      <c r="D176" s="329">
        <v>1050</v>
      </c>
      <c r="E176" s="329">
        <v>3675</v>
      </c>
      <c r="F176" s="329">
        <v>5425</v>
      </c>
      <c r="G176" s="329">
        <v>2275</v>
      </c>
      <c r="H176" s="329"/>
      <c r="I176" s="329">
        <v>5075</v>
      </c>
      <c r="J176" s="329">
        <v>2100</v>
      </c>
      <c r="K176" s="329">
        <v>700</v>
      </c>
      <c r="L176" s="329">
        <v>9150</v>
      </c>
      <c r="M176" s="329">
        <v>1575</v>
      </c>
      <c r="N176" s="329">
        <f t="shared" si="32"/>
        <v>37325</v>
      </c>
    </row>
    <row r="177" spans="1:15">
      <c r="A177" s="231" t="s">
        <v>153</v>
      </c>
      <c r="B177" s="329"/>
      <c r="C177" s="329"/>
      <c r="D177" s="329"/>
      <c r="E177" s="329"/>
      <c r="F177" s="329"/>
      <c r="G177" s="358"/>
      <c r="H177" s="329"/>
      <c r="I177" s="329"/>
      <c r="J177" s="329"/>
      <c r="K177" s="329"/>
      <c r="L177" s="329"/>
      <c r="M177" s="329"/>
      <c r="N177" s="329">
        <f t="shared" si="32"/>
        <v>0</v>
      </c>
    </row>
    <row r="178" spans="1:15">
      <c r="A178" s="356" t="s">
        <v>154</v>
      </c>
      <c r="B178" s="329">
        <v>90000</v>
      </c>
      <c r="C178" s="329">
        <v>90000</v>
      </c>
      <c r="D178" s="329">
        <v>90000</v>
      </c>
      <c r="E178" s="329">
        <v>90000</v>
      </c>
      <c r="F178" s="329">
        <v>90000</v>
      </c>
      <c r="G178" s="329">
        <v>90000</v>
      </c>
      <c r="H178" s="329">
        <v>90000</v>
      </c>
      <c r="I178" s="329">
        <v>90000</v>
      </c>
      <c r="J178" s="329">
        <v>90000</v>
      </c>
      <c r="K178" s="329">
        <v>90000</v>
      </c>
      <c r="L178" s="329">
        <v>90000</v>
      </c>
      <c r="M178" s="329">
        <v>90000</v>
      </c>
      <c r="N178" s="329">
        <f t="shared" si="32"/>
        <v>1080000</v>
      </c>
    </row>
    <row r="179" spans="1:15">
      <c r="A179" s="228" t="s">
        <v>211</v>
      </c>
      <c r="B179" s="329">
        <v>346925</v>
      </c>
      <c r="C179" s="329">
        <v>37562.5</v>
      </c>
      <c r="D179" s="329">
        <v>75225</v>
      </c>
      <c r="E179" s="329">
        <v>77362.5</v>
      </c>
      <c r="F179" s="329">
        <v>197825</v>
      </c>
      <c r="G179" s="329">
        <v>163809.5</v>
      </c>
      <c r="H179" s="329"/>
      <c r="I179" s="329">
        <v>126393.13</v>
      </c>
      <c r="J179" s="329">
        <v>120312.5</v>
      </c>
      <c r="K179" s="329">
        <v>180887.5</v>
      </c>
      <c r="L179" s="329">
        <v>102525</v>
      </c>
      <c r="M179" s="329">
        <v>33412.5</v>
      </c>
      <c r="N179" s="329">
        <f t="shared" si="32"/>
        <v>1462240.13</v>
      </c>
    </row>
    <row r="180" spans="1:15" ht="13.5" thickBot="1">
      <c r="A180" s="359" t="s">
        <v>156</v>
      </c>
      <c r="B180" s="357">
        <v>39160.5</v>
      </c>
      <c r="C180" s="357">
        <v>8300</v>
      </c>
      <c r="D180" s="357">
        <v>12951</v>
      </c>
      <c r="E180" s="357">
        <v>14008</v>
      </c>
      <c r="F180" s="357">
        <v>17440.5</v>
      </c>
      <c r="G180" s="357">
        <v>29408.75</v>
      </c>
      <c r="H180" s="357"/>
      <c r="I180" s="357">
        <v>22928</v>
      </c>
      <c r="J180" s="357">
        <v>18633</v>
      </c>
      <c r="K180" s="357">
        <v>19431.5</v>
      </c>
      <c r="L180" s="357">
        <v>17755</v>
      </c>
      <c r="M180" s="329">
        <v>8057</v>
      </c>
      <c r="N180" s="329">
        <f t="shared" si="32"/>
        <v>208073.25</v>
      </c>
    </row>
    <row r="181" spans="1:15" ht="13.5" thickBot="1">
      <c r="A181" s="360" t="s">
        <v>126</v>
      </c>
      <c r="B181" s="361">
        <f t="shared" ref="B181:M181" si="34">SUM(B176:B180)</f>
        <v>481160.5</v>
      </c>
      <c r="C181" s="361">
        <f t="shared" si="34"/>
        <v>137087.5</v>
      </c>
      <c r="D181" s="361">
        <f t="shared" si="34"/>
        <v>179226</v>
      </c>
      <c r="E181" s="361">
        <f t="shared" si="34"/>
        <v>185045.5</v>
      </c>
      <c r="F181" s="361">
        <f t="shared" si="34"/>
        <v>310690.5</v>
      </c>
      <c r="G181" s="361">
        <f t="shared" si="34"/>
        <v>285493.25</v>
      </c>
      <c r="H181" s="361">
        <f t="shared" si="34"/>
        <v>90000</v>
      </c>
      <c r="I181" s="361">
        <f t="shared" si="34"/>
        <v>244396.13</v>
      </c>
      <c r="J181" s="361">
        <f t="shared" si="34"/>
        <v>231045.5</v>
      </c>
      <c r="K181" s="361">
        <f t="shared" si="34"/>
        <v>291019</v>
      </c>
      <c r="L181" s="361">
        <f t="shared" si="34"/>
        <v>219430</v>
      </c>
      <c r="M181" s="361">
        <f t="shared" si="34"/>
        <v>133044.5</v>
      </c>
      <c r="N181" s="361">
        <f t="shared" si="32"/>
        <v>2787638.38</v>
      </c>
    </row>
    <row r="182" spans="1:15" ht="13.5" thickBot="1">
      <c r="A182" s="228" t="s">
        <v>127</v>
      </c>
      <c r="B182" s="331">
        <v>1985</v>
      </c>
      <c r="C182" s="331">
        <v>2403</v>
      </c>
      <c r="D182" s="331"/>
      <c r="E182" s="331"/>
      <c r="F182" s="331">
        <v>6323</v>
      </c>
      <c r="G182" s="331">
        <v>14670</v>
      </c>
      <c r="H182" s="331"/>
      <c r="I182" s="331"/>
      <c r="J182" s="331"/>
      <c r="K182" s="331"/>
      <c r="L182" s="331"/>
      <c r="M182" s="357">
        <v>0</v>
      </c>
      <c r="N182" s="329">
        <f t="shared" si="32"/>
        <v>25381</v>
      </c>
      <c r="O182" s="291"/>
    </row>
    <row r="183" spans="1:15" ht="13.5" thickBot="1">
      <c r="A183" s="363" t="s">
        <v>129</v>
      </c>
      <c r="B183" s="364">
        <f t="shared" ref="B183:M183" si="35">SUM(B175,B181,B182)</f>
        <v>873645.5</v>
      </c>
      <c r="C183" s="364">
        <f t="shared" si="35"/>
        <v>529990.5</v>
      </c>
      <c r="D183" s="364">
        <f t="shared" si="35"/>
        <v>569726</v>
      </c>
      <c r="E183" s="364">
        <f t="shared" si="35"/>
        <v>575545.5</v>
      </c>
      <c r="F183" s="364">
        <f t="shared" si="35"/>
        <v>707513.5</v>
      </c>
      <c r="G183" s="364">
        <f t="shared" si="35"/>
        <v>690663.25</v>
      </c>
      <c r="H183" s="364">
        <f t="shared" si="35"/>
        <v>480500</v>
      </c>
      <c r="I183" s="364">
        <f t="shared" si="35"/>
        <v>634896.13</v>
      </c>
      <c r="J183" s="364">
        <f t="shared" si="35"/>
        <v>621545.5</v>
      </c>
      <c r="K183" s="364">
        <f t="shared" si="35"/>
        <v>681519</v>
      </c>
      <c r="L183" s="364">
        <f t="shared" si="35"/>
        <v>609930</v>
      </c>
      <c r="M183" s="361">
        <f t="shared" si="35"/>
        <v>523544.5</v>
      </c>
      <c r="N183" s="361">
        <f t="shared" si="32"/>
        <v>7499019.3799999999</v>
      </c>
    </row>
    <row r="184" spans="1:15">
      <c r="A184" s="336" t="s">
        <v>131</v>
      </c>
      <c r="B184" s="365">
        <v>554373</v>
      </c>
      <c r="C184" s="365">
        <v>540308</v>
      </c>
      <c r="D184" s="365">
        <v>539308</v>
      </c>
      <c r="E184" s="365">
        <v>492186</v>
      </c>
      <c r="F184" s="365">
        <v>508194</v>
      </c>
      <c r="G184" s="365">
        <v>555000</v>
      </c>
      <c r="H184" s="365">
        <v>542000</v>
      </c>
      <c r="I184" s="365">
        <v>434593</v>
      </c>
      <c r="J184" s="365">
        <v>542000</v>
      </c>
      <c r="K184" s="365">
        <v>542000</v>
      </c>
      <c r="L184" s="365">
        <v>542000</v>
      </c>
      <c r="M184" s="365">
        <v>542000</v>
      </c>
      <c r="N184" s="329">
        <f t="shared" si="32"/>
        <v>6333962</v>
      </c>
    </row>
    <row r="185" spans="1:15">
      <c r="A185" s="336" t="s">
        <v>157</v>
      </c>
      <c r="B185" s="365"/>
      <c r="C185" s="365"/>
      <c r="D185" s="365"/>
      <c r="E185" s="365"/>
      <c r="F185" s="365"/>
      <c r="G185" s="365"/>
      <c r="H185" s="365"/>
      <c r="I185" s="365"/>
      <c r="J185" s="365"/>
      <c r="K185" s="365"/>
      <c r="L185" s="365"/>
      <c r="M185" s="365"/>
      <c r="N185" s="329">
        <f t="shared" si="32"/>
        <v>0</v>
      </c>
    </row>
    <row r="186" spans="1:15">
      <c r="A186" s="336" t="s">
        <v>158</v>
      </c>
      <c r="B186" s="365"/>
      <c r="C186" s="365"/>
      <c r="D186" s="365"/>
      <c r="E186" s="365"/>
      <c r="F186" s="365"/>
      <c r="G186" s="365"/>
      <c r="H186" s="365"/>
      <c r="I186" s="365"/>
      <c r="J186" s="365"/>
      <c r="K186" s="365"/>
      <c r="L186" s="365"/>
      <c r="M186" s="365"/>
      <c r="N186" s="329">
        <f t="shared" si="32"/>
        <v>0</v>
      </c>
    </row>
    <row r="187" spans="1:15">
      <c r="A187" s="367" t="s">
        <v>146</v>
      </c>
      <c r="B187" s="368">
        <f t="shared" ref="B187:N187" si="36">B183-SUM(B184:B186)</f>
        <v>319272.5</v>
      </c>
      <c r="C187" s="368">
        <f t="shared" si="36"/>
        <v>-10317.5</v>
      </c>
      <c r="D187" s="368">
        <f t="shared" si="36"/>
        <v>30418</v>
      </c>
      <c r="E187" s="368">
        <f t="shared" si="36"/>
        <v>83359.5</v>
      </c>
      <c r="F187" s="368">
        <f t="shared" si="36"/>
        <v>199319.5</v>
      </c>
      <c r="G187" s="368">
        <f t="shared" si="36"/>
        <v>135663.25</v>
      </c>
      <c r="H187" s="368">
        <f t="shared" si="36"/>
        <v>-61500</v>
      </c>
      <c r="I187" s="368">
        <f t="shared" si="36"/>
        <v>200303.13</v>
      </c>
      <c r="J187" s="368">
        <f t="shared" si="36"/>
        <v>79545.5</v>
      </c>
      <c r="K187" s="368">
        <f t="shared" si="36"/>
        <v>139519</v>
      </c>
      <c r="L187" s="368">
        <f t="shared" si="36"/>
        <v>67930</v>
      </c>
      <c r="M187" s="368">
        <f t="shared" si="36"/>
        <v>-18455.5</v>
      </c>
      <c r="N187" s="368">
        <f t="shared" si="36"/>
        <v>1165057.3799999999</v>
      </c>
    </row>
    <row r="188" spans="1:15" ht="13.5" thickBot="1">
      <c r="A188" s="369">
        <v>206552</v>
      </c>
      <c r="B188" s="369"/>
      <c r="C188" s="369"/>
      <c r="D188" s="369"/>
      <c r="E188" s="369"/>
      <c r="F188" s="369"/>
      <c r="G188" s="369"/>
      <c r="H188" s="369"/>
      <c r="I188" s="369"/>
      <c r="J188" s="369"/>
      <c r="K188" s="369"/>
      <c r="L188" s="369"/>
      <c r="M188" s="369"/>
      <c r="N188" s="369"/>
    </row>
    <row r="189" spans="1:15" ht="13.5" thickBot="1"/>
    <row r="190" spans="1:15" ht="20.25">
      <c r="A190" s="826" t="s">
        <v>266</v>
      </c>
      <c r="B190" s="826"/>
      <c r="C190" s="826"/>
      <c r="D190" s="826"/>
      <c r="E190" s="826"/>
      <c r="F190" s="826"/>
      <c r="G190" s="826"/>
      <c r="H190" s="826"/>
      <c r="I190" s="826"/>
      <c r="J190" s="826"/>
      <c r="K190" s="826"/>
      <c r="L190" s="826"/>
      <c r="M190" s="826"/>
      <c r="N190" s="826"/>
    </row>
    <row r="191" spans="1:15">
      <c r="A191" s="227"/>
      <c r="B191" s="227"/>
      <c r="C191" s="227"/>
      <c r="D191" s="227"/>
      <c r="E191" s="227"/>
      <c r="F191" s="227"/>
      <c r="G191" s="227"/>
      <c r="H191" s="227"/>
      <c r="I191" s="227"/>
      <c r="J191" s="227"/>
      <c r="K191" s="227"/>
      <c r="L191" s="227"/>
      <c r="M191" s="227"/>
    </row>
    <row r="192" spans="1:15">
      <c r="A192" s="228"/>
      <c r="B192" s="229" t="s">
        <v>44</v>
      </c>
      <c r="C192" s="229" t="s">
        <v>45</v>
      </c>
      <c r="D192" s="230" t="s">
        <v>46</v>
      </c>
      <c r="E192" s="229" t="s">
        <v>47</v>
      </c>
      <c r="F192" s="229" t="s">
        <v>48</v>
      </c>
      <c r="G192" s="230" t="s">
        <v>49</v>
      </c>
      <c r="H192" s="229" t="s">
        <v>38</v>
      </c>
      <c r="I192" s="229" t="s">
        <v>39</v>
      </c>
      <c r="J192" s="229" t="s">
        <v>40</v>
      </c>
      <c r="K192" s="229" t="s">
        <v>41</v>
      </c>
      <c r="L192" s="229" t="s">
        <v>42</v>
      </c>
      <c r="M192" s="229" t="s">
        <v>43</v>
      </c>
      <c r="N192" s="228" t="s">
        <v>64</v>
      </c>
    </row>
    <row r="193" spans="1:14">
      <c r="A193" s="231" t="s">
        <v>65</v>
      </c>
      <c r="B193" s="620">
        <v>1924</v>
      </c>
      <c r="C193" s="620">
        <v>1924</v>
      </c>
      <c r="D193" s="620">
        <v>1924</v>
      </c>
      <c r="E193" s="620">
        <v>1924</v>
      </c>
      <c r="F193" s="620">
        <v>1924</v>
      </c>
      <c r="G193" s="620">
        <v>1924</v>
      </c>
      <c r="H193" s="620">
        <v>1924</v>
      </c>
      <c r="I193" s="620">
        <v>1924</v>
      </c>
      <c r="J193" s="620">
        <v>1924</v>
      </c>
      <c r="K193" s="620">
        <v>1924</v>
      </c>
      <c r="L193" s="620">
        <v>1924</v>
      </c>
      <c r="M193" s="620">
        <v>1924</v>
      </c>
      <c r="N193" s="620">
        <f t="shared" ref="N193:N203" si="37">SUM(B193:M193)</f>
        <v>23088</v>
      </c>
    </row>
    <row r="194" spans="1:14">
      <c r="A194" s="231" t="s">
        <v>66</v>
      </c>
      <c r="B194" s="620"/>
      <c r="C194" s="620"/>
      <c r="D194" s="620"/>
      <c r="E194" s="620"/>
      <c r="F194" s="620"/>
      <c r="G194" s="621"/>
      <c r="H194" s="620"/>
      <c r="I194" s="620"/>
      <c r="J194" s="622"/>
      <c r="K194" s="620"/>
      <c r="L194" s="620"/>
      <c r="M194" s="620"/>
      <c r="N194" s="620">
        <f t="shared" si="37"/>
        <v>0</v>
      </c>
    </row>
    <row r="195" spans="1:14">
      <c r="A195" s="231" t="s">
        <v>67</v>
      </c>
      <c r="B195" s="620"/>
      <c r="C195" s="620"/>
      <c r="D195" s="620"/>
      <c r="E195" s="620"/>
      <c r="F195" s="620"/>
      <c r="G195" s="621"/>
      <c r="H195" s="620"/>
      <c r="I195" s="620"/>
      <c r="J195" s="620"/>
      <c r="K195" s="620"/>
      <c r="L195" s="620"/>
      <c r="M195" s="620"/>
      <c r="N195" s="620">
        <f t="shared" si="37"/>
        <v>0</v>
      </c>
    </row>
    <row r="196" spans="1:14">
      <c r="A196" s="231" t="s">
        <v>69</v>
      </c>
      <c r="B196" s="620">
        <v>124.25</v>
      </c>
      <c r="C196" s="620">
        <v>241.5</v>
      </c>
      <c r="D196" s="620">
        <v>50.75</v>
      </c>
      <c r="E196" s="620">
        <v>255</v>
      </c>
      <c r="F196" s="620">
        <v>12</v>
      </c>
      <c r="G196" s="621">
        <v>220</v>
      </c>
      <c r="H196" s="620">
        <v>559.5</v>
      </c>
      <c r="I196" s="620">
        <v>501</v>
      </c>
      <c r="J196" s="620">
        <v>229</v>
      </c>
      <c r="K196" s="620">
        <v>44.25</v>
      </c>
      <c r="L196" s="620">
        <v>58</v>
      </c>
      <c r="M196" s="620">
        <v>181.75</v>
      </c>
      <c r="N196" s="620">
        <f t="shared" si="37"/>
        <v>2477</v>
      </c>
    </row>
    <row r="197" spans="1:14">
      <c r="A197" s="231" t="s">
        <v>70</v>
      </c>
      <c r="B197" s="620">
        <v>6</v>
      </c>
      <c r="C197" s="620">
        <v>28.75</v>
      </c>
      <c r="D197" s="620">
        <v>7.5</v>
      </c>
      <c r="E197" s="620">
        <v>52</v>
      </c>
      <c r="F197" s="620">
        <v>29.25</v>
      </c>
      <c r="G197" s="621">
        <v>7.75</v>
      </c>
      <c r="H197" s="620"/>
      <c r="I197" s="620"/>
      <c r="J197" s="620"/>
      <c r="K197" s="620"/>
      <c r="L197" s="620"/>
      <c r="M197" s="620">
        <v>37.75</v>
      </c>
      <c r="N197" s="620">
        <f t="shared" si="37"/>
        <v>169</v>
      </c>
    </row>
    <row r="198" spans="1:14">
      <c r="A198" s="231" t="s">
        <v>71</v>
      </c>
      <c r="B198" s="620">
        <v>124.75</v>
      </c>
      <c r="C198" s="620">
        <v>92</v>
      </c>
      <c r="D198" s="620">
        <v>178.25</v>
      </c>
      <c r="E198" s="620">
        <v>75.25</v>
      </c>
      <c r="F198" s="620">
        <v>27.5</v>
      </c>
      <c r="G198" s="621">
        <v>166.25</v>
      </c>
      <c r="H198" s="620">
        <v>97.25</v>
      </c>
      <c r="I198" s="620">
        <v>60</v>
      </c>
      <c r="J198" s="620">
        <v>107.25</v>
      </c>
      <c r="K198" s="620">
        <v>71.25</v>
      </c>
      <c r="L198" s="620">
        <v>83.5</v>
      </c>
      <c r="M198" s="620">
        <v>15.5</v>
      </c>
      <c r="N198" s="620">
        <f t="shared" si="37"/>
        <v>1098.75</v>
      </c>
    </row>
    <row r="199" spans="1:14">
      <c r="A199" s="231" t="s">
        <v>72</v>
      </c>
      <c r="B199" s="620">
        <v>15.25</v>
      </c>
      <c r="C199" s="620"/>
      <c r="D199" s="620">
        <v>7.75</v>
      </c>
      <c r="E199" s="620"/>
      <c r="F199" s="620"/>
      <c r="G199" s="621"/>
      <c r="H199" s="620"/>
      <c r="I199" s="620"/>
      <c r="J199" s="620"/>
      <c r="K199" s="620"/>
      <c r="L199" s="620"/>
      <c r="M199" s="620"/>
      <c r="N199" s="620">
        <f t="shared" si="37"/>
        <v>23</v>
      </c>
    </row>
    <row r="200" spans="1:14">
      <c r="A200" s="231" t="s">
        <v>73</v>
      </c>
      <c r="B200" s="620">
        <v>27.5</v>
      </c>
      <c r="C200" s="620">
        <v>7</v>
      </c>
      <c r="D200" s="620">
        <v>15.5</v>
      </c>
      <c r="E200" s="620">
        <v>15.5</v>
      </c>
      <c r="F200" s="620">
        <v>63.75</v>
      </c>
      <c r="G200" s="621">
        <v>13.75</v>
      </c>
      <c r="H200" s="620"/>
      <c r="I200" s="620">
        <v>14.5</v>
      </c>
      <c r="J200" s="620">
        <v>19.5</v>
      </c>
      <c r="K200" s="620">
        <v>26.5</v>
      </c>
      <c r="L200" s="620"/>
      <c r="M200" s="620">
        <v>46.5</v>
      </c>
      <c r="N200" s="620">
        <f t="shared" si="37"/>
        <v>250</v>
      </c>
    </row>
    <row r="201" spans="1:14">
      <c r="A201" s="231" t="s">
        <v>74</v>
      </c>
      <c r="B201" s="620"/>
      <c r="C201" s="620"/>
      <c r="D201" s="620"/>
      <c r="E201" s="620"/>
      <c r="F201" s="620"/>
      <c r="G201" s="621"/>
      <c r="H201" s="620"/>
      <c r="I201" s="620"/>
      <c r="J201" s="620"/>
      <c r="K201" s="620"/>
      <c r="L201" s="620"/>
      <c r="M201" s="620"/>
      <c r="N201" s="620">
        <f t="shared" si="37"/>
        <v>0</v>
      </c>
    </row>
    <row r="202" spans="1:14">
      <c r="A202" s="231" t="s">
        <v>75</v>
      </c>
      <c r="B202" s="620">
        <v>7.75</v>
      </c>
      <c r="C202" s="620"/>
      <c r="D202" s="620">
        <v>22.5</v>
      </c>
      <c r="E202" s="620"/>
      <c r="F202" s="620"/>
      <c r="G202" s="621"/>
      <c r="H202" s="620"/>
      <c r="I202" s="620"/>
      <c r="J202" s="620"/>
      <c r="K202" s="620">
        <v>7</v>
      </c>
      <c r="L202" s="620"/>
      <c r="M202" s="620"/>
      <c r="N202" s="620">
        <f t="shared" si="37"/>
        <v>37.25</v>
      </c>
    </row>
    <row r="203" spans="1:14" ht="13.5" thickBot="1">
      <c r="A203" s="235" t="s">
        <v>76</v>
      </c>
      <c r="B203" s="623"/>
      <c r="C203" s="623"/>
      <c r="D203" s="623"/>
      <c r="E203" s="623"/>
      <c r="F203" s="623">
        <v>37</v>
      </c>
      <c r="G203" s="624"/>
      <c r="H203" s="623"/>
      <c r="I203" s="623">
        <v>15.5</v>
      </c>
      <c r="J203" s="623">
        <v>6</v>
      </c>
      <c r="K203" s="623"/>
      <c r="L203" s="623"/>
      <c r="M203" s="623"/>
      <c r="N203" s="625">
        <f t="shared" si="37"/>
        <v>58.5</v>
      </c>
    </row>
    <row r="204" spans="1:14" ht="13.5" thickBot="1">
      <c r="A204" s="239" t="s">
        <v>77</v>
      </c>
      <c r="B204" s="626">
        <f>SUM(B193:B203)</f>
        <v>2229.5</v>
      </c>
      <c r="C204" s="626">
        <f t="shared" ref="C204:N204" si="38">SUM(C193:C203)</f>
        <v>2293.25</v>
      </c>
      <c r="D204" s="626">
        <f t="shared" si="38"/>
        <v>2206.25</v>
      </c>
      <c r="E204" s="626">
        <f t="shared" si="38"/>
        <v>2321.75</v>
      </c>
      <c r="F204" s="626">
        <f t="shared" si="38"/>
        <v>2093.5</v>
      </c>
      <c r="G204" s="626">
        <f t="shared" si="38"/>
        <v>2331.75</v>
      </c>
      <c r="H204" s="626">
        <f t="shared" si="38"/>
        <v>2580.75</v>
      </c>
      <c r="I204" s="626">
        <f t="shared" si="38"/>
        <v>2515</v>
      </c>
      <c r="J204" s="626">
        <f t="shared" si="38"/>
        <v>2285.75</v>
      </c>
      <c r="K204" s="626">
        <f t="shared" si="38"/>
        <v>2073</v>
      </c>
      <c r="L204" s="626">
        <f t="shared" si="38"/>
        <v>2065.5</v>
      </c>
      <c r="M204" s="626">
        <f t="shared" si="38"/>
        <v>2205.5</v>
      </c>
      <c r="N204" s="626">
        <f t="shared" si="38"/>
        <v>27201.5</v>
      </c>
    </row>
    <row r="205" spans="1:14">
      <c r="A205" s="243"/>
      <c r="B205" s="261"/>
      <c r="C205" s="261"/>
      <c r="D205" s="261"/>
      <c r="E205" s="261"/>
      <c r="F205" s="261"/>
      <c r="G205" s="261"/>
      <c r="H205" s="261"/>
      <c r="I205" s="261"/>
      <c r="J205" s="261"/>
      <c r="K205" s="261"/>
      <c r="L205" s="261"/>
      <c r="M205" s="261"/>
      <c r="N205" s="261"/>
    </row>
    <row r="206" spans="1:14">
      <c r="A206" s="243"/>
      <c r="B206" s="261"/>
      <c r="C206" s="261"/>
      <c r="D206" s="261"/>
      <c r="E206" s="261"/>
      <c r="F206" s="261"/>
      <c r="G206" s="261"/>
      <c r="H206" s="261"/>
      <c r="I206" s="261"/>
      <c r="J206" s="261"/>
      <c r="K206" s="261"/>
      <c r="L206" s="261"/>
      <c r="M206" s="261"/>
      <c r="N206" s="629" t="s">
        <v>78</v>
      </c>
    </row>
    <row r="207" spans="1:14">
      <c r="A207" s="231" t="s">
        <v>79</v>
      </c>
      <c r="B207" s="620">
        <f t="shared" ref="B207:M207" si="39">SUM(B194*100/B204)</f>
        <v>0</v>
      </c>
      <c r="C207" s="620">
        <f t="shared" si="39"/>
        <v>0</v>
      </c>
      <c r="D207" s="620">
        <f t="shared" si="39"/>
        <v>0</v>
      </c>
      <c r="E207" s="620">
        <f t="shared" si="39"/>
        <v>0</v>
      </c>
      <c r="F207" s="620">
        <f t="shared" si="39"/>
        <v>0</v>
      </c>
      <c r="G207" s="620">
        <f t="shared" si="39"/>
        <v>0</v>
      </c>
      <c r="H207" s="620">
        <f t="shared" si="39"/>
        <v>0</v>
      </c>
      <c r="I207" s="620">
        <f t="shared" si="39"/>
        <v>0</v>
      </c>
      <c r="J207" s="620">
        <f t="shared" si="39"/>
        <v>0</v>
      </c>
      <c r="K207" s="620">
        <f t="shared" si="39"/>
        <v>0</v>
      </c>
      <c r="L207" s="620">
        <f t="shared" si="39"/>
        <v>0</v>
      </c>
      <c r="M207" s="620">
        <f t="shared" si="39"/>
        <v>0</v>
      </c>
      <c r="N207" s="630">
        <f>SUM(B207:M207)/12</f>
        <v>0</v>
      </c>
    </row>
    <row r="208" spans="1:14">
      <c r="A208" s="243"/>
      <c r="B208" s="261"/>
      <c r="C208" s="261"/>
      <c r="D208" s="261"/>
      <c r="E208" s="261"/>
      <c r="F208" s="261"/>
      <c r="G208" s="261"/>
      <c r="H208" s="261"/>
      <c r="I208" s="261"/>
      <c r="J208" s="261"/>
      <c r="K208" s="261"/>
      <c r="L208" s="261"/>
      <c r="M208" s="261"/>
      <c r="N208" s="261"/>
    </row>
    <row r="209" spans="1:14">
      <c r="A209" s="231" t="s">
        <v>80</v>
      </c>
      <c r="B209" s="620">
        <f t="shared" ref="B209:M209" si="40">SUM(B198*100/B204)</f>
        <v>5.5954249831800853</v>
      </c>
      <c r="C209" s="620">
        <f t="shared" si="40"/>
        <v>4.0117736836367603</v>
      </c>
      <c r="D209" s="620">
        <f t="shared" si="40"/>
        <v>8.0793201133144468</v>
      </c>
      <c r="E209" s="620">
        <f t="shared" si="40"/>
        <v>3.2410896952729624</v>
      </c>
      <c r="F209" s="620">
        <f t="shared" si="40"/>
        <v>1.3135896823501314</v>
      </c>
      <c r="G209" s="620">
        <f t="shared" si="40"/>
        <v>7.1298381044280044</v>
      </c>
      <c r="H209" s="620">
        <f t="shared" si="40"/>
        <v>3.7682844134457039</v>
      </c>
      <c r="I209" s="620">
        <f t="shared" si="40"/>
        <v>2.3856858846918487</v>
      </c>
      <c r="J209" s="620">
        <f t="shared" si="40"/>
        <v>4.6921141857158482</v>
      </c>
      <c r="K209" s="620">
        <f t="shared" si="40"/>
        <v>3.4370477568740956</v>
      </c>
      <c r="L209" s="620">
        <f t="shared" si="40"/>
        <v>4.0426046961994677</v>
      </c>
      <c r="M209" s="620">
        <f t="shared" si="40"/>
        <v>0.70278848333711175</v>
      </c>
      <c r="N209" s="630">
        <f>SUM(B209:M209)/12</f>
        <v>4.0332968068705384</v>
      </c>
    </row>
    <row r="210" spans="1:14" ht="13.5" thickBot="1">
      <c r="A210" s="247" t="s">
        <v>81</v>
      </c>
      <c r="B210" s="625">
        <f t="shared" ref="B210:M210" si="41">SUM(B199*100/B204)</f>
        <v>0.68400986768333705</v>
      </c>
      <c r="C210" s="625">
        <f t="shared" si="41"/>
        <v>0</v>
      </c>
      <c r="D210" s="625">
        <f t="shared" si="41"/>
        <v>0.35127478753541075</v>
      </c>
      <c r="E210" s="625">
        <f t="shared" si="41"/>
        <v>0</v>
      </c>
      <c r="F210" s="625">
        <f t="shared" si="41"/>
        <v>0</v>
      </c>
      <c r="G210" s="625">
        <f t="shared" si="41"/>
        <v>0</v>
      </c>
      <c r="H210" s="625">
        <f t="shared" si="41"/>
        <v>0</v>
      </c>
      <c r="I210" s="625">
        <f t="shared" si="41"/>
        <v>0</v>
      </c>
      <c r="J210" s="625">
        <f t="shared" si="41"/>
        <v>0</v>
      </c>
      <c r="K210" s="625">
        <f t="shared" si="41"/>
        <v>0</v>
      </c>
      <c r="L210" s="625">
        <f t="shared" si="41"/>
        <v>0</v>
      </c>
      <c r="M210" s="625">
        <f t="shared" si="41"/>
        <v>0</v>
      </c>
      <c r="N210" s="630">
        <f>SUM(B210:M210)/12</f>
        <v>8.6273721268228978E-2</v>
      </c>
    </row>
    <row r="211" spans="1:14" ht="13.5" thickBot="1">
      <c r="A211" s="249" t="s">
        <v>82</v>
      </c>
      <c r="B211" s="632">
        <f t="shared" ref="B211:M211" si="42">SUM(B209:B209)</f>
        <v>5.5954249831800853</v>
      </c>
      <c r="C211" s="632">
        <f t="shared" si="42"/>
        <v>4.0117736836367603</v>
      </c>
      <c r="D211" s="632">
        <f t="shared" si="42"/>
        <v>8.0793201133144468</v>
      </c>
      <c r="E211" s="632">
        <f t="shared" si="42"/>
        <v>3.2410896952729624</v>
      </c>
      <c r="F211" s="632">
        <f t="shared" si="42"/>
        <v>1.3135896823501314</v>
      </c>
      <c r="G211" s="632">
        <f t="shared" si="42"/>
        <v>7.1298381044280044</v>
      </c>
      <c r="H211" s="632">
        <f t="shared" si="42"/>
        <v>3.7682844134457039</v>
      </c>
      <c r="I211" s="632">
        <f t="shared" si="42"/>
        <v>2.3856858846918487</v>
      </c>
      <c r="J211" s="632">
        <f t="shared" si="42"/>
        <v>4.6921141857158482</v>
      </c>
      <c r="K211" s="632">
        <f t="shared" si="42"/>
        <v>3.4370477568740956</v>
      </c>
      <c r="L211" s="632">
        <f t="shared" si="42"/>
        <v>4.0426046961994677</v>
      </c>
      <c r="M211" s="632">
        <f t="shared" si="42"/>
        <v>0.70278848333711175</v>
      </c>
      <c r="N211" s="633">
        <f>SUM(N209:N210)</f>
        <v>4.1195705281387678</v>
      </c>
    </row>
    <row r="212" spans="1:14">
      <c r="A212" s="243" t="s">
        <v>83</v>
      </c>
      <c r="B212" s="261"/>
      <c r="C212" s="261"/>
      <c r="D212" s="634">
        <f>SUM(B211:D211)/3</f>
        <v>5.8955062600437644</v>
      </c>
      <c r="E212" s="261"/>
      <c r="F212" s="261"/>
      <c r="G212" s="634">
        <f>SUM(E211,F211,G211)/3</f>
        <v>3.8948391606836998</v>
      </c>
      <c r="H212" s="261"/>
      <c r="I212" s="261"/>
      <c r="J212" s="634">
        <f>SUM(H211,I211,J211)/3</f>
        <v>3.6153614946178005</v>
      </c>
      <c r="K212" s="261"/>
      <c r="L212" s="261"/>
      <c r="M212" s="634">
        <f>SUM(K211,L211,M211)/3</f>
        <v>2.7274803121368918</v>
      </c>
      <c r="N212" s="635">
        <f>SUM(D212:M212)/4</f>
        <v>4.0332968068705393</v>
      </c>
    </row>
    <row r="213" spans="1:14">
      <c r="A213" s="243" t="s">
        <v>84</v>
      </c>
      <c r="B213" s="261"/>
      <c r="C213" s="261"/>
      <c r="D213" s="262"/>
      <c r="E213" s="261"/>
      <c r="F213" s="261"/>
      <c r="G213" s="262"/>
      <c r="H213" s="261"/>
      <c r="I213" s="261"/>
      <c r="J213" s="262"/>
      <c r="K213" s="261"/>
      <c r="L213" s="261"/>
      <c r="M213" s="262"/>
      <c r="N213" s="630">
        <f>SUM(D213:G213,J213,M213)/4</f>
        <v>0</v>
      </c>
    </row>
    <row r="214" spans="1:14">
      <c r="A214" s="243"/>
      <c r="B214" s="261"/>
      <c r="C214" s="261"/>
      <c r="D214" s="261"/>
      <c r="E214" s="261"/>
      <c r="F214" s="261"/>
      <c r="G214" s="261"/>
      <c r="H214" s="261"/>
      <c r="I214" s="261"/>
      <c r="J214" s="261"/>
      <c r="K214" s="261"/>
      <c r="L214" s="261"/>
      <c r="M214" s="261"/>
      <c r="N214" s="261"/>
    </row>
    <row r="215" spans="1:14">
      <c r="A215" s="231" t="s">
        <v>85</v>
      </c>
      <c r="B215" s="620">
        <f t="shared" ref="B215:M215" si="43">B202*100/B204</f>
        <v>0.347611572101368</v>
      </c>
      <c r="C215" s="620">
        <f t="shared" si="43"/>
        <v>0</v>
      </c>
      <c r="D215" s="620">
        <f t="shared" si="43"/>
        <v>1.0198300283286119</v>
      </c>
      <c r="E215" s="620">
        <f t="shared" si="43"/>
        <v>0</v>
      </c>
      <c r="F215" s="620">
        <f t="shared" si="43"/>
        <v>0</v>
      </c>
      <c r="G215" s="620">
        <f t="shared" si="43"/>
        <v>0</v>
      </c>
      <c r="H215" s="620">
        <f t="shared" si="43"/>
        <v>0</v>
      </c>
      <c r="I215" s="620">
        <f t="shared" si="43"/>
        <v>0</v>
      </c>
      <c r="J215" s="620">
        <f t="shared" si="43"/>
        <v>0</v>
      </c>
      <c r="K215" s="620">
        <f t="shared" si="43"/>
        <v>0.3376748673420164</v>
      </c>
      <c r="L215" s="620">
        <f t="shared" si="43"/>
        <v>0</v>
      </c>
      <c r="M215" s="620">
        <f t="shared" si="43"/>
        <v>0</v>
      </c>
      <c r="N215" s="630">
        <f>SUM(B215:M215)/12</f>
        <v>0.1420930389809997</v>
      </c>
    </row>
    <row r="216" spans="1:14">
      <c r="A216" s="231" t="s">
        <v>86</v>
      </c>
      <c r="B216" s="620">
        <f t="shared" ref="B216:M216" si="44">B200*100/B204</f>
        <v>1.2334604171338865</v>
      </c>
      <c r="C216" s="620">
        <f t="shared" si="44"/>
        <v>0.30524364984192742</v>
      </c>
      <c r="D216" s="620">
        <f t="shared" si="44"/>
        <v>0.7025495750708215</v>
      </c>
      <c r="E216" s="620">
        <f t="shared" si="44"/>
        <v>0.6675998707871218</v>
      </c>
      <c r="F216" s="620">
        <f t="shared" si="44"/>
        <v>3.0451397181753044</v>
      </c>
      <c r="G216" s="620">
        <f t="shared" si="44"/>
        <v>0.58968585826096276</v>
      </c>
      <c r="H216" s="620">
        <f t="shared" si="44"/>
        <v>0</v>
      </c>
      <c r="I216" s="620">
        <f t="shared" si="44"/>
        <v>0.57654075546719685</v>
      </c>
      <c r="J216" s="620">
        <f t="shared" si="44"/>
        <v>0.85311167013015421</v>
      </c>
      <c r="K216" s="620">
        <f t="shared" si="44"/>
        <v>1.2783405692233478</v>
      </c>
      <c r="L216" s="620">
        <f t="shared" si="44"/>
        <v>0</v>
      </c>
      <c r="M216" s="620">
        <f t="shared" si="44"/>
        <v>2.1083654500113354</v>
      </c>
      <c r="N216" s="630">
        <f>SUM(B216:M216)/12</f>
        <v>0.94666979450850486</v>
      </c>
    </row>
    <row r="217" spans="1:14" ht="13.5" thickBot="1">
      <c r="A217" s="231" t="s">
        <v>87</v>
      </c>
      <c r="B217" s="620">
        <f t="shared" ref="B217:M217" si="45">B196*100/B204</f>
        <v>5.5729984301412872</v>
      </c>
      <c r="C217" s="620">
        <f t="shared" si="45"/>
        <v>10.530905919546495</v>
      </c>
      <c r="D217" s="620">
        <f t="shared" si="45"/>
        <v>2.3002832861189804</v>
      </c>
      <c r="E217" s="620">
        <f t="shared" si="45"/>
        <v>10.983094648433294</v>
      </c>
      <c r="F217" s="620">
        <f t="shared" si="45"/>
        <v>0.5732027704800573</v>
      </c>
      <c r="G217" s="620">
        <f t="shared" si="45"/>
        <v>9.4349737321754041</v>
      </c>
      <c r="H217" s="620">
        <f t="shared" si="45"/>
        <v>21.679744260389423</v>
      </c>
      <c r="I217" s="620">
        <f t="shared" si="45"/>
        <v>19.920477137176938</v>
      </c>
      <c r="J217" s="620">
        <f t="shared" si="45"/>
        <v>10.018593459477195</v>
      </c>
      <c r="K217" s="620">
        <f t="shared" si="45"/>
        <v>2.1345875542691752</v>
      </c>
      <c r="L217" s="620">
        <f t="shared" si="45"/>
        <v>2.8080367949648997</v>
      </c>
      <c r="M217" s="620">
        <f t="shared" si="45"/>
        <v>8.2407617320335529</v>
      </c>
      <c r="N217" s="631">
        <f>SUM(B217:M217)/12</f>
        <v>8.6831383104338915</v>
      </c>
    </row>
    <row r="218" spans="1:14" ht="13.5" thickBot="1">
      <c r="A218" s="255" t="s">
        <v>88</v>
      </c>
      <c r="B218" s="636">
        <f t="shared" ref="B218:M218" si="46">SUM(B193-B204)*100/B204</f>
        <v>-13.70262390670554</v>
      </c>
      <c r="C218" s="636">
        <f t="shared" si="46"/>
        <v>-16.101602529161671</v>
      </c>
      <c r="D218" s="636">
        <f t="shared" si="46"/>
        <v>-12.793201133144477</v>
      </c>
      <c r="E218" s="636">
        <f t="shared" si="46"/>
        <v>-17.131474103585656</v>
      </c>
      <c r="F218" s="636">
        <f t="shared" si="46"/>
        <v>-8.0964891330308095</v>
      </c>
      <c r="G218" s="636">
        <f t="shared" si="46"/>
        <v>-17.486866087702371</v>
      </c>
      <c r="H218" s="636">
        <f t="shared" si="46"/>
        <v>-25.448028673835125</v>
      </c>
      <c r="I218" s="636">
        <f t="shared" si="46"/>
        <v>-23.49900596421471</v>
      </c>
      <c r="J218" s="636">
        <f t="shared" si="46"/>
        <v>-15.826315213824785</v>
      </c>
      <c r="K218" s="636">
        <f t="shared" si="46"/>
        <v>-7.1876507477086351</v>
      </c>
      <c r="L218" s="636">
        <f t="shared" si="46"/>
        <v>-6.8506414911643674</v>
      </c>
      <c r="M218" s="638">
        <f t="shared" si="46"/>
        <v>-12.763545681251417</v>
      </c>
      <c r="N218" s="639">
        <f>SUM(B218:M218)/12</f>
        <v>-14.740620388777465</v>
      </c>
    </row>
    <row r="219" spans="1:14">
      <c r="A219" s="243"/>
      <c r="B219" s="244"/>
      <c r="C219" s="244"/>
      <c r="D219" s="244"/>
      <c r="E219" s="244"/>
      <c r="F219" s="244"/>
      <c r="G219" s="244"/>
      <c r="H219" s="244"/>
      <c r="I219" s="244"/>
      <c r="J219" s="244"/>
      <c r="K219" s="244"/>
      <c r="L219" s="244"/>
      <c r="M219" s="244"/>
      <c r="N219" s="227"/>
    </row>
    <row r="220" spans="1:14">
      <c r="A220" s="258" t="s">
        <v>89</v>
      </c>
      <c r="B220" s="244"/>
      <c r="C220" s="244"/>
      <c r="D220" s="244"/>
      <c r="E220" s="244"/>
      <c r="F220" s="244"/>
      <c r="G220" s="244"/>
      <c r="H220" s="244"/>
      <c r="I220" s="244"/>
      <c r="J220" s="244"/>
      <c r="K220" s="244"/>
      <c r="L220" s="244"/>
      <c r="M220" s="244"/>
      <c r="N220" s="227"/>
    </row>
    <row r="221" spans="1:14">
      <c r="A221" s="231" t="s">
        <v>90</v>
      </c>
      <c r="B221" s="259">
        <v>12</v>
      </c>
      <c r="C221" s="259">
        <v>12</v>
      </c>
      <c r="D221" s="259">
        <v>12</v>
      </c>
      <c r="E221" s="259">
        <v>12</v>
      </c>
      <c r="F221" s="259">
        <f t="shared" ref="F221:N221" si="47">E224</f>
        <v>12</v>
      </c>
      <c r="G221" s="259">
        <f t="shared" si="47"/>
        <v>12</v>
      </c>
      <c r="H221" s="259">
        <f t="shared" si="47"/>
        <v>12</v>
      </c>
      <c r="I221" s="259">
        <f t="shared" si="47"/>
        <v>12</v>
      </c>
      <c r="J221" s="259">
        <f t="shared" si="47"/>
        <v>12</v>
      </c>
      <c r="K221" s="259">
        <f t="shared" si="47"/>
        <v>12</v>
      </c>
      <c r="L221" s="259">
        <f t="shared" si="47"/>
        <v>12</v>
      </c>
      <c r="M221" s="259">
        <f t="shared" si="47"/>
        <v>12</v>
      </c>
      <c r="N221" s="259">
        <f t="shared" si="47"/>
        <v>12</v>
      </c>
    </row>
    <row r="222" spans="1:14">
      <c r="A222" s="231" t="s">
        <v>91</v>
      </c>
      <c r="B222" s="259"/>
      <c r="C222" s="259"/>
      <c r="D222" s="259"/>
      <c r="E222" s="259"/>
      <c r="F222" s="259"/>
      <c r="G222" s="259"/>
      <c r="H222" s="259"/>
      <c r="I222" s="259"/>
      <c r="J222" s="259"/>
      <c r="K222" s="259"/>
      <c r="L222" s="259"/>
      <c r="M222" s="259"/>
      <c r="N222" s="259">
        <f>SUM(B222:M222)/12</f>
        <v>0</v>
      </c>
    </row>
    <row r="223" spans="1:14">
      <c r="A223" s="231" t="s">
        <v>92</v>
      </c>
      <c r="B223" s="259"/>
      <c r="C223" s="259"/>
      <c r="D223" s="259"/>
      <c r="E223" s="259"/>
      <c r="F223" s="259"/>
      <c r="G223" s="259"/>
      <c r="H223" s="259"/>
      <c r="I223" s="259"/>
      <c r="J223" s="259"/>
      <c r="K223" s="259"/>
      <c r="L223" s="259"/>
      <c r="M223" s="259"/>
      <c r="N223" s="259">
        <f>SUM(B222:M222)/12</f>
        <v>0</v>
      </c>
    </row>
    <row r="224" spans="1:14">
      <c r="A224" s="231" t="s">
        <v>89</v>
      </c>
      <c r="B224" s="259">
        <f t="shared" ref="B224:M224" si="48">SUM(B221+B222-B223)</f>
        <v>12</v>
      </c>
      <c r="C224" s="259">
        <f t="shared" si="48"/>
        <v>12</v>
      </c>
      <c r="D224" s="259">
        <f t="shared" si="48"/>
        <v>12</v>
      </c>
      <c r="E224" s="259">
        <f t="shared" si="48"/>
        <v>12</v>
      </c>
      <c r="F224" s="259">
        <f t="shared" si="48"/>
        <v>12</v>
      </c>
      <c r="G224" s="259">
        <f t="shared" si="48"/>
        <v>12</v>
      </c>
      <c r="H224" s="259">
        <f t="shared" si="48"/>
        <v>12</v>
      </c>
      <c r="I224" s="259">
        <f t="shared" si="48"/>
        <v>12</v>
      </c>
      <c r="J224" s="259">
        <f t="shared" si="48"/>
        <v>12</v>
      </c>
      <c r="K224" s="259">
        <f t="shared" si="48"/>
        <v>12</v>
      </c>
      <c r="L224" s="259">
        <f t="shared" si="48"/>
        <v>12</v>
      </c>
      <c r="M224" s="259">
        <f t="shared" si="48"/>
        <v>12</v>
      </c>
      <c r="N224" s="259">
        <f>SUM(B223:M223)/12</f>
        <v>0</v>
      </c>
    </row>
    <row r="225" spans="1:14">
      <c r="A225" s="231" t="s">
        <v>93</v>
      </c>
      <c r="B225" s="260">
        <f t="shared" ref="B225:M225" si="49">SUM(B224*100)/B221-100</f>
        <v>0</v>
      </c>
      <c r="C225" s="260">
        <f t="shared" si="49"/>
        <v>0</v>
      </c>
      <c r="D225" s="260">
        <f t="shared" si="49"/>
        <v>0</v>
      </c>
      <c r="E225" s="260">
        <f t="shared" si="49"/>
        <v>0</v>
      </c>
      <c r="F225" s="260">
        <f t="shared" si="49"/>
        <v>0</v>
      </c>
      <c r="G225" s="260">
        <f t="shared" si="49"/>
        <v>0</v>
      </c>
      <c r="H225" s="260">
        <f t="shared" si="49"/>
        <v>0</v>
      </c>
      <c r="I225" s="260">
        <f t="shared" si="49"/>
        <v>0</v>
      </c>
      <c r="J225" s="260">
        <f t="shared" si="49"/>
        <v>0</v>
      </c>
      <c r="K225" s="260">
        <f t="shared" si="49"/>
        <v>0</v>
      </c>
      <c r="L225" s="260">
        <f t="shared" si="49"/>
        <v>0</v>
      </c>
      <c r="M225" s="260">
        <f t="shared" si="49"/>
        <v>0</v>
      </c>
      <c r="N225" s="259"/>
    </row>
    <row r="226" spans="1:14">
      <c r="A226" s="243" t="s">
        <v>94</v>
      </c>
      <c r="B226" s="261"/>
      <c r="C226" s="261"/>
      <c r="D226" s="262">
        <f>SUM(B225:D225/3)</f>
        <v>0</v>
      </c>
      <c r="E226" s="261"/>
      <c r="F226" s="261"/>
      <c r="G226" s="262">
        <f>SUM(E225:G225)/3</f>
        <v>0</v>
      </c>
      <c r="H226" s="261"/>
      <c r="I226" s="261"/>
      <c r="J226" s="262">
        <f>SUM(H225:J225)/3</f>
        <v>0</v>
      </c>
      <c r="K226" s="261"/>
      <c r="L226" s="261"/>
      <c r="M226" s="262">
        <f>SUM(K225:M225)/3</f>
        <v>0</v>
      </c>
      <c r="N226" s="261"/>
    </row>
    <row r="227" spans="1:14" ht="13.5" thickBot="1">
      <c r="A227" s="372"/>
      <c r="B227" s="373"/>
      <c r="C227" s="373"/>
      <c r="D227" s="373"/>
      <c r="E227" s="373"/>
      <c r="F227" s="373"/>
      <c r="G227" s="373"/>
      <c r="H227" s="373"/>
      <c r="I227" s="373"/>
      <c r="J227" s="373"/>
      <c r="K227" s="373"/>
      <c r="L227" s="373"/>
      <c r="M227" s="373"/>
      <c r="N227" s="374"/>
    </row>
    <row r="228" spans="1:14" ht="15.75">
      <c r="A228" s="375" t="s">
        <v>267</v>
      </c>
      <c r="B228" s="375"/>
      <c r="C228" s="375"/>
      <c r="D228" s="375"/>
      <c r="E228" s="375"/>
      <c r="F228" s="375"/>
      <c r="G228" s="375"/>
      <c r="H228" s="375"/>
      <c r="I228" s="375"/>
      <c r="J228" s="375"/>
      <c r="K228" s="375"/>
      <c r="L228" s="375"/>
      <c r="M228" s="375"/>
      <c r="N228" s="375"/>
    </row>
    <row r="229" spans="1:14" ht="15.75">
      <c r="E229" s="282"/>
      <c r="M229" s="244"/>
      <c r="N229" s="227"/>
    </row>
    <row r="230" spans="1:14">
      <c r="A230" s="376" t="s">
        <v>185</v>
      </c>
      <c r="B230" s="377"/>
      <c r="C230" s="378"/>
      <c r="D230" s="292" t="s">
        <v>186</v>
      </c>
      <c r="I230" s="283" t="s">
        <v>160</v>
      </c>
      <c r="J230" s="377"/>
      <c r="K230" s="377"/>
      <c r="L230" s="377"/>
      <c r="M230" s="287"/>
      <c r="N230" s="509"/>
    </row>
    <row r="231" spans="1:14">
      <c r="A231" s="379" t="s">
        <v>268</v>
      </c>
      <c r="B231" s="380"/>
      <c r="C231" s="381"/>
      <c r="D231" s="290">
        <v>287594</v>
      </c>
      <c r="E231" s="291"/>
      <c r="I231" s="455"/>
      <c r="J231" s="455" t="s">
        <v>161</v>
      </c>
      <c r="K231" s="510"/>
      <c r="L231" s="270" t="s">
        <v>162</v>
      </c>
      <c r="M231" s="510" t="s">
        <v>163</v>
      </c>
      <c r="N231" s="387"/>
    </row>
    <row r="232" spans="1:14">
      <c r="A232" s="379" t="s">
        <v>269</v>
      </c>
      <c r="B232" s="380"/>
      <c r="C232" s="289"/>
      <c r="D232" s="290">
        <v>357007</v>
      </c>
      <c r="E232" s="291"/>
      <c r="I232" s="286" t="s">
        <v>270</v>
      </c>
      <c r="J232" s="303"/>
      <c r="K232" s="289"/>
      <c r="L232" s="292"/>
      <c r="M232" s="511">
        <v>430557</v>
      </c>
      <c r="N232" s="509"/>
    </row>
    <row r="233" spans="1:14">
      <c r="A233" s="379" t="s">
        <v>189</v>
      </c>
      <c r="B233" s="380"/>
      <c r="C233" s="289"/>
      <c r="D233" s="290">
        <v>338659</v>
      </c>
      <c r="E233" s="291"/>
      <c r="I233" s="286"/>
      <c r="J233" s="303"/>
      <c r="K233" s="289"/>
      <c r="L233" s="292"/>
      <c r="M233" s="512"/>
      <c r="N233" s="509"/>
    </row>
    <row r="234" spans="1:14" ht="13.5" thickBot="1">
      <c r="A234" s="379" t="s">
        <v>191</v>
      </c>
      <c r="B234" s="284"/>
      <c r="C234" s="289" t="s">
        <v>271</v>
      </c>
      <c r="D234" s="290">
        <v>0</v>
      </c>
      <c r="E234" s="291"/>
      <c r="I234" s="309" t="s">
        <v>165</v>
      </c>
      <c r="J234" s="528" t="s">
        <v>272</v>
      </c>
      <c r="K234" s="314"/>
      <c r="L234" s="312"/>
      <c r="M234" s="513">
        <f>'[12]Øvrige Kontrakter 2014'!$K$44</f>
        <v>2820007</v>
      </c>
      <c r="N234" s="514"/>
    </row>
    <row r="235" spans="1:14" ht="13.5" thickBot="1">
      <c r="A235" s="379" t="s">
        <v>273</v>
      </c>
      <c r="B235" s="284"/>
      <c r="C235" s="289"/>
      <c r="D235" s="290">
        <v>424307</v>
      </c>
      <c r="E235" s="291"/>
      <c r="I235" s="382" t="s">
        <v>167</v>
      </c>
      <c r="J235" s="383"/>
      <c r="K235" s="384"/>
      <c r="L235" s="385"/>
      <c r="M235" s="515">
        <f>SUM(M232:M234)</f>
        <v>3250564</v>
      </c>
      <c r="N235" s="509"/>
    </row>
    <row r="236" spans="1:14">
      <c r="A236" s="379" t="s">
        <v>193</v>
      </c>
      <c r="B236" s="284"/>
      <c r="C236" s="289"/>
      <c r="D236" s="290">
        <v>382865</v>
      </c>
      <c r="E236" s="291"/>
      <c r="I236" s="286" t="s">
        <v>168</v>
      </c>
      <c r="J236" s="284"/>
      <c r="K236" s="284"/>
      <c r="L236" s="386"/>
      <c r="M236" s="516">
        <f>M235/12</f>
        <v>270880.33333333331</v>
      </c>
      <c r="N236" s="509"/>
    </row>
    <row r="237" spans="1:14">
      <c r="A237" s="283" t="s">
        <v>194</v>
      </c>
      <c r="B237" s="284"/>
      <c r="C237" s="289"/>
      <c r="D237" s="290">
        <v>261450</v>
      </c>
      <c r="E237" s="291"/>
      <c r="G237" s="244"/>
      <c r="H237" s="244"/>
      <c r="I237" s="244"/>
      <c r="J237" s="244"/>
      <c r="K237" s="244"/>
      <c r="L237" s="320"/>
      <c r="M237" s="244"/>
      <c r="N237" s="227"/>
    </row>
    <row r="238" spans="1:14">
      <c r="A238" s="527" t="s">
        <v>195</v>
      </c>
      <c r="B238" s="286"/>
      <c r="C238" s="289"/>
      <c r="D238" s="290">
        <v>54780</v>
      </c>
      <c r="E238" s="291"/>
      <c r="G238" s="244"/>
      <c r="H238" s="244"/>
      <c r="I238" s="244"/>
      <c r="J238" s="244"/>
      <c r="K238" s="244"/>
      <c r="L238" s="320"/>
      <c r="M238" s="244"/>
      <c r="N238" s="227"/>
    </row>
    <row r="239" spans="1:14" ht="13.5" thickBot="1">
      <c r="A239" s="526" t="s">
        <v>196</v>
      </c>
      <c r="C239" s="388"/>
      <c r="D239" s="290">
        <v>26500</v>
      </c>
      <c r="E239" s="291"/>
      <c r="G239" s="244"/>
      <c r="H239" s="244"/>
      <c r="I239" s="244"/>
      <c r="J239" s="244"/>
      <c r="K239" s="244"/>
      <c r="L239" s="320"/>
      <c r="M239" s="244"/>
      <c r="N239" s="227"/>
    </row>
    <row r="240" spans="1:14" ht="13.5" thickBot="1">
      <c r="A240" s="294" t="s">
        <v>167</v>
      </c>
      <c r="B240" s="296"/>
      <c r="C240" s="389"/>
      <c r="D240" s="488">
        <f>SUM(D231:D239)</f>
        <v>2133162</v>
      </c>
      <c r="E240" s="291"/>
      <c r="G240" s="244"/>
      <c r="H240" s="244"/>
      <c r="I240" s="244"/>
      <c r="J240" s="244"/>
      <c r="K240" s="244"/>
      <c r="L240" s="517"/>
      <c r="M240" s="244"/>
      <c r="N240" s="227"/>
    </row>
    <row r="241" spans="1:14">
      <c r="A241" s="390" t="s">
        <v>168</v>
      </c>
      <c r="B241" s="391"/>
      <c r="C241" s="392"/>
      <c r="D241" s="393">
        <f>D240/12</f>
        <v>177763.5</v>
      </c>
      <c r="E241" s="291"/>
      <c r="G241" s="244"/>
      <c r="H241" s="244"/>
      <c r="I241" s="244"/>
      <c r="J241" s="244"/>
      <c r="K241" s="244"/>
      <c r="L241" s="517"/>
      <c r="M241" s="244"/>
      <c r="N241" s="227"/>
    </row>
    <row r="242" spans="1:14">
      <c r="C242" s="394"/>
      <c r="E242" s="291"/>
      <c r="G242" s="244"/>
      <c r="H242" s="244"/>
      <c r="I242" s="244"/>
      <c r="J242" s="244"/>
      <c r="K242" s="244"/>
      <c r="L242" s="517"/>
      <c r="M242" s="244"/>
      <c r="N242" s="227"/>
    </row>
    <row r="243" spans="1:14">
      <c r="C243" s="394"/>
      <c r="E243" s="291"/>
      <c r="G243" s="244"/>
      <c r="H243" s="244"/>
      <c r="I243" s="244"/>
      <c r="J243" s="244"/>
      <c r="K243" s="244"/>
      <c r="L243" s="517"/>
      <c r="M243" s="244"/>
      <c r="N243" s="227"/>
    </row>
    <row r="244" spans="1:14">
      <c r="C244" s="394"/>
      <c r="E244" s="291"/>
      <c r="G244" s="244"/>
      <c r="H244" s="244"/>
      <c r="I244" s="244"/>
      <c r="J244" s="244"/>
      <c r="K244" s="244"/>
      <c r="L244" s="517"/>
      <c r="M244" s="244"/>
      <c r="N244" s="227"/>
    </row>
    <row r="245" spans="1:14">
      <c r="C245" s="394"/>
      <c r="E245" s="291"/>
      <c r="G245" s="244"/>
      <c r="H245" s="244"/>
      <c r="I245" s="244"/>
      <c r="J245" s="244"/>
      <c r="K245" s="244"/>
      <c r="L245" s="517"/>
      <c r="M245" s="244"/>
      <c r="N245" s="227"/>
    </row>
    <row r="246" spans="1:14">
      <c r="A246" s="258" t="s">
        <v>113</v>
      </c>
      <c r="B246" s="244"/>
      <c r="C246" s="244"/>
      <c r="D246" s="244"/>
      <c r="E246" s="244"/>
      <c r="F246" s="244"/>
      <c r="G246" s="244"/>
      <c r="H246" s="244"/>
      <c r="I246" s="244"/>
      <c r="J246" s="244"/>
      <c r="K246" s="244"/>
      <c r="L246" s="244"/>
      <c r="M246" s="244"/>
      <c r="N246" s="227"/>
    </row>
    <row r="247" spans="1:14">
      <c r="A247" s="328"/>
      <c r="B247" s="232" t="s">
        <v>44</v>
      </c>
      <c r="C247" s="232" t="s">
        <v>45</v>
      </c>
      <c r="D247" s="232" t="s">
        <v>46</v>
      </c>
      <c r="E247" s="232" t="s">
        <v>47</v>
      </c>
      <c r="F247" s="232" t="s">
        <v>48</v>
      </c>
      <c r="G247" s="232" t="s">
        <v>49</v>
      </c>
      <c r="H247" s="232" t="s">
        <v>38</v>
      </c>
      <c r="I247" s="232" t="s">
        <v>39</v>
      </c>
      <c r="J247" s="232" t="s">
        <v>40</v>
      </c>
      <c r="K247" s="232" t="s">
        <v>41</v>
      </c>
      <c r="L247" s="232" t="s">
        <v>42</v>
      </c>
      <c r="M247" s="232" t="s">
        <v>43</v>
      </c>
      <c r="N247" s="228"/>
    </row>
    <row r="248" spans="1:14">
      <c r="A248" s="231" t="s">
        <v>115</v>
      </c>
      <c r="B248" s="329">
        <f t="shared" ref="B248:M248" si="50">$D$241</f>
        <v>177763.5</v>
      </c>
      <c r="C248" s="329">
        <f t="shared" si="50"/>
        <v>177763.5</v>
      </c>
      <c r="D248" s="329">
        <f t="shared" si="50"/>
        <v>177763.5</v>
      </c>
      <c r="E248" s="329">
        <f t="shared" si="50"/>
        <v>177763.5</v>
      </c>
      <c r="F248" s="329">
        <f t="shared" si="50"/>
        <v>177763.5</v>
      </c>
      <c r="G248" s="329">
        <f t="shared" si="50"/>
        <v>177763.5</v>
      </c>
      <c r="H248" s="329">
        <f t="shared" si="50"/>
        <v>177763.5</v>
      </c>
      <c r="I248" s="329">
        <f t="shared" si="50"/>
        <v>177763.5</v>
      </c>
      <c r="J248" s="329">
        <f t="shared" si="50"/>
        <v>177763.5</v>
      </c>
      <c r="K248" s="329">
        <f t="shared" si="50"/>
        <v>177763.5</v>
      </c>
      <c r="L248" s="329">
        <f t="shared" si="50"/>
        <v>177763.5</v>
      </c>
      <c r="M248" s="329">
        <f t="shared" si="50"/>
        <v>177763.5</v>
      </c>
      <c r="N248" s="332">
        <f t="shared" ref="N248:N271" si="51">SUM(B248:M248)</f>
        <v>2133162</v>
      </c>
    </row>
    <row r="249" spans="1:14" ht="13.5" thickBot="1">
      <c r="A249" s="247" t="s">
        <v>116</v>
      </c>
      <c r="B249" s="331">
        <f t="shared" ref="B249:M249" si="52">$M$236</f>
        <v>270880.33333333331</v>
      </c>
      <c r="C249" s="331">
        <f t="shared" si="52"/>
        <v>270880.33333333331</v>
      </c>
      <c r="D249" s="331">
        <f t="shared" si="52"/>
        <v>270880.33333333331</v>
      </c>
      <c r="E249" s="331">
        <f t="shared" si="52"/>
        <v>270880.33333333331</v>
      </c>
      <c r="F249" s="331">
        <f t="shared" si="52"/>
        <v>270880.33333333331</v>
      </c>
      <c r="G249" s="331">
        <f t="shared" si="52"/>
        <v>270880.33333333331</v>
      </c>
      <c r="H249" s="331">
        <f t="shared" si="52"/>
        <v>270880.33333333331</v>
      </c>
      <c r="I249" s="331">
        <f t="shared" si="52"/>
        <v>270880.33333333331</v>
      </c>
      <c r="J249" s="331">
        <f t="shared" si="52"/>
        <v>270880.33333333331</v>
      </c>
      <c r="K249" s="331">
        <f t="shared" si="52"/>
        <v>270880.33333333331</v>
      </c>
      <c r="L249" s="331">
        <f t="shared" si="52"/>
        <v>270880.33333333331</v>
      </c>
      <c r="M249" s="331">
        <f t="shared" si="52"/>
        <v>270880.33333333331</v>
      </c>
      <c r="N249" s="332">
        <f t="shared" si="51"/>
        <v>3250564.0000000005</v>
      </c>
    </row>
    <row r="250" spans="1:14" ht="13.5" thickBot="1">
      <c r="A250" s="333" t="s">
        <v>169</v>
      </c>
      <c r="B250" s="395">
        <f t="shared" ref="B250:M250" si="53">SUM(B248,B249)</f>
        <v>448643.83333333331</v>
      </c>
      <c r="C250" s="395">
        <f t="shared" si="53"/>
        <v>448643.83333333331</v>
      </c>
      <c r="D250" s="395">
        <f t="shared" si="53"/>
        <v>448643.83333333331</v>
      </c>
      <c r="E250" s="395">
        <f t="shared" si="53"/>
        <v>448643.83333333331</v>
      </c>
      <c r="F250" s="395">
        <f t="shared" si="53"/>
        <v>448643.83333333331</v>
      </c>
      <c r="G250" s="395">
        <f t="shared" si="53"/>
        <v>448643.83333333331</v>
      </c>
      <c r="H250" s="395">
        <f t="shared" si="53"/>
        <v>448643.83333333331</v>
      </c>
      <c r="I250" s="395">
        <f t="shared" si="53"/>
        <v>448643.83333333331</v>
      </c>
      <c r="J250" s="395">
        <f t="shared" si="53"/>
        <v>448643.83333333331</v>
      </c>
      <c r="K250" s="395">
        <f t="shared" si="53"/>
        <v>448643.83333333331</v>
      </c>
      <c r="L250" s="395">
        <f t="shared" si="53"/>
        <v>448643.83333333331</v>
      </c>
      <c r="M250" s="395">
        <f t="shared" si="53"/>
        <v>448643.83333333331</v>
      </c>
      <c r="N250" s="395">
        <f t="shared" si="51"/>
        <v>5383726</v>
      </c>
    </row>
    <row r="251" spans="1:14">
      <c r="A251" s="336" t="s">
        <v>170</v>
      </c>
      <c r="B251" s="337">
        <v>306282</v>
      </c>
      <c r="C251" s="337">
        <v>196120</v>
      </c>
      <c r="D251" s="337">
        <v>245205</v>
      </c>
      <c r="E251" s="337">
        <v>253217</v>
      </c>
      <c r="F251" s="337">
        <v>287416</v>
      </c>
      <c r="G251" s="338">
        <v>252102</v>
      </c>
      <c r="H251" s="337">
        <v>265939</v>
      </c>
      <c r="I251" s="337">
        <v>216285</v>
      </c>
      <c r="J251" s="337">
        <v>266432</v>
      </c>
      <c r="K251" s="337">
        <v>230314</v>
      </c>
      <c r="L251" s="337">
        <v>214111</v>
      </c>
      <c r="M251" s="337"/>
      <c r="N251" s="337">
        <f t="shared" si="51"/>
        <v>2733423</v>
      </c>
    </row>
    <row r="252" spans="1:14">
      <c r="A252" s="336" t="s">
        <v>274</v>
      </c>
      <c r="B252" s="337">
        <v>1550</v>
      </c>
      <c r="C252" s="337">
        <v>1175</v>
      </c>
      <c r="D252" s="337">
        <v>1325</v>
      </c>
      <c r="E252" s="337">
        <v>1850</v>
      </c>
      <c r="F252" s="337">
        <v>1500</v>
      </c>
      <c r="G252" s="338">
        <v>1825</v>
      </c>
      <c r="H252" s="337">
        <v>1000</v>
      </c>
      <c r="I252" s="337">
        <v>1375</v>
      </c>
      <c r="J252" s="337">
        <v>1850</v>
      </c>
      <c r="K252" s="337">
        <v>1300</v>
      </c>
      <c r="L252" s="337">
        <v>1150</v>
      </c>
      <c r="M252" s="337">
        <v>2675</v>
      </c>
      <c r="N252" s="337">
        <f t="shared" si="51"/>
        <v>18575</v>
      </c>
    </row>
    <row r="253" spans="1:14">
      <c r="A253" s="336" t="s">
        <v>198</v>
      </c>
      <c r="B253" s="337">
        <v>618969</v>
      </c>
      <c r="C253" s="337"/>
      <c r="D253" s="337"/>
      <c r="E253" s="337"/>
      <c r="F253" s="337"/>
      <c r="G253" s="338"/>
      <c r="H253" s="337"/>
      <c r="I253" s="337"/>
      <c r="J253" s="337"/>
      <c r="K253" s="337"/>
      <c r="L253" s="337"/>
      <c r="M253" s="337"/>
      <c r="N253" s="337"/>
    </row>
    <row r="254" spans="1:14">
      <c r="A254" s="228" t="s">
        <v>275</v>
      </c>
      <c r="B254" s="330">
        <v>1300</v>
      </c>
      <c r="C254" s="330">
        <v>500</v>
      </c>
      <c r="D254" s="330">
        <v>125</v>
      </c>
      <c r="E254" s="330">
        <v>750</v>
      </c>
      <c r="F254" s="330">
        <v>1015</v>
      </c>
      <c r="G254" s="339">
        <v>2324</v>
      </c>
      <c r="H254" s="330">
        <v>625</v>
      </c>
      <c r="I254" s="330">
        <v>1375</v>
      </c>
      <c r="J254" s="330">
        <v>3750</v>
      </c>
      <c r="K254" s="330">
        <v>4825</v>
      </c>
      <c r="L254" s="330">
        <v>30375</v>
      </c>
      <c r="M254" s="330">
        <v>2625</v>
      </c>
      <c r="N254" s="337">
        <f t="shared" si="51"/>
        <v>49589</v>
      </c>
    </row>
    <row r="255" spans="1:14">
      <c r="A255" s="349" t="s">
        <v>211</v>
      </c>
      <c r="B255" s="330">
        <v>39750</v>
      </c>
      <c r="C255" s="330"/>
      <c r="D255" s="330">
        <v>6150</v>
      </c>
      <c r="E255" s="330">
        <v>2550</v>
      </c>
      <c r="F255" s="330">
        <v>24600</v>
      </c>
      <c r="G255" s="339">
        <v>14550</v>
      </c>
      <c r="H255" s="330"/>
      <c r="I255" s="330">
        <v>20100</v>
      </c>
      <c r="J255" s="330">
        <v>17250</v>
      </c>
      <c r="K255" s="330">
        <v>33175</v>
      </c>
      <c r="L255" s="330">
        <v>6900</v>
      </c>
      <c r="M255" s="330">
        <v>3750</v>
      </c>
      <c r="N255" s="337">
        <f t="shared" si="51"/>
        <v>168775</v>
      </c>
    </row>
    <row r="256" spans="1:14" ht="13.5" thickBot="1">
      <c r="A256" s="228" t="s">
        <v>276</v>
      </c>
      <c r="B256" s="344">
        <v>1346800</v>
      </c>
      <c r="C256" s="344"/>
      <c r="D256" s="344"/>
      <c r="E256" s="344"/>
      <c r="F256" s="344"/>
      <c r="G256" s="518"/>
      <c r="H256" s="344">
        <v>150000</v>
      </c>
      <c r="I256" s="344"/>
      <c r="J256" s="330"/>
      <c r="K256" s="344"/>
      <c r="L256" s="344"/>
      <c r="M256" s="344"/>
      <c r="N256" s="337">
        <f t="shared" si="51"/>
        <v>1496800</v>
      </c>
    </row>
    <row r="257" spans="1:14" ht="13.5" thickBot="1">
      <c r="A257" s="341" t="s">
        <v>129</v>
      </c>
      <c r="B257" s="361">
        <f t="shared" ref="B257:M257" si="54">SUM(B251:B256)</f>
        <v>2314651</v>
      </c>
      <c r="C257" s="361">
        <f t="shared" si="54"/>
        <v>197795</v>
      </c>
      <c r="D257" s="361">
        <f t="shared" si="54"/>
        <v>252805</v>
      </c>
      <c r="E257" s="361">
        <f t="shared" si="54"/>
        <v>258367</v>
      </c>
      <c r="F257" s="361">
        <f t="shared" si="54"/>
        <v>314531</v>
      </c>
      <c r="G257" s="361">
        <f t="shared" si="54"/>
        <v>270801</v>
      </c>
      <c r="H257" s="361">
        <f t="shared" si="54"/>
        <v>417564</v>
      </c>
      <c r="I257" s="361">
        <f t="shared" si="54"/>
        <v>239135</v>
      </c>
      <c r="J257" s="361">
        <f t="shared" si="54"/>
        <v>289282</v>
      </c>
      <c r="K257" s="361">
        <f t="shared" si="54"/>
        <v>269614</v>
      </c>
      <c r="L257" s="361">
        <f t="shared" si="54"/>
        <v>252536</v>
      </c>
      <c r="M257" s="361">
        <f t="shared" si="54"/>
        <v>9050</v>
      </c>
      <c r="N257" s="530">
        <f t="shared" si="51"/>
        <v>5086131</v>
      </c>
    </row>
    <row r="258" spans="1:14">
      <c r="A258" s="228" t="s">
        <v>127</v>
      </c>
      <c r="B258" s="332"/>
      <c r="C258" s="332"/>
      <c r="D258" s="332"/>
      <c r="E258" s="332"/>
      <c r="F258" s="332"/>
      <c r="G258" s="398"/>
      <c r="H258" s="332"/>
      <c r="I258" s="332"/>
      <c r="J258" s="332"/>
      <c r="K258" s="332"/>
      <c r="L258" s="332"/>
      <c r="M258" s="332"/>
      <c r="N258" s="332">
        <f t="shared" si="51"/>
        <v>0</v>
      </c>
    </row>
    <row r="259" spans="1:14">
      <c r="A259" s="363" t="s">
        <v>129</v>
      </c>
      <c r="B259" s="399">
        <f t="shared" ref="B259:M259" si="55">SUM(B250,B257,B258)</f>
        <v>2763294.8333333335</v>
      </c>
      <c r="C259" s="399">
        <f t="shared" si="55"/>
        <v>646438.83333333326</v>
      </c>
      <c r="D259" s="399">
        <f t="shared" si="55"/>
        <v>701448.83333333326</v>
      </c>
      <c r="E259" s="399">
        <f t="shared" si="55"/>
        <v>707010.83333333326</v>
      </c>
      <c r="F259" s="399">
        <f t="shared" si="55"/>
        <v>763174.83333333326</v>
      </c>
      <c r="G259" s="399">
        <f t="shared" si="55"/>
        <v>719444.83333333326</v>
      </c>
      <c r="H259" s="399">
        <f t="shared" si="55"/>
        <v>866207.83333333326</v>
      </c>
      <c r="I259" s="399">
        <f t="shared" si="55"/>
        <v>687778.83333333326</v>
      </c>
      <c r="J259" s="399">
        <f t="shared" si="55"/>
        <v>737925.83333333326</v>
      </c>
      <c r="K259" s="399">
        <f t="shared" si="55"/>
        <v>718257.83333333326</v>
      </c>
      <c r="L259" s="399">
        <f t="shared" si="55"/>
        <v>701179.83333333326</v>
      </c>
      <c r="M259" s="399">
        <f t="shared" si="55"/>
        <v>457693.83333333331</v>
      </c>
      <c r="N259" s="399">
        <f t="shared" si="51"/>
        <v>10469857</v>
      </c>
    </row>
    <row r="260" spans="1:14">
      <c r="A260" s="400" t="s">
        <v>172</v>
      </c>
      <c r="B260" s="331"/>
      <c r="C260" s="331"/>
      <c r="D260" s="331"/>
      <c r="E260" s="331"/>
      <c r="F260" s="331" t="s">
        <v>277</v>
      </c>
      <c r="G260" s="331">
        <v>1364745</v>
      </c>
      <c r="H260" s="331">
        <v>881158</v>
      </c>
      <c r="I260" s="331">
        <v>346023</v>
      </c>
      <c r="J260" s="331">
        <v>400000</v>
      </c>
      <c r="K260" s="331">
        <v>400000</v>
      </c>
      <c r="L260" s="331">
        <v>400000</v>
      </c>
      <c r="M260" s="331">
        <v>400000</v>
      </c>
      <c r="N260" s="331">
        <f t="shared" si="51"/>
        <v>4191926</v>
      </c>
    </row>
    <row r="261" spans="1:14">
      <c r="A261" s="228" t="s">
        <v>278</v>
      </c>
      <c r="B261" s="331"/>
      <c r="C261" s="331"/>
      <c r="D261" s="331"/>
      <c r="E261" s="331"/>
      <c r="F261" s="331"/>
      <c r="G261" s="331"/>
      <c r="H261" s="331"/>
      <c r="I261" s="331"/>
      <c r="J261" s="331"/>
      <c r="K261" s="331"/>
      <c r="L261" s="331"/>
      <c r="M261" s="331"/>
      <c r="N261" s="331">
        <f t="shared" si="51"/>
        <v>0</v>
      </c>
    </row>
    <row r="262" spans="1:14">
      <c r="A262" s="228" t="s">
        <v>198</v>
      </c>
      <c r="B262" s="331">
        <v>110000</v>
      </c>
      <c r="C262" s="331"/>
      <c r="D262" s="331"/>
      <c r="E262" s="331"/>
      <c r="F262" s="331"/>
      <c r="G262" s="331"/>
      <c r="H262" s="331"/>
      <c r="I262" s="331"/>
      <c r="J262" s="331"/>
      <c r="K262" s="331"/>
      <c r="L262" s="331"/>
      <c r="M262" s="331"/>
      <c r="N262" s="331"/>
    </row>
    <row r="263" spans="1:14">
      <c r="A263" s="228" t="s">
        <v>135</v>
      </c>
      <c r="B263" s="331"/>
      <c r="C263" s="331"/>
      <c r="D263" s="331"/>
      <c r="E263" s="331">
        <v>12976</v>
      </c>
      <c r="F263" s="331">
        <v>18454</v>
      </c>
      <c r="G263" s="331"/>
      <c r="H263" s="331"/>
      <c r="I263" s="331"/>
      <c r="J263" s="331"/>
      <c r="K263" s="331"/>
      <c r="L263" s="331"/>
      <c r="M263" s="331"/>
      <c r="N263" s="331">
        <f t="shared" si="51"/>
        <v>31430</v>
      </c>
    </row>
    <row r="264" spans="1:14">
      <c r="A264" s="228" t="s">
        <v>279</v>
      </c>
      <c r="B264" s="331">
        <v>12510</v>
      </c>
      <c r="C264" s="331">
        <v>8119</v>
      </c>
      <c r="D264" s="331">
        <v>8227</v>
      </c>
      <c r="E264" s="331">
        <v>6571</v>
      </c>
      <c r="F264" s="331">
        <v>6411</v>
      </c>
      <c r="G264" s="331">
        <v>7904</v>
      </c>
      <c r="H264" s="331">
        <v>7939</v>
      </c>
      <c r="I264" s="331">
        <v>10000</v>
      </c>
      <c r="J264" s="331">
        <v>10000</v>
      </c>
      <c r="K264" s="331">
        <v>10000</v>
      </c>
      <c r="L264" s="331">
        <v>10000</v>
      </c>
      <c r="M264" s="331">
        <v>10000</v>
      </c>
      <c r="N264" s="331">
        <f t="shared" si="51"/>
        <v>107681</v>
      </c>
    </row>
    <row r="265" spans="1:14">
      <c r="A265" s="228" t="s">
        <v>178</v>
      </c>
      <c r="B265" s="331">
        <v>6400</v>
      </c>
      <c r="C265" s="331">
        <v>6400</v>
      </c>
      <c r="D265" s="331">
        <v>6400</v>
      </c>
      <c r="E265" s="331">
        <v>6400</v>
      </c>
      <c r="F265" s="331">
        <v>6400</v>
      </c>
      <c r="G265" s="331">
        <v>6400</v>
      </c>
      <c r="H265" s="331">
        <v>6400</v>
      </c>
      <c r="I265" s="331">
        <v>6400</v>
      </c>
      <c r="J265" s="331">
        <v>6400</v>
      </c>
      <c r="K265" s="331">
        <v>6400</v>
      </c>
      <c r="L265" s="331">
        <v>6400</v>
      </c>
      <c r="M265" s="331">
        <v>6400</v>
      </c>
      <c r="N265" s="331">
        <f t="shared" si="51"/>
        <v>76800</v>
      </c>
    </row>
    <row r="266" spans="1:14">
      <c r="A266" s="228" t="s">
        <v>280</v>
      </c>
      <c r="B266" s="331">
        <v>18500</v>
      </c>
      <c r="C266" s="331"/>
      <c r="D266" s="331"/>
      <c r="E266" s="331">
        <v>18500</v>
      </c>
      <c r="F266" s="331"/>
      <c r="G266" s="331"/>
      <c r="H266" s="331">
        <v>18500</v>
      </c>
      <c r="I266" s="331"/>
      <c r="J266" s="331"/>
      <c r="K266" s="331">
        <v>18500</v>
      </c>
      <c r="L266" s="331"/>
      <c r="M266" s="331"/>
      <c r="N266" s="331">
        <f t="shared" si="51"/>
        <v>74000</v>
      </c>
    </row>
    <row r="267" spans="1:14">
      <c r="A267" s="228" t="s">
        <v>281</v>
      </c>
      <c r="B267" s="331">
        <v>2850</v>
      </c>
      <c r="C267" s="331">
        <v>2850</v>
      </c>
      <c r="D267" s="331">
        <v>2850</v>
      </c>
      <c r="E267" s="331">
        <v>2850</v>
      </c>
      <c r="F267" s="331">
        <v>2850</v>
      </c>
      <c r="G267" s="331">
        <v>2850</v>
      </c>
      <c r="H267" s="331">
        <v>2850</v>
      </c>
      <c r="I267" s="331">
        <v>2850</v>
      </c>
      <c r="J267" s="331">
        <v>2850</v>
      </c>
      <c r="K267" s="331">
        <v>2850</v>
      </c>
      <c r="L267" s="331">
        <v>2850</v>
      </c>
      <c r="M267" s="331">
        <v>2850</v>
      </c>
      <c r="N267" s="331">
        <f t="shared" si="51"/>
        <v>34200</v>
      </c>
    </row>
    <row r="268" spans="1:14">
      <c r="A268" s="228" t="s">
        <v>282</v>
      </c>
      <c r="B268" s="331">
        <v>13386</v>
      </c>
      <c r="C268" s="331">
        <v>2560</v>
      </c>
      <c r="D268" s="331">
        <v>32032</v>
      </c>
      <c r="E268" s="331">
        <v>0</v>
      </c>
      <c r="F268" s="331">
        <v>49531</v>
      </c>
      <c r="G268" s="331">
        <v>15000</v>
      </c>
      <c r="H268" s="331">
        <v>1881</v>
      </c>
      <c r="I268" s="331">
        <v>8282</v>
      </c>
      <c r="J268" s="331">
        <v>10369</v>
      </c>
      <c r="K268" s="331">
        <v>15000</v>
      </c>
      <c r="L268" s="331">
        <v>15000</v>
      </c>
      <c r="M268" s="331">
        <v>15000</v>
      </c>
      <c r="N268" s="331">
        <f t="shared" si="51"/>
        <v>178041</v>
      </c>
    </row>
    <row r="269" spans="1:14">
      <c r="A269" s="228" t="s">
        <v>283</v>
      </c>
      <c r="B269" s="331">
        <v>8588</v>
      </c>
      <c r="C269" s="331">
        <v>8588</v>
      </c>
      <c r="D269" s="331">
        <v>8588</v>
      </c>
      <c r="E269" s="331">
        <v>8588</v>
      </c>
      <c r="F269" s="331">
        <v>8588</v>
      </c>
      <c r="G269" s="331">
        <v>8588</v>
      </c>
      <c r="H269" s="331">
        <v>8588</v>
      </c>
      <c r="I269" s="331">
        <v>8588</v>
      </c>
      <c r="J269" s="331">
        <v>8588</v>
      </c>
      <c r="K269" s="331">
        <v>8588</v>
      </c>
      <c r="L269" s="331">
        <v>8588</v>
      </c>
      <c r="M269" s="331">
        <v>8588</v>
      </c>
      <c r="N269" s="331">
        <f t="shared" si="51"/>
        <v>103056</v>
      </c>
    </row>
    <row r="270" spans="1:14">
      <c r="A270" s="228" t="s">
        <v>182</v>
      </c>
      <c r="B270" s="329">
        <v>293075</v>
      </c>
      <c r="C270" s="329">
        <v>188090</v>
      </c>
      <c r="D270" s="329">
        <v>234545</v>
      </c>
      <c r="E270" s="329">
        <v>218087</v>
      </c>
      <c r="F270" s="329">
        <v>273824</v>
      </c>
      <c r="G270" s="329">
        <v>242891</v>
      </c>
      <c r="H270" s="329">
        <v>255066</v>
      </c>
      <c r="I270" s="329">
        <v>207571</v>
      </c>
      <c r="J270" s="329">
        <v>255446</v>
      </c>
      <c r="K270" s="329">
        <v>221130</v>
      </c>
      <c r="L270" s="329">
        <v>205037</v>
      </c>
      <c r="M270" s="329"/>
      <c r="N270" s="331">
        <f t="shared" si="51"/>
        <v>2594762</v>
      </c>
    </row>
    <row r="271" spans="1:14">
      <c r="A271" s="228" t="s">
        <v>157</v>
      </c>
      <c r="B271" s="329"/>
      <c r="C271" s="329"/>
      <c r="D271" s="329"/>
      <c r="E271" s="329"/>
      <c r="F271" s="329"/>
      <c r="G271" s="329"/>
      <c r="H271" s="329"/>
      <c r="I271" s="329"/>
      <c r="J271" s="329"/>
      <c r="K271" s="329"/>
      <c r="L271" s="329"/>
      <c r="M271" s="329"/>
      <c r="N271" s="331">
        <f t="shared" si="51"/>
        <v>0</v>
      </c>
    </row>
    <row r="272" spans="1:14">
      <c r="A272" s="367" t="s">
        <v>146</v>
      </c>
      <c r="B272" s="368">
        <f>B259-SUM(B260:B271)</f>
        <v>2297985.8333333335</v>
      </c>
      <c r="C272" s="368">
        <f t="shared" ref="C272:N272" si="56">C259-SUM(C260:C271)</f>
        <v>429831.83333333326</v>
      </c>
      <c r="D272" s="368">
        <f t="shared" si="56"/>
        <v>408806.83333333326</v>
      </c>
      <c r="E272" s="368">
        <f t="shared" si="56"/>
        <v>433038.83333333326</v>
      </c>
      <c r="F272" s="368">
        <f t="shared" si="56"/>
        <v>397116.83333333326</v>
      </c>
      <c r="G272" s="368">
        <f t="shared" si="56"/>
        <v>-928933.16666666674</v>
      </c>
      <c r="H272" s="368">
        <f t="shared" si="56"/>
        <v>-316174.16666666674</v>
      </c>
      <c r="I272" s="368">
        <f t="shared" si="56"/>
        <v>98064.833333333256</v>
      </c>
      <c r="J272" s="368">
        <f t="shared" si="56"/>
        <v>44272.833333333256</v>
      </c>
      <c r="K272" s="368">
        <f t="shared" si="56"/>
        <v>35789.833333333256</v>
      </c>
      <c r="L272" s="368">
        <f t="shared" si="56"/>
        <v>53304.833333333256</v>
      </c>
      <c r="M272" s="368">
        <f t="shared" si="56"/>
        <v>14855.833333333314</v>
      </c>
      <c r="N272" s="368">
        <f t="shared" si="56"/>
        <v>3077961</v>
      </c>
    </row>
    <row r="273" spans="1:14">
      <c r="A273" s="642"/>
      <c r="B273" s="643"/>
      <c r="C273" s="643"/>
      <c r="D273" s="643"/>
      <c r="E273" s="643"/>
      <c r="F273" s="643"/>
      <c r="G273" s="643"/>
      <c r="H273" s="643"/>
      <c r="I273" s="643"/>
      <c r="J273" s="643"/>
      <c r="K273" s="643"/>
      <c r="L273" s="643"/>
      <c r="M273" s="643"/>
      <c r="N273" s="644"/>
    </row>
    <row r="274" spans="1:14">
      <c r="A274" s="645"/>
      <c r="B274" s="646"/>
      <c r="C274" s="646"/>
      <c r="D274" s="646"/>
      <c r="E274" s="646"/>
      <c r="F274" s="646"/>
      <c r="G274" s="646"/>
      <c r="H274" s="646"/>
      <c r="I274" s="646"/>
      <c r="J274" s="646"/>
      <c r="K274" s="646"/>
      <c r="L274" s="646"/>
      <c r="M274" s="646"/>
      <c r="N274" s="647"/>
    </row>
    <row r="275" spans="1:14" ht="20.25">
      <c r="A275" s="827" t="s">
        <v>200</v>
      </c>
      <c r="B275" s="827"/>
      <c r="C275" s="827"/>
      <c r="D275" s="827"/>
      <c r="E275" s="827"/>
      <c r="F275" s="827"/>
      <c r="G275" s="827"/>
      <c r="H275" s="827"/>
      <c r="I275" s="827"/>
      <c r="J275" s="827"/>
      <c r="K275" s="827"/>
      <c r="L275" s="827"/>
      <c r="M275" s="827"/>
      <c r="N275" s="827"/>
    </row>
    <row r="276" spans="1:14">
      <c r="A276" s="645"/>
      <c r="B276" s="646"/>
      <c r="C276" s="646"/>
      <c r="D276" s="646"/>
      <c r="E276" s="646"/>
      <c r="F276" s="646"/>
      <c r="G276" s="646"/>
      <c r="H276" s="646"/>
      <c r="I276" s="646"/>
      <c r="J276" s="646"/>
      <c r="K276" s="646"/>
      <c r="L276" s="646"/>
      <c r="M276" s="646"/>
      <c r="N276" s="647"/>
    </row>
    <row r="277" spans="1:14">
      <c r="A277" s="649" t="s">
        <v>201</v>
      </c>
      <c r="B277" s="650">
        <f>B129</f>
        <v>378905.91666666674</v>
      </c>
      <c r="C277" s="650">
        <f t="shared" ref="C277:N277" si="57">C129</f>
        <v>-76339.583333333256</v>
      </c>
      <c r="D277" s="650">
        <f t="shared" si="57"/>
        <v>201393.91666666674</v>
      </c>
      <c r="E277" s="650">
        <f t="shared" si="57"/>
        <v>216513.91666666674</v>
      </c>
      <c r="F277" s="650">
        <f t="shared" si="57"/>
        <v>67267.916666666744</v>
      </c>
      <c r="G277" s="650">
        <f t="shared" si="57"/>
        <v>383871.41666666674</v>
      </c>
      <c r="H277" s="650">
        <f t="shared" si="57"/>
        <v>90743.416666666744</v>
      </c>
      <c r="I277" s="650">
        <f t="shared" si="57"/>
        <v>89360.916666666744</v>
      </c>
      <c r="J277" s="650">
        <f t="shared" si="57"/>
        <v>244407.91666666674</v>
      </c>
      <c r="K277" s="650">
        <f t="shared" si="57"/>
        <v>231723.54666666687</v>
      </c>
      <c r="L277" s="650">
        <f t="shared" si="57"/>
        <v>153435.41666666674</v>
      </c>
      <c r="M277" s="650">
        <f t="shared" si="57"/>
        <v>92367.416666666744</v>
      </c>
      <c r="N277" s="650">
        <f t="shared" si="57"/>
        <v>2073652.1300000027</v>
      </c>
    </row>
    <row r="278" spans="1:14">
      <c r="A278" s="649" t="s">
        <v>202</v>
      </c>
      <c r="B278" s="650">
        <f>B187</f>
        <v>319272.5</v>
      </c>
      <c r="C278" s="650">
        <f t="shared" ref="C278:N278" si="58">C187</f>
        <v>-10317.5</v>
      </c>
      <c r="D278" s="650">
        <f t="shared" si="58"/>
        <v>30418</v>
      </c>
      <c r="E278" s="650">
        <f t="shared" si="58"/>
        <v>83359.5</v>
      </c>
      <c r="F278" s="650">
        <f t="shared" si="58"/>
        <v>199319.5</v>
      </c>
      <c r="G278" s="650">
        <f t="shared" si="58"/>
        <v>135663.25</v>
      </c>
      <c r="H278" s="650">
        <f t="shared" si="58"/>
        <v>-61500</v>
      </c>
      <c r="I278" s="650">
        <f t="shared" si="58"/>
        <v>200303.13</v>
      </c>
      <c r="J278" s="650">
        <f t="shared" si="58"/>
        <v>79545.5</v>
      </c>
      <c r="K278" s="650">
        <f t="shared" si="58"/>
        <v>139519</v>
      </c>
      <c r="L278" s="650">
        <f t="shared" si="58"/>
        <v>67930</v>
      </c>
      <c r="M278" s="650">
        <f t="shared" si="58"/>
        <v>-18455.5</v>
      </c>
      <c r="N278" s="650">
        <f t="shared" si="58"/>
        <v>1165057.3799999999</v>
      </c>
    </row>
    <row r="279" spans="1:14" ht="13.5" thickBot="1">
      <c r="A279" s="653" t="s">
        <v>284</v>
      </c>
      <c r="B279" s="654">
        <f>B272</f>
        <v>2297985.8333333335</v>
      </c>
      <c r="C279" s="654">
        <f t="shared" ref="C279:N279" si="59">C272</f>
        <v>429831.83333333326</v>
      </c>
      <c r="D279" s="654">
        <f t="shared" si="59"/>
        <v>408806.83333333326</v>
      </c>
      <c r="E279" s="654">
        <f t="shared" si="59"/>
        <v>433038.83333333326</v>
      </c>
      <c r="F279" s="654">
        <f t="shared" si="59"/>
        <v>397116.83333333326</v>
      </c>
      <c r="G279" s="654">
        <f t="shared" si="59"/>
        <v>-928933.16666666674</v>
      </c>
      <c r="H279" s="654">
        <f t="shared" si="59"/>
        <v>-316174.16666666674</v>
      </c>
      <c r="I279" s="654">
        <f t="shared" si="59"/>
        <v>98064.833333333256</v>
      </c>
      <c r="J279" s="654">
        <f t="shared" si="59"/>
        <v>44272.833333333256</v>
      </c>
      <c r="K279" s="654">
        <f t="shared" si="59"/>
        <v>35789.833333333256</v>
      </c>
      <c r="L279" s="654">
        <f t="shared" si="59"/>
        <v>53304.833333333256</v>
      </c>
      <c r="M279" s="654">
        <f t="shared" si="59"/>
        <v>14855.833333333314</v>
      </c>
      <c r="N279" s="654">
        <f t="shared" si="59"/>
        <v>3077961</v>
      </c>
    </row>
    <row r="280" spans="1:14" ht="13.5" thickBot="1">
      <c r="A280" s="651" t="s">
        <v>205</v>
      </c>
      <c r="B280" s="652">
        <f>SUM(B277:B279)</f>
        <v>2996164.25</v>
      </c>
      <c r="C280" s="652">
        <f t="shared" ref="C280:N280" si="60">SUM(C277:C279)</f>
        <v>343174.75</v>
      </c>
      <c r="D280" s="652">
        <f t="shared" si="60"/>
        <v>640618.75</v>
      </c>
      <c r="E280" s="652">
        <f t="shared" si="60"/>
        <v>732912.25</v>
      </c>
      <c r="F280" s="652">
        <f t="shared" si="60"/>
        <v>663704.25</v>
      </c>
      <c r="G280" s="652">
        <f t="shared" si="60"/>
        <v>-409398.5</v>
      </c>
      <c r="H280" s="652">
        <f t="shared" si="60"/>
        <v>-286930.75</v>
      </c>
      <c r="I280" s="652">
        <f t="shared" si="60"/>
        <v>387728.88</v>
      </c>
      <c r="J280" s="652">
        <f t="shared" si="60"/>
        <v>368226.25</v>
      </c>
      <c r="K280" s="652">
        <f t="shared" si="60"/>
        <v>407032.38000000012</v>
      </c>
      <c r="L280" s="652">
        <f t="shared" si="60"/>
        <v>274670.25</v>
      </c>
      <c r="M280" s="652">
        <f t="shared" si="60"/>
        <v>88767.750000000058</v>
      </c>
      <c r="N280" s="652">
        <f t="shared" si="60"/>
        <v>6316670.5100000026</v>
      </c>
    </row>
    <row r="281" spans="1:14">
      <c r="A281" s="645"/>
      <c r="B281" s="646"/>
      <c r="C281" s="646"/>
      <c r="D281" s="646"/>
      <c r="E281" s="646"/>
      <c r="F281" s="646"/>
      <c r="G281" s="646"/>
      <c r="H281" s="646"/>
      <c r="I281" s="646"/>
      <c r="J281" s="646"/>
      <c r="K281" s="646"/>
      <c r="L281" s="646"/>
      <c r="M281" s="646"/>
      <c r="N281" s="647"/>
    </row>
    <row r="282" spans="1:14">
      <c r="A282" s="645"/>
      <c r="B282" s="646"/>
      <c r="C282" s="646"/>
      <c r="D282" s="646"/>
      <c r="E282" s="646"/>
      <c r="F282" s="646"/>
      <c r="G282" s="646"/>
      <c r="H282" s="646"/>
      <c r="I282" s="646"/>
      <c r="J282" s="646"/>
      <c r="K282" s="646"/>
      <c r="L282" s="646"/>
      <c r="M282" s="646"/>
      <c r="N282" s="647"/>
    </row>
    <row r="283" spans="1:14">
      <c r="A283" s="645"/>
      <c r="B283" s="646"/>
      <c r="C283" s="646"/>
      <c r="D283" s="646"/>
      <c r="E283" s="646"/>
      <c r="F283" s="646"/>
      <c r="G283" s="646"/>
      <c r="H283" s="646"/>
      <c r="I283" s="646"/>
      <c r="J283" s="646"/>
      <c r="K283" s="646"/>
      <c r="L283" s="646"/>
      <c r="M283" s="646"/>
      <c r="N283" s="647"/>
    </row>
    <row r="284" spans="1:14">
      <c r="A284" s="645"/>
      <c r="B284" s="646"/>
      <c r="C284" s="646"/>
      <c r="D284" s="646"/>
      <c r="E284" s="646"/>
      <c r="F284" s="646"/>
      <c r="G284" s="646"/>
      <c r="H284" s="646"/>
      <c r="I284" s="646"/>
      <c r="J284" s="646"/>
      <c r="K284" s="646"/>
      <c r="L284" s="646"/>
      <c r="M284" s="646"/>
      <c r="N284" s="647"/>
    </row>
    <row r="285" spans="1:14">
      <c r="A285" s="645"/>
      <c r="B285" s="646"/>
      <c r="C285" s="646"/>
      <c r="D285" s="646"/>
      <c r="E285" s="646"/>
      <c r="F285" s="646"/>
      <c r="G285" s="646"/>
      <c r="H285" s="646"/>
      <c r="I285" s="646"/>
      <c r="J285" s="646"/>
      <c r="K285" s="646"/>
      <c r="L285" s="646"/>
      <c r="M285" s="646"/>
      <c r="N285" s="647"/>
    </row>
    <row r="286" spans="1:14">
      <c r="A286" s="645"/>
      <c r="B286" s="646"/>
      <c r="C286" s="646"/>
      <c r="D286" s="646"/>
      <c r="E286" s="646"/>
      <c r="F286" s="646"/>
      <c r="G286" s="646"/>
      <c r="H286" s="646"/>
      <c r="I286" s="646"/>
      <c r="J286" s="646"/>
      <c r="K286" s="646"/>
      <c r="L286" s="646"/>
      <c r="M286" s="646"/>
      <c r="N286" s="647"/>
    </row>
    <row r="287" spans="1:14">
      <c r="A287" s="645"/>
      <c r="B287" s="646"/>
      <c r="C287" s="646"/>
      <c r="D287" s="646"/>
      <c r="E287" s="646"/>
      <c r="F287" s="646"/>
      <c r="G287" s="646"/>
      <c r="H287" s="646"/>
      <c r="I287" s="646"/>
      <c r="J287" s="646"/>
      <c r="K287" s="646"/>
      <c r="L287" s="646"/>
      <c r="M287" s="646"/>
      <c r="N287" s="647"/>
    </row>
    <row r="288" spans="1:14">
      <c r="A288" s="645"/>
      <c r="B288" s="646"/>
      <c r="C288" s="646"/>
      <c r="D288" s="646"/>
      <c r="E288" s="646"/>
      <c r="F288" s="646"/>
      <c r="G288" s="646"/>
      <c r="H288" s="646"/>
      <c r="I288" s="646"/>
      <c r="J288" s="646"/>
      <c r="K288" s="646"/>
      <c r="L288" s="646"/>
      <c r="M288" s="646"/>
      <c r="N288" s="647"/>
    </row>
    <row r="289" spans="1:14">
      <c r="A289" s="645"/>
      <c r="B289" s="646"/>
      <c r="C289" s="646"/>
      <c r="D289" s="646"/>
      <c r="E289" s="646"/>
      <c r="F289" s="646"/>
      <c r="G289" s="646"/>
      <c r="H289" s="646"/>
      <c r="I289" s="646"/>
      <c r="J289" s="646"/>
      <c r="K289" s="646"/>
      <c r="L289" s="646"/>
      <c r="M289" s="646"/>
      <c r="N289" s="647"/>
    </row>
    <row r="290" spans="1:14" ht="14.25" customHeight="1">
      <c r="A290" s="645"/>
      <c r="B290" s="648"/>
      <c r="C290" s="648"/>
      <c r="D290" s="648"/>
      <c r="E290" s="648"/>
      <c r="F290" s="648"/>
      <c r="G290" s="648"/>
      <c r="H290" s="648"/>
      <c r="I290" s="648"/>
      <c r="J290" s="648"/>
      <c r="K290" s="648"/>
      <c r="L290" s="648"/>
      <c r="M290" s="648"/>
      <c r="N290" s="648"/>
    </row>
    <row r="291" spans="1:14">
      <c r="A291" s="645"/>
      <c r="B291" s="648"/>
      <c r="C291" s="648"/>
      <c r="D291" s="648"/>
      <c r="E291" s="648"/>
      <c r="F291" s="648"/>
      <c r="G291" s="648"/>
      <c r="H291" s="648"/>
      <c r="I291" s="648"/>
      <c r="J291" s="648"/>
      <c r="K291" s="648"/>
      <c r="L291" s="648"/>
      <c r="M291" s="648"/>
      <c r="N291" s="648"/>
    </row>
    <row r="292" spans="1:14" ht="13.5" thickBot="1">
      <c r="A292" s="281"/>
      <c r="B292" s="281"/>
      <c r="C292" s="281"/>
      <c r="D292" s="281"/>
      <c r="E292" s="281"/>
      <c r="F292" s="281"/>
      <c r="G292" s="281"/>
      <c r="H292" s="281"/>
      <c r="I292" s="281"/>
      <c r="J292" s="281"/>
      <c r="K292" s="281"/>
      <c r="L292" s="281"/>
      <c r="M292" s="281"/>
      <c r="N292" s="281"/>
    </row>
    <row r="293" spans="1:14" ht="20.25">
      <c r="A293" s="820" t="s">
        <v>285</v>
      </c>
      <c r="B293" s="820"/>
      <c r="C293" s="820"/>
      <c r="D293" s="820"/>
      <c r="E293" s="820"/>
      <c r="F293" s="820"/>
      <c r="G293" s="820"/>
      <c r="H293" s="820"/>
      <c r="I293" s="820"/>
      <c r="J293" s="820"/>
      <c r="K293" s="820"/>
      <c r="L293" s="820"/>
      <c r="M293" s="820"/>
      <c r="N293" s="820"/>
    </row>
    <row r="294" spans="1:14">
      <c r="A294" s="227"/>
      <c r="B294" s="227"/>
      <c r="C294" s="227"/>
      <c r="D294" s="227"/>
      <c r="E294" s="227"/>
      <c r="F294" s="227"/>
      <c r="G294" s="227"/>
      <c r="H294" s="227"/>
      <c r="I294" s="227"/>
      <c r="J294" s="227"/>
      <c r="K294" s="227"/>
      <c r="L294" s="227"/>
      <c r="M294" s="227"/>
    </row>
    <row r="295" spans="1:14">
      <c r="A295" s="228"/>
      <c r="B295" s="229" t="s">
        <v>44</v>
      </c>
      <c r="C295" s="229" t="s">
        <v>45</v>
      </c>
      <c r="D295" s="230" t="s">
        <v>46</v>
      </c>
      <c r="E295" s="229" t="s">
        <v>47</v>
      </c>
      <c r="F295" s="229" t="s">
        <v>48</v>
      </c>
      <c r="G295" s="230" t="s">
        <v>49</v>
      </c>
      <c r="H295" s="229" t="s">
        <v>38</v>
      </c>
      <c r="I295" s="229" t="s">
        <v>39</v>
      </c>
      <c r="J295" s="229" t="s">
        <v>40</v>
      </c>
      <c r="K295" s="229" t="s">
        <v>41</v>
      </c>
      <c r="L295" s="229" t="s">
        <v>42</v>
      </c>
      <c r="M295" s="229" t="s">
        <v>43</v>
      </c>
      <c r="N295" s="228" t="s">
        <v>64</v>
      </c>
    </row>
    <row r="296" spans="1:14">
      <c r="A296" s="231" t="s">
        <v>65</v>
      </c>
      <c r="B296" s="620">
        <v>2083</v>
      </c>
      <c r="C296" s="620">
        <v>2083</v>
      </c>
      <c r="D296" s="620">
        <v>2083</v>
      </c>
      <c r="E296" s="620">
        <v>2083</v>
      </c>
      <c r="F296" s="620">
        <v>2083</v>
      </c>
      <c r="G296" s="620">
        <v>2083</v>
      </c>
      <c r="H296" s="620">
        <v>2083</v>
      </c>
      <c r="I296" s="620">
        <v>2083</v>
      </c>
      <c r="J296" s="620">
        <v>2083</v>
      </c>
      <c r="K296" s="620">
        <v>2083</v>
      </c>
      <c r="L296" s="620">
        <v>2083</v>
      </c>
      <c r="M296" s="620">
        <v>2083</v>
      </c>
      <c r="N296" s="620">
        <f t="shared" ref="N296:N306" si="61">SUM(B296:M296)</f>
        <v>24996</v>
      </c>
    </row>
    <row r="297" spans="1:14">
      <c r="A297" s="231" t="s">
        <v>66</v>
      </c>
      <c r="B297" s="620"/>
      <c r="C297" s="620"/>
      <c r="D297" s="620"/>
      <c r="E297" s="620"/>
      <c r="F297" s="620"/>
      <c r="G297" s="621"/>
      <c r="H297" s="620"/>
      <c r="I297" s="620"/>
      <c r="J297" s="622"/>
      <c r="K297" s="620"/>
      <c r="L297" s="620"/>
      <c r="M297" s="620"/>
      <c r="N297" s="620">
        <f t="shared" si="61"/>
        <v>0</v>
      </c>
    </row>
    <row r="298" spans="1:14">
      <c r="A298" s="231" t="s">
        <v>67</v>
      </c>
      <c r="B298" s="620"/>
      <c r="C298" s="620"/>
      <c r="D298" s="620"/>
      <c r="E298" s="620"/>
      <c r="F298" s="620"/>
      <c r="G298" s="621"/>
      <c r="H298" s="620"/>
      <c r="I298" s="620"/>
      <c r="J298" s="620"/>
      <c r="K298" s="620"/>
      <c r="L298" s="620"/>
      <c r="M298" s="620"/>
      <c r="N298" s="620">
        <f t="shared" si="61"/>
        <v>0</v>
      </c>
    </row>
    <row r="299" spans="1:14">
      <c r="A299" s="231" t="s">
        <v>69</v>
      </c>
      <c r="B299" s="620">
        <v>61</v>
      </c>
      <c r="C299" s="620">
        <v>187.5</v>
      </c>
      <c r="D299" s="620">
        <v>179.75</v>
      </c>
      <c r="E299" s="620">
        <v>159.25</v>
      </c>
      <c r="F299" s="620">
        <v>6</v>
      </c>
      <c r="G299" s="621">
        <v>183.25</v>
      </c>
      <c r="H299" s="620">
        <v>827</v>
      </c>
      <c r="I299" s="620">
        <v>375</v>
      </c>
      <c r="J299" s="620">
        <v>95.5</v>
      </c>
      <c r="K299" s="620">
        <v>203</v>
      </c>
      <c r="L299" s="620">
        <v>13.75</v>
      </c>
      <c r="M299" s="620">
        <v>119.25</v>
      </c>
      <c r="N299" s="620">
        <f t="shared" si="61"/>
        <v>2410.25</v>
      </c>
    </row>
    <row r="300" spans="1:14">
      <c r="A300" s="231" t="s">
        <v>70</v>
      </c>
      <c r="B300" s="620">
        <v>56.75</v>
      </c>
      <c r="C300" s="620"/>
      <c r="D300" s="620">
        <v>64.5</v>
      </c>
      <c r="E300" s="620">
        <v>91.25</v>
      </c>
      <c r="F300" s="620">
        <v>55</v>
      </c>
      <c r="G300" s="621">
        <v>43.75</v>
      </c>
      <c r="H300" s="620">
        <v>29.25</v>
      </c>
      <c r="I300" s="620">
        <v>37</v>
      </c>
      <c r="J300" s="620"/>
      <c r="K300" s="620"/>
      <c r="L300" s="620"/>
      <c r="M300" s="620">
        <v>62</v>
      </c>
      <c r="N300" s="620">
        <f t="shared" si="61"/>
        <v>439.5</v>
      </c>
    </row>
    <row r="301" spans="1:14">
      <c r="A301" s="231" t="s">
        <v>71</v>
      </c>
      <c r="B301" s="620">
        <v>245.25</v>
      </c>
      <c r="C301" s="620">
        <v>278.75</v>
      </c>
      <c r="D301" s="620">
        <v>83.5</v>
      </c>
      <c r="E301" s="620">
        <v>15.5</v>
      </c>
      <c r="F301" s="620">
        <v>74</v>
      </c>
      <c r="G301" s="621">
        <v>7.75</v>
      </c>
      <c r="H301" s="620">
        <v>21.5</v>
      </c>
      <c r="I301" s="620">
        <v>80</v>
      </c>
      <c r="J301" s="620">
        <v>200.5</v>
      </c>
      <c r="K301" s="620">
        <v>154</v>
      </c>
      <c r="L301" s="620">
        <v>157.5</v>
      </c>
      <c r="M301" s="620">
        <v>21.5</v>
      </c>
      <c r="N301" s="620">
        <f t="shared" si="61"/>
        <v>1339.75</v>
      </c>
    </row>
    <row r="302" spans="1:14">
      <c r="A302" s="231" t="s">
        <v>72</v>
      </c>
      <c r="B302" s="620"/>
      <c r="C302" s="620"/>
      <c r="D302" s="620"/>
      <c r="E302" s="620"/>
      <c r="F302" s="620"/>
      <c r="G302" s="621"/>
      <c r="H302" s="620"/>
      <c r="I302" s="620"/>
      <c r="J302" s="620"/>
      <c r="K302" s="620"/>
      <c r="L302" s="620"/>
      <c r="M302" s="620"/>
      <c r="N302" s="620">
        <f t="shared" si="61"/>
        <v>0</v>
      </c>
    </row>
    <row r="303" spans="1:14">
      <c r="A303" s="231" t="s">
        <v>73</v>
      </c>
      <c r="B303" s="620">
        <v>13.75</v>
      </c>
      <c r="C303" s="620"/>
      <c r="D303" s="620"/>
      <c r="E303" s="620"/>
      <c r="F303" s="620">
        <v>45.5</v>
      </c>
      <c r="G303" s="621">
        <v>82.5</v>
      </c>
      <c r="H303" s="620">
        <v>68</v>
      </c>
      <c r="I303" s="620"/>
      <c r="J303" s="620"/>
      <c r="K303" s="620">
        <v>58.5</v>
      </c>
      <c r="L303" s="620">
        <v>29.25</v>
      </c>
      <c r="M303" s="620"/>
      <c r="N303" s="620">
        <f t="shared" si="61"/>
        <v>297.5</v>
      </c>
    </row>
    <row r="304" spans="1:14">
      <c r="A304" s="231" t="s">
        <v>74</v>
      </c>
      <c r="B304" s="620"/>
      <c r="C304" s="620"/>
      <c r="D304" s="620"/>
      <c r="E304" s="620"/>
      <c r="F304" s="620"/>
      <c r="G304" s="621"/>
      <c r="H304" s="620"/>
      <c r="I304" s="620"/>
      <c r="J304" s="620"/>
      <c r="K304" s="620"/>
      <c r="L304" s="620"/>
      <c r="M304" s="620"/>
      <c r="N304" s="620">
        <f t="shared" si="61"/>
        <v>0</v>
      </c>
    </row>
    <row r="305" spans="1:14">
      <c r="A305" s="231" t="s">
        <v>75</v>
      </c>
      <c r="B305" s="620"/>
      <c r="C305" s="620"/>
      <c r="D305" s="620"/>
      <c r="E305" s="620"/>
      <c r="F305" s="620"/>
      <c r="G305" s="621"/>
      <c r="H305" s="620"/>
      <c r="I305" s="620"/>
      <c r="J305" s="620"/>
      <c r="K305" s="620"/>
      <c r="L305" s="620"/>
      <c r="M305" s="620"/>
      <c r="N305" s="620">
        <f t="shared" si="61"/>
        <v>0</v>
      </c>
    </row>
    <row r="306" spans="1:14" ht="13.5" thickBot="1">
      <c r="A306" s="235" t="s">
        <v>76</v>
      </c>
      <c r="B306" s="623"/>
      <c r="C306" s="623"/>
      <c r="D306" s="623">
        <v>15.5</v>
      </c>
      <c r="E306" s="623">
        <v>23.25</v>
      </c>
      <c r="F306" s="623">
        <v>74</v>
      </c>
      <c r="G306" s="624">
        <v>27.5</v>
      </c>
      <c r="H306" s="623"/>
      <c r="I306" s="623">
        <v>43</v>
      </c>
      <c r="J306" s="623"/>
      <c r="K306" s="623">
        <v>7.75</v>
      </c>
      <c r="L306" s="623"/>
      <c r="M306" s="623">
        <v>7.75</v>
      </c>
      <c r="N306" s="625">
        <f t="shared" si="61"/>
        <v>198.75</v>
      </c>
    </row>
    <row r="307" spans="1:14" ht="13.5" thickBot="1">
      <c r="A307" s="239" t="s">
        <v>77</v>
      </c>
      <c r="B307" s="626">
        <f>SUM(B296:B298)-SUM(B299:B306)</f>
        <v>1706.25</v>
      </c>
      <c r="C307" s="626">
        <f t="shared" ref="C307:N307" si="62">SUM(C296:C298)-SUM(C299:C306)</f>
        <v>1616.75</v>
      </c>
      <c r="D307" s="626">
        <f t="shared" si="62"/>
        <v>1739.75</v>
      </c>
      <c r="E307" s="626">
        <f t="shared" si="62"/>
        <v>1793.75</v>
      </c>
      <c r="F307" s="626">
        <f t="shared" si="62"/>
        <v>1828.5</v>
      </c>
      <c r="G307" s="626">
        <f t="shared" si="62"/>
        <v>1738.25</v>
      </c>
      <c r="H307" s="626">
        <f t="shared" si="62"/>
        <v>1137.25</v>
      </c>
      <c r="I307" s="626">
        <f t="shared" si="62"/>
        <v>1548</v>
      </c>
      <c r="J307" s="626">
        <f t="shared" si="62"/>
        <v>1787</v>
      </c>
      <c r="K307" s="626">
        <f t="shared" si="62"/>
        <v>1659.75</v>
      </c>
      <c r="L307" s="626">
        <f t="shared" si="62"/>
        <v>1882.5</v>
      </c>
      <c r="M307" s="626">
        <f t="shared" si="62"/>
        <v>1872.5</v>
      </c>
      <c r="N307" s="626">
        <f t="shared" si="62"/>
        <v>20310.25</v>
      </c>
    </row>
    <row r="308" spans="1:14">
      <c r="A308" s="243"/>
      <c r="B308" s="261"/>
      <c r="C308" s="261"/>
      <c r="D308" s="261"/>
      <c r="E308" s="261"/>
      <c r="F308" s="261"/>
      <c r="G308" s="261"/>
      <c r="H308" s="261"/>
      <c r="I308" s="261"/>
      <c r="J308" s="261"/>
      <c r="K308" s="261"/>
      <c r="L308" s="261"/>
      <c r="M308" s="261"/>
      <c r="N308" s="261"/>
    </row>
    <row r="309" spans="1:14">
      <c r="A309" s="243"/>
      <c r="B309" s="261"/>
      <c r="C309" s="261"/>
      <c r="D309" s="261"/>
      <c r="E309" s="261"/>
      <c r="F309" s="261"/>
      <c r="G309" s="261"/>
      <c r="H309" s="261"/>
      <c r="I309" s="261"/>
      <c r="J309" s="261"/>
      <c r="K309" s="261"/>
      <c r="L309" s="261"/>
      <c r="M309" s="261"/>
      <c r="N309" s="629" t="s">
        <v>78</v>
      </c>
    </row>
    <row r="310" spans="1:14">
      <c r="A310" s="231" t="s">
        <v>79</v>
      </c>
      <c r="B310" s="620">
        <f t="shared" ref="B310:M310" si="63">SUM(B297*100/B307)</f>
        <v>0</v>
      </c>
      <c r="C310" s="620">
        <f t="shared" si="63"/>
        <v>0</v>
      </c>
      <c r="D310" s="620">
        <f t="shared" si="63"/>
        <v>0</v>
      </c>
      <c r="E310" s="620">
        <f t="shared" si="63"/>
        <v>0</v>
      </c>
      <c r="F310" s="620">
        <f t="shared" si="63"/>
        <v>0</v>
      </c>
      <c r="G310" s="620">
        <f t="shared" si="63"/>
        <v>0</v>
      </c>
      <c r="H310" s="620">
        <f t="shared" si="63"/>
        <v>0</v>
      </c>
      <c r="I310" s="620">
        <f t="shared" si="63"/>
        <v>0</v>
      </c>
      <c r="J310" s="620">
        <f t="shared" si="63"/>
        <v>0</v>
      </c>
      <c r="K310" s="620">
        <f t="shared" si="63"/>
        <v>0</v>
      </c>
      <c r="L310" s="620">
        <f t="shared" si="63"/>
        <v>0</v>
      </c>
      <c r="M310" s="620">
        <f t="shared" si="63"/>
        <v>0</v>
      </c>
      <c r="N310" s="630">
        <f>SUM(B310:M310)/12</f>
        <v>0</v>
      </c>
    </row>
    <row r="311" spans="1:14">
      <c r="A311" s="243"/>
      <c r="B311" s="261"/>
      <c r="C311" s="261"/>
      <c r="D311" s="261"/>
      <c r="E311" s="261"/>
      <c r="F311" s="261"/>
      <c r="G311" s="261"/>
      <c r="H311" s="261"/>
      <c r="I311" s="261"/>
      <c r="J311" s="261"/>
      <c r="K311" s="261"/>
      <c r="L311" s="261"/>
      <c r="M311" s="261"/>
      <c r="N311" s="261"/>
    </row>
    <row r="312" spans="1:14">
      <c r="A312" s="231" t="s">
        <v>80</v>
      </c>
      <c r="B312" s="620">
        <f t="shared" ref="B312:M312" si="64">SUM(B301*100/B307)</f>
        <v>14.373626373626374</v>
      </c>
      <c r="C312" s="620">
        <f t="shared" si="64"/>
        <v>17.241379310344829</v>
      </c>
      <c r="D312" s="620">
        <f t="shared" si="64"/>
        <v>4.7995401638166406</v>
      </c>
      <c r="E312" s="620">
        <f t="shared" si="64"/>
        <v>0.86411149825783973</v>
      </c>
      <c r="F312" s="620">
        <f t="shared" si="64"/>
        <v>4.0470330872299698</v>
      </c>
      <c r="G312" s="620">
        <f t="shared" si="64"/>
        <v>0.44585071192291098</v>
      </c>
      <c r="H312" s="620">
        <f t="shared" si="64"/>
        <v>1.8905253901956474</v>
      </c>
      <c r="I312" s="620">
        <f t="shared" si="64"/>
        <v>5.1679586563307494</v>
      </c>
      <c r="J312" s="620">
        <f t="shared" si="64"/>
        <v>11.219921656407386</v>
      </c>
      <c r="K312" s="620">
        <f t="shared" si="64"/>
        <v>9.2785057990661244</v>
      </c>
      <c r="L312" s="620">
        <f t="shared" si="64"/>
        <v>8.3665338645418323</v>
      </c>
      <c r="M312" s="620">
        <f t="shared" si="64"/>
        <v>1.1481975967957276</v>
      </c>
      <c r="N312" s="630">
        <f>SUM(B312:M312)/12</f>
        <v>6.5702653423780033</v>
      </c>
    </row>
    <row r="313" spans="1:14" ht="13.5" thickBot="1">
      <c r="A313" s="247" t="s">
        <v>81</v>
      </c>
      <c r="B313" s="625">
        <f t="shared" ref="B313:M313" si="65">SUM(B302*100/B307)</f>
        <v>0</v>
      </c>
      <c r="C313" s="625">
        <f t="shared" si="65"/>
        <v>0</v>
      </c>
      <c r="D313" s="625">
        <f t="shared" si="65"/>
        <v>0</v>
      </c>
      <c r="E313" s="625">
        <f t="shared" si="65"/>
        <v>0</v>
      </c>
      <c r="F313" s="625">
        <f t="shared" si="65"/>
        <v>0</v>
      </c>
      <c r="G313" s="625">
        <f t="shared" si="65"/>
        <v>0</v>
      </c>
      <c r="H313" s="625">
        <f t="shared" si="65"/>
        <v>0</v>
      </c>
      <c r="I313" s="625">
        <f t="shared" si="65"/>
        <v>0</v>
      </c>
      <c r="J313" s="625">
        <f t="shared" si="65"/>
        <v>0</v>
      </c>
      <c r="K313" s="625">
        <f t="shared" si="65"/>
        <v>0</v>
      </c>
      <c r="L313" s="625">
        <f t="shared" si="65"/>
        <v>0</v>
      </c>
      <c r="M313" s="625">
        <f t="shared" si="65"/>
        <v>0</v>
      </c>
      <c r="N313" s="631">
        <f>SUM(B313:M313)/12</f>
        <v>0</v>
      </c>
    </row>
    <row r="314" spans="1:14" ht="13.5" thickBot="1">
      <c r="A314" s="249" t="s">
        <v>82</v>
      </c>
      <c r="B314" s="632">
        <f t="shared" ref="B314:M314" si="66">SUM(B312:B312)</f>
        <v>14.373626373626374</v>
      </c>
      <c r="C314" s="632">
        <f t="shared" si="66"/>
        <v>17.241379310344829</v>
      </c>
      <c r="D314" s="632">
        <f t="shared" si="66"/>
        <v>4.7995401638166406</v>
      </c>
      <c r="E314" s="632">
        <f t="shared" si="66"/>
        <v>0.86411149825783973</v>
      </c>
      <c r="F314" s="632">
        <f t="shared" si="66"/>
        <v>4.0470330872299698</v>
      </c>
      <c r="G314" s="632">
        <f t="shared" si="66"/>
        <v>0.44585071192291098</v>
      </c>
      <c r="H314" s="632">
        <f t="shared" si="66"/>
        <v>1.8905253901956474</v>
      </c>
      <c r="I314" s="632">
        <f t="shared" si="66"/>
        <v>5.1679586563307494</v>
      </c>
      <c r="J314" s="632">
        <f t="shared" si="66"/>
        <v>11.219921656407386</v>
      </c>
      <c r="K314" s="632">
        <f t="shared" si="66"/>
        <v>9.2785057990661244</v>
      </c>
      <c r="L314" s="632">
        <f t="shared" si="66"/>
        <v>8.3665338645418323</v>
      </c>
      <c r="M314" s="632">
        <f t="shared" si="66"/>
        <v>1.1481975967957276</v>
      </c>
      <c r="N314" s="633">
        <f>SUM(N312:N313)</f>
        <v>6.5702653423780033</v>
      </c>
    </row>
    <row r="315" spans="1:14">
      <c r="A315" s="243" t="s">
        <v>83</v>
      </c>
      <c r="B315" s="261"/>
      <c r="C315" s="261"/>
      <c r="D315" s="634">
        <f>SUM(B314:D314)/4</f>
        <v>9.1036364619469623</v>
      </c>
      <c r="E315" s="261"/>
      <c r="F315" s="261"/>
      <c r="G315" s="634">
        <f>SUM(E314,F314,G314)/4</f>
        <v>1.3392488243526801</v>
      </c>
      <c r="H315" s="261"/>
      <c r="I315" s="261"/>
      <c r="J315" s="634">
        <f>SUM(H314,I314,J314)/3</f>
        <v>6.0928019009779275</v>
      </c>
      <c r="K315" s="261"/>
      <c r="L315" s="261"/>
      <c r="M315" s="634">
        <f>SUM(K314,L314,M314)/3</f>
        <v>6.2644124201345619</v>
      </c>
      <c r="N315" s="635">
        <f>SUM(D315:M315)/4</f>
        <v>5.7000249018530331</v>
      </c>
    </row>
    <row r="316" spans="1:14">
      <c r="A316" s="243" t="s">
        <v>84</v>
      </c>
      <c r="B316" s="261"/>
      <c r="C316" s="261"/>
      <c r="D316" s="262"/>
      <c r="E316" s="261"/>
      <c r="F316" s="261"/>
      <c r="G316" s="262"/>
      <c r="H316" s="261"/>
      <c r="I316" s="261"/>
      <c r="J316" s="262"/>
      <c r="K316" s="261"/>
      <c r="L316" s="261"/>
      <c r="M316" s="262"/>
      <c r="N316" s="630">
        <f>SUM(D316:G316,J316,M316)/4</f>
        <v>0</v>
      </c>
    </row>
    <row r="317" spans="1:14">
      <c r="A317" s="243"/>
      <c r="B317" s="261"/>
      <c r="C317" s="261"/>
      <c r="D317" s="261"/>
      <c r="E317" s="261"/>
      <c r="F317" s="261"/>
      <c r="G317" s="261"/>
      <c r="H317" s="261"/>
      <c r="I317" s="261"/>
      <c r="J317" s="261"/>
      <c r="K317" s="261"/>
      <c r="L317" s="261"/>
      <c r="M317" s="261"/>
      <c r="N317" s="261"/>
    </row>
    <row r="318" spans="1:14">
      <c r="A318" s="231" t="s">
        <v>85</v>
      </c>
      <c r="B318" s="620">
        <f t="shared" ref="B318:M318" si="67">B305*100/B307</f>
        <v>0</v>
      </c>
      <c r="C318" s="620">
        <f t="shared" si="67"/>
        <v>0</v>
      </c>
      <c r="D318" s="620">
        <f t="shared" si="67"/>
        <v>0</v>
      </c>
      <c r="E318" s="620">
        <f t="shared" si="67"/>
        <v>0</v>
      </c>
      <c r="F318" s="620">
        <f t="shared" si="67"/>
        <v>0</v>
      </c>
      <c r="G318" s="620">
        <f t="shared" si="67"/>
        <v>0</v>
      </c>
      <c r="H318" s="620">
        <f t="shared" si="67"/>
        <v>0</v>
      </c>
      <c r="I318" s="620">
        <f t="shared" si="67"/>
        <v>0</v>
      </c>
      <c r="J318" s="620">
        <f t="shared" si="67"/>
        <v>0</v>
      </c>
      <c r="K318" s="620">
        <f t="shared" si="67"/>
        <v>0</v>
      </c>
      <c r="L318" s="620">
        <f t="shared" si="67"/>
        <v>0</v>
      </c>
      <c r="M318" s="620">
        <f t="shared" si="67"/>
        <v>0</v>
      </c>
      <c r="N318" s="630">
        <f>SUM(B318:M318)/12</f>
        <v>0</v>
      </c>
    </row>
    <row r="319" spans="1:14">
      <c r="A319" s="231" t="s">
        <v>86</v>
      </c>
      <c r="B319" s="620">
        <f t="shared" ref="B319:M319" si="68">B303*100/B307</f>
        <v>0.80586080586080588</v>
      </c>
      <c r="C319" s="620">
        <f t="shared" si="68"/>
        <v>0</v>
      </c>
      <c r="D319" s="620">
        <f t="shared" si="68"/>
        <v>0</v>
      </c>
      <c r="E319" s="620">
        <f t="shared" si="68"/>
        <v>0</v>
      </c>
      <c r="F319" s="620">
        <f t="shared" si="68"/>
        <v>2.4883784522832921</v>
      </c>
      <c r="G319" s="620">
        <f t="shared" si="68"/>
        <v>4.7461527398245362</v>
      </c>
      <c r="H319" s="620">
        <f t="shared" si="68"/>
        <v>5.9793361178280939</v>
      </c>
      <c r="I319" s="620">
        <f t="shared" si="68"/>
        <v>0</v>
      </c>
      <c r="J319" s="620">
        <f t="shared" si="68"/>
        <v>0</v>
      </c>
      <c r="K319" s="620">
        <f t="shared" si="68"/>
        <v>3.5246272028920016</v>
      </c>
      <c r="L319" s="620">
        <f t="shared" si="68"/>
        <v>1.5537848605577689</v>
      </c>
      <c r="M319" s="620">
        <f t="shared" si="68"/>
        <v>0</v>
      </c>
      <c r="N319" s="630">
        <f>SUM(B319:M319)/12</f>
        <v>1.591511681603875</v>
      </c>
    </row>
    <row r="320" spans="1:14" ht="13.5" thickBot="1">
      <c r="A320" s="231" t="s">
        <v>87</v>
      </c>
      <c r="B320" s="620">
        <f t="shared" ref="B320:M320" si="69">B299*100/B307</f>
        <v>3.5750915750915753</v>
      </c>
      <c r="C320" s="620">
        <f t="shared" si="69"/>
        <v>11.597340343281274</v>
      </c>
      <c r="D320" s="620">
        <f t="shared" si="69"/>
        <v>10.331944244862768</v>
      </c>
      <c r="E320" s="620">
        <f t="shared" si="69"/>
        <v>8.8780487804878057</v>
      </c>
      <c r="F320" s="620">
        <f t="shared" si="69"/>
        <v>0.3281378178835111</v>
      </c>
      <c r="G320" s="620">
        <f t="shared" si="69"/>
        <v>10.542211994822379</v>
      </c>
      <c r="H320" s="620">
        <f t="shared" si="69"/>
        <v>72.719278962409319</v>
      </c>
      <c r="I320" s="620">
        <f t="shared" si="69"/>
        <v>24.224806201550386</v>
      </c>
      <c r="J320" s="620">
        <f t="shared" si="69"/>
        <v>5.344152210408506</v>
      </c>
      <c r="K320" s="620">
        <f t="shared" si="69"/>
        <v>12.230757644223528</v>
      </c>
      <c r="L320" s="620">
        <f t="shared" si="69"/>
        <v>0.73041168658698541</v>
      </c>
      <c r="M320" s="620">
        <f t="shared" si="69"/>
        <v>6.3684913217623498</v>
      </c>
      <c r="N320" s="630">
        <f>SUM(B320:M320)/12</f>
        <v>13.9058893986142</v>
      </c>
    </row>
    <row r="321" spans="1:14" ht="13.5" thickBot="1">
      <c r="A321" s="255" t="s">
        <v>88</v>
      </c>
      <c r="B321" s="636">
        <f t="shared" ref="B321:M321" si="70">SUM(B296-B307)*100/B307</f>
        <v>22.08058608058608</v>
      </c>
      <c r="C321" s="636">
        <f t="shared" si="70"/>
        <v>28.8387196536261</v>
      </c>
      <c r="D321" s="636">
        <f t="shared" si="70"/>
        <v>19.729846242276189</v>
      </c>
      <c r="E321" s="636">
        <f t="shared" si="70"/>
        <v>16.125435540069688</v>
      </c>
      <c r="F321" s="636">
        <f t="shared" si="70"/>
        <v>13.918512441892261</v>
      </c>
      <c r="G321" s="636">
        <f t="shared" si="70"/>
        <v>19.833165540054651</v>
      </c>
      <c r="H321" s="636">
        <f t="shared" si="70"/>
        <v>83.161134315234122</v>
      </c>
      <c r="I321" s="636">
        <f t="shared" si="70"/>
        <v>34.560723514211887</v>
      </c>
      <c r="J321" s="636">
        <f t="shared" si="70"/>
        <v>16.564073866815892</v>
      </c>
      <c r="K321" s="636">
        <f t="shared" si="70"/>
        <v>25.500828438017773</v>
      </c>
      <c r="L321" s="636">
        <f t="shared" si="70"/>
        <v>10.650730411686586</v>
      </c>
      <c r="M321" s="636">
        <f t="shared" si="70"/>
        <v>11.241655540720961</v>
      </c>
      <c r="N321" s="637">
        <f>SUM(B321:M321)/12</f>
        <v>25.183784298766014</v>
      </c>
    </row>
    <row r="322" spans="1:14">
      <c r="A322" s="243"/>
      <c r="B322" s="244"/>
      <c r="C322" s="244"/>
      <c r="D322" s="244"/>
      <c r="E322" s="244"/>
      <c r="F322" s="244"/>
      <c r="G322" s="244"/>
      <c r="H322" s="244"/>
      <c r="I322" s="244"/>
      <c r="J322" s="244"/>
      <c r="K322" s="244"/>
      <c r="L322" s="244"/>
      <c r="M322" s="244"/>
      <c r="N322" s="227"/>
    </row>
    <row r="323" spans="1:14">
      <c r="A323" s="258" t="s">
        <v>89</v>
      </c>
      <c r="B323" s="244"/>
      <c r="C323" s="244"/>
      <c r="D323" s="244"/>
      <c r="E323" s="244"/>
      <c r="F323" s="244"/>
      <c r="G323" s="244"/>
      <c r="H323" s="244"/>
      <c r="I323" s="244"/>
      <c r="J323" s="244"/>
      <c r="K323" s="244"/>
      <c r="L323" s="244"/>
      <c r="M323" s="244"/>
      <c r="N323" s="227"/>
    </row>
    <row r="324" spans="1:14">
      <c r="A324" s="231" t="s">
        <v>90</v>
      </c>
      <c r="B324" s="259">
        <v>13</v>
      </c>
      <c r="C324" s="259">
        <v>13</v>
      </c>
      <c r="D324" s="259">
        <v>13</v>
      </c>
      <c r="E324" s="259">
        <v>13</v>
      </c>
      <c r="F324" s="259">
        <v>13</v>
      </c>
      <c r="G324" s="259">
        <v>13</v>
      </c>
      <c r="H324" s="259">
        <v>13</v>
      </c>
      <c r="I324" s="259">
        <v>13</v>
      </c>
      <c r="J324" s="259">
        <f>I327</f>
        <v>13</v>
      </c>
      <c r="K324" s="259">
        <f>J327</f>
        <v>13</v>
      </c>
      <c r="L324" s="259">
        <f>K327</f>
        <v>13</v>
      </c>
      <c r="M324" s="259">
        <f>L327</f>
        <v>13</v>
      </c>
      <c r="N324" s="259">
        <f>M327</f>
        <v>13</v>
      </c>
    </row>
    <row r="325" spans="1:14">
      <c r="A325" s="231" t="s">
        <v>91</v>
      </c>
      <c r="B325" s="259"/>
      <c r="C325" s="259"/>
      <c r="D325" s="259"/>
      <c r="E325" s="259"/>
      <c r="F325" s="259"/>
      <c r="G325" s="259"/>
      <c r="H325" s="259"/>
      <c r="I325" s="259"/>
      <c r="J325" s="259"/>
      <c r="K325" s="259"/>
      <c r="L325" s="259"/>
      <c r="M325" s="259"/>
      <c r="N325" s="259">
        <f>SUM(B325:M325)/12</f>
        <v>0</v>
      </c>
    </row>
    <row r="326" spans="1:14">
      <c r="A326" s="231" t="s">
        <v>92</v>
      </c>
      <c r="B326" s="259"/>
      <c r="C326" s="259"/>
      <c r="D326" s="259"/>
      <c r="E326" s="259"/>
      <c r="F326" s="259"/>
      <c r="G326" s="259"/>
      <c r="H326" s="259"/>
      <c r="I326" s="259"/>
      <c r="J326" s="259"/>
      <c r="K326" s="259"/>
      <c r="L326" s="259"/>
      <c r="M326" s="259"/>
      <c r="N326" s="259">
        <f>SUM(B325:M325)/12</f>
        <v>0</v>
      </c>
    </row>
    <row r="327" spans="1:14">
      <c r="A327" s="231" t="s">
        <v>89</v>
      </c>
      <c r="B327" s="259">
        <f t="shared" ref="B327:M327" si="71">SUM(B324+B325-B326)</f>
        <v>13</v>
      </c>
      <c r="C327" s="259">
        <f t="shared" si="71"/>
        <v>13</v>
      </c>
      <c r="D327" s="259">
        <f t="shared" si="71"/>
        <v>13</v>
      </c>
      <c r="E327" s="259">
        <f t="shared" si="71"/>
        <v>13</v>
      </c>
      <c r="F327" s="259">
        <f t="shared" si="71"/>
        <v>13</v>
      </c>
      <c r="G327" s="259">
        <f t="shared" si="71"/>
        <v>13</v>
      </c>
      <c r="H327" s="259">
        <f t="shared" si="71"/>
        <v>13</v>
      </c>
      <c r="I327" s="259">
        <f t="shared" si="71"/>
        <v>13</v>
      </c>
      <c r="J327" s="259">
        <f t="shared" si="71"/>
        <v>13</v>
      </c>
      <c r="K327" s="259">
        <f t="shared" si="71"/>
        <v>13</v>
      </c>
      <c r="L327" s="259">
        <f t="shared" si="71"/>
        <v>13</v>
      </c>
      <c r="M327" s="259">
        <f t="shared" si="71"/>
        <v>13</v>
      </c>
      <c r="N327" s="259">
        <f>SUM(B326:M326)/12</f>
        <v>0</v>
      </c>
    </row>
    <row r="328" spans="1:14">
      <c r="A328" s="231" t="s">
        <v>93</v>
      </c>
      <c r="B328" s="260">
        <f t="shared" ref="B328:M328" si="72">SUM(B327*100)/B324-100</f>
        <v>0</v>
      </c>
      <c r="C328" s="260">
        <f t="shared" si="72"/>
        <v>0</v>
      </c>
      <c r="D328" s="260">
        <f t="shared" si="72"/>
        <v>0</v>
      </c>
      <c r="E328" s="260">
        <f t="shared" si="72"/>
        <v>0</v>
      </c>
      <c r="F328" s="260">
        <f t="shared" si="72"/>
        <v>0</v>
      </c>
      <c r="G328" s="260">
        <f t="shared" si="72"/>
        <v>0</v>
      </c>
      <c r="H328" s="260">
        <f t="shared" si="72"/>
        <v>0</v>
      </c>
      <c r="I328" s="260">
        <f t="shared" si="72"/>
        <v>0</v>
      </c>
      <c r="J328" s="260">
        <f t="shared" si="72"/>
        <v>0</v>
      </c>
      <c r="K328" s="260">
        <f t="shared" si="72"/>
        <v>0</v>
      </c>
      <c r="L328" s="260">
        <f t="shared" si="72"/>
        <v>0</v>
      </c>
      <c r="M328" s="260">
        <f t="shared" si="72"/>
        <v>0</v>
      </c>
      <c r="N328" s="259"/>
    </row>
    <row r="329" spans="1:14">
      <c r="A329" s="243" t="s">
        <v>94</v>
      </c>
      <c r="B329" s="261"/>
      <c r="C329" s="261"/>
      <c r="D329" s="262">
        <f>SUM(B328:D328/3)</f>
        <v>0</v>
      </c>
      <c r="E329" s="261"/>
      <c r="F329" s="261"/>
      <c r="G329" s="262">
        <f>SUM(E328:G328)/3</f>
        <v>0</v>
      </c>
      <c r="H329" s="261"/>
      <c r="I329" s="261"/>
      <c r="J329" s="262">
        <f>SUM(H328:J328)/3</f>
        <v>0</v>
      </c>
      <c r="K329" s="261"/>
      <c r="L329" s="261"/>
      <c r="M329" s="262">
        <f>SUM(K328:M328)/3</f>
        <v>0</v>
      </c>
      <c r="N329" s="261"/>
    </row>
    <row r="330" spans="1:14" ht="13.5" thickBot="1">
      <c r="A330" s="372"/>
      <c r="B330" s="373"/>
      <c r="C330" s="373"/>
      <c r="D330" s="373"/>
      <c r="E330" s="373"/>
      <c r="F330" s="373"/>
      <c r="G330" s="373"/>
      <c r="H330" s="373"/>
      <c r="I330" s="373"/>
      <c r="J330" s="373"/>
      <c r="K330" s="373"/>
      <c r="L330" s="373"/>
      <c r="M330" s="373"/>
      <c r="N330" s="374"/>
    </row>
    <row r="331" spans="1:14">
      <c r="A331" s="243"/>
      <c r="B331" s="244"/>
      <c r="C331" s="244"/>
      <c r="D331" s="244"/>
      <c r="E331" s="244"/>
      <c r="F331" s="244"/>
      <c r="G331" s="244"/>
      <c r="H331" s="244"/>
      <c r="I331" s="244"/>
      <c r="J331" s="244"/>
      <c r="K331" s="244"/>
      <c r="L331" s="244"/>
      <c r="M331" s="244"/>
      <c r="N331" s="227"/>
    </row>
    <row r="332" spans="1:14" ht="15.75">
      <c r="A332" s="403" t="s">
        <v>228</v>
      </c>
      <c r="B332" s="403"/>
      <c r="C332" s="403"/>
      <c r="D332" s="403"/>
      <c r="E332" s="403"/>
      <c r="F332" s="403"/>
      <c r="G332" s="403"/>
      <c r="H332" s="403"/>
      <c r="I332" s="403"/>
      <c r="J332" s="403"/>
      <c r="K332" s="403"/>
      <c r="L332" s="403"/>
      <c r="M332" s="403"/>
      <c r="N332" s="403"/>
    </row>
    <row r="333" spans="1:14" ht="15.75">
      <c r="E333" s="282"/>
      <c r="M333" s="244"/>
      <c r="N333" s="227"/>
    </row>
    <row r="334" spans="1:14">
      <c r="A334" s="376" t="s">
        <v>185</v>
      </c>
      <c r="B334" s="377"/>
      <c r="C334" s="378"/>
      <c r="D334" s="292" t="s">
        <v>186</v>
      </c>
      <c r="G334" s="299"/>
      <c r="K334" s="299"/>
      <c r="M334" s="244"/>
      <c r="N334" s="227"/>
    </row>
    <row r="335" spans="1:14">
      <c r="A335" s="379"/>
      <c r="B335" s="380"/>
      <c r="C335" s="381"/>
      <c r="D335" s="290"/>
      <c r="E335" s="291"/>
      <c r="G335" s="494"/>
      <c r="H335" s="494"/>
      <c r="I335" s="494"/>
      <c r="J335" s="494"/>
      <c r="K335" s="494"/>
      <c r="M335" s="244"/>
      <c r="N335" s="227"/>
    </row>
    <row r="336" spans="1:14" ht="13.5" thickBot="1">
      <c r="A336" s="387"/>
      <c r="C336" s="388"/>
      <c r="D336" s="290"/>
      <c r="E336" s="291"/>
      <c r="H336" s="404"/>
      <c r="K336" s="291"/>
      <c r="L336" s="320"/>
      <c r="M336" s="244"/>
      <c r="N336" s="227"/>
    </row>
    <row r="337" spans="1:14" ht="13.5" thickBot="1">
      <c r="A337" s="294" t="s">
        <v>167</v>
      </c>
      <c r="B337" s="296"/>
      <c r="C337" s="389"/>
      <c r="D337" s="488">
        <v>5649000</v>
      </c>
      <c r="E337" s="291"/>
      <c r="H337" s="404"/>
      <c r="K337" s="291"/>
      <c r="L337" s="320"/>
      <c r="M337" s="244"/>
      <c r="N337" s="227"/>
    </row>
    <row r="338" spans="1:14">
      <c r="A338" s="390" t="s">
        <v>168</v>
      </c>
      <c r="B338" s="391"/>
      <c r="C338" s="392"/>
      <c r="D338" s="393">
        <f>D337/12</f>
        <v>470750</v>
      </c>
      <c r="E338" s="291"/>
      <c r="K338" s="300"/>
      <c r="L338" s="320"/>
      <c r="M338" s="244"/>
      <c r="N338" s="227"/>
    </row>
    <row r="339" spans="1:14">
      <c r="C339" s="394"/>
      <c r="E339" s="291"/>
      <c r="J339" s="394"/>
      <c r="K339" s="300"/>
      <c r="L339" s="517"/>
      <c r="M339" s="244"/>
      <c r="N339" s="227"/>
    </row>
    <row r="340" spans="1:14">
      <c r="A340" s="258" t="s">
        <v>113</v>
      </c>
      <c r="B340" s="244"/>
      <c r="C340" s="244"/>
      <c r="D340" s="244"/>
      <c r="E340" s="244"/>
      <c r="F340" s="244"/>
      <c r="G340" s="244"/>
      <c r="H340" s="244"/>
      <c r="I340" s="244"/>
      <c r="J340" s="244"/>
      <c r="K340" s="244"/>
      <c r="L340" s="244"/>
      <c r="M340" s="244"/>
      <c r="N340" s="227"/>
    </row>
    <row r="341" spans="1:14">
      <c r="A341" s="328"/>
      <c r="B341" s="232" t="s">
        <v>44</v>
      </c>
      <c r="C341" s="232" t="s">
        <v>45</v>
      </c>
      <c r="D341" s="232" t="s">
        <v>46</v>
      </c>
      <c r="E341" s="232" t="s">
        <v>47</v>
      </c>
      <c r="F341" s="232" t="s">
        <v>48</v>
      </c>
      <c r="G341" s="232" t="s">
        <v>49</v>
      </c>
      <c r="H341" s="232" t="s">
        <v>38</v>
      </c>
      <c r="I341" s="232" t="s">
        <v>39</v>
      </c>
      <c r="J341" s="232" t="s">
        <v>40</v>
      </c>
      <c r="K341" s="232" t="s">
        <v>41</v>
      </c>
      <c r="L341" s="232" t="s">
        <v>42</v>
      </c>
      <c r="M341" s="232" t="s">
        <v>43</v>
      </c>
      <c r="N341" s="228"/>
    </row>
    <row r="342" spans="1:14">
      <c r="A342" s="231" t="s">
        <v>208</v>
      </c>
      <c r="B342" s="329">
        <f t="shared" ref="B342:M342" si="73">$D$338</f>
        <v>470750</v>
      </c>
      <c r="C342" s="329">
        <f t="shared" si="73"/>
        <v>470750</v>
      </c>
      <c r="D342" s="329">
        <f t="shared" si="73"/>
        <v>470750</v>
      </c>
      <c r="E342" s="329">
        <f t="shared" si="73"/>
        <v>470750</v>
      </c>
      <c r="F342" s="329">
        <f t="shared" si="73"/>
        <v>470750</v>
      </c>
      <c r="G342" s="329">
        <f t="shared" si="73"/>
        <v>470750</v>
      </c>
      <c r="H342" s="329">
        <f t="shared" si="73"/>
        <v>470750</v>
      </c>
      <c r="I342" s="329">
        <f t="shared" si="73"/>
        <v>470750</v>
      </c>
      <c r="J342" s="329">
        <f t="shared" si="73"/>
        <v>470750</v>
      </c>
      <c r="K342" s="329">
        <f t="shared" si="73"/>
        <v>470750</v>
      </c>
      <c r="L342" s="329">
        <f t="shared" si="73"/>
        <v>470750</v>
      </c>
      <c r="M342" s="329">
        <f t="shared" si="73"/>
        <v>470750</v>
      </c>
      <c r="N342" s="329">
        <f t="shared" ref="N342:N354" si="74">SUM(B342:M342)</f>
        <v>5649000</v>
      </c>
    </row>
    <row r="343" spans="1:14" ht="13.5" thickBot="1">
      <c r="A343" s="231"/>
      <c r="B343" s="329">
        <v>0</v>
      </c>
      <c r="C343" s="329">
        <v>0</v>
      </c>
      <c r="D343" s="329"/>
      <c r="E343" s="329"/>
      <c r="F343" s="329"/>
      <c r="G343" s="358"/>
      <c r="H343" s="329"/>
      <c r="I343" s="329"/>
      <c r="J343" s="329"/>
      <c r="K343" s="329"/>
      <c r="L343" s="329"/>
      <c r="M343" s="329"/>
      <c r="N343" s="329">
        <f t="shared" si="74"/>
        <v>0</v>
      </c>
    </row>
    <row r="344" spans="1:14" ht="13.5" thickBot="1">
      <c r="A344" s="333" t="s">
        <v>208</v>
      </c>
      <c r="B344" s="395">
        <f t="shared" ref="B344:M344" si="75">SUM(B342,B343)</f>
        <v>470750</v>
      </c>
      <c r="C344" s="395">
        <f t="shared" si="75"/>
        <v>470750</v>
      </c>
      <c r="D344" s="395">
        <f t="shared" si="75"/>
        <v>470750</v>
      </c>
      <c r="E344" s="395">
        <f t="shared" si="75"/>
        <v>470750</v>
      </c>
      <c r="F344" s="395">
        <f t="shared" si="75"/>
        <v>470750</v>
      </c>
      <c r="G344" s="395">
        <f t="shared" si="75"/>
        <v>470750</v>
      </c>
      <c r="H344" s="395">
        <f t="shared" si="75"/>
        <v>470750</v>
      </c>
      <c r="I344" s="395">
        <f t="shared" si="75"/>
        <v>470750</v>
      </c>
      <c r="J344" s="395">
        <f t="shared" si="75"/>
        <v>470750</v>
      </c>
      <c r="K344" s="395">
        <f t="shared" si="75"/>
        <v>470750</v>
      </c>
      <c r="L344" s="395">
        <f t="shared" si="75"/>
        <v>470750</v>
      </c>
      <c r="M344" s="395">
        <f t="shared" si="75"/>
        <v>470750</v>
      </c>
      <c r="N344" s="396">
        <f t="shared" si="74"/>
        <v>5649000</v>
      </c>
    </row>
    <row r="345" spans="1:14">
      <c r="A345" s="228" t="s">
        <v>209</v>
      </c>
      <c r="B345" s="330"/>
      <c r="C345" s="330"/>
      <c r="D345" s="330"/>
      <c r="E345" s="330"/>
      <c r="F345" s="330"/>
      <c r="G345" s="330"/>
      <c r="H345" s="330"/>
      <c r="I345" s="330"/>
      <c r="J345" s="330"/>
      <c r="K345" s="330"/>
      <c r="L345" s="330"/>
      <c r="M345" s="330"/>
      <c r="N345" s="330">
        <f t="shared" si="74"/>
        <v>0</v>
      </c>
    </row>
    <row r="346" spans="1:14">
      <c r="A346" s="349" t="s">
        <v>210</v>
      </c>
      <c r="B346" s="330">
        <v>10000</v>
      </c>
      <c r="C346" s="330">
        <v>10000</v>
      </c>
      <c r="D346" s="330">
        <v>45000</v>
      </c>
      <c r="E346" s="330">
        <v>10000</v>
      </c>
      <c r="F346" s="330">
        <v>5000</v>
      </c>
      <c r="G346" s="330">
        <v>10000</v>
      </c>
      <c r="H346" s="330">
        <v>10000</v>
      </c>
      <c r="I346" s="330">
        <v>25000</v>
      </c>
      <c r="J346" s="330">
        <v>20000</v>
      </c>
      <c r="K346" s="330"/>
      <c r="L346" s="330"/>
      <c r="M346" s="330">
        <v>5000</v>
      </c>
      <c r="N346" s="330">
        <f t="shared" si="74"/>
        <v>150000</v>
      </c>
    </row>
    <row r="347" spans="1:14">
      <c r="A347" s="349" t="s">
        <v>211</v>
      </c>
      <c r="B347" s="330">
        <v>102875</v>
      </c>
      <c r="C347" s="330">
        <v>2650</v>
      </c>
      <c r="D347" s="330">
        <v>49525</v>
      </c>
      <c r="E347" s="330">
        <v>36375</v>
      </c>
      <c r="F347" s="330">
        <v>93100</v>
      </c>
      <c r="G347" s="330">
        <v>53400</v>
      </c>
      <c r="H347" s="330"/>
      <c r="I347" s="330">
        <v>48600</v>
      </c>
      <c r="J347" s="330">
        <v>58625</v>
      </c>
      <c r="K347" s="330">
        <v>48425</v>
      </c>
      <c r="L347" s="330">
        <v>47950</v>
      </c>
      <c r="M347" s="330">
        <v>40125</v>
      </c>
      <c r="N347" s="330">
        <f t="shared" si="74"/>
        <v>581650</v>
      </c>
    </row>
    <row r="348" spans="1:14" ht="13.5" thickBot="1">
      <c r="A348" s="359" t="s">
        <v>208</v>
      </c>
      <c r="B348" s="344"/>
      <c r="C348" s="344"/>
      <c r="D348" s="344"/>
      <c r="E348" s="344"/>
      <c r="F348" s="344"/>
      <c r="G348" s="344"/>
      <c r="H348" s="344"/>
      <c r="I348" s="344"/>
      <c r="J348" s="344"/>
      <c r="K348" s="344"/>
      <c r="L348" s="344"/>
      <c r="M348" s="344"/>
      <c r="N348" s="330">
        <f t="shared" si="74"/>
        <v>0</v>
      </c>
    </row>
    <row r="349" spans="1:14" ht="13.5" thickBot="1">
      <c r="A349" s="360" t="s">
        <v>126</v>
      </c>
      <c r="B349" s="361">
        <f t="shared" ref="B349:M349" si="76">SUM(B345:B348)</f>
        <v>112875</v>
      </c>
      <c r="C349" s="361">
        <f t="shared" si="76"/>
        <v>12650</v>
      </c>
      <c r="D349" s="361">
        <f t="shared" si="76"/>
        <v>94525</v>
      </c>
      <c r="E349" s="361">
        <f t="shared" si="76"/>
        <v>46375</v>
      </c>
      <c r="F349" s="361">
        <f t="shared" si="76"/>
        <v>98100</v>
      </c>
      <c r="G349" s="361">
        <f t="shared" si="76"/>
        <v>63400</v>
      </c>
      <c r="H349" s="361">
        <f t="shared" si="76"/>
        <v>10000</v>
      </c>
      <c r="I349" s="361">
        <f t="shared" si="76"/>
        <v>73600</v>
      </c>
      <c r="J349" s="361">
        <f t="shared" si="76"/>
        <v>78625</v>
      </c>
      <c r="K349" s="361">
        <f t="shared" si="76"/>
        <v>48425</v>
      </c>
      <c r="L349" s="361">
        <f t="shared" si="76"/>
        <v>47950</v>
      </c>
      <c r="M349" s="361">
        <f t="shared" si="76"/>
        <v>45125</v>
      </c>
      <c r="N349" s="361">
        <f t="shared" si="74"/>
        <v>731650</v>
      </c>
    </row>
    <row r="350" spans="1:14">
      <c r="A350" s="228" t="s">
        <v>127</v>
      </c>
      <c r="B350" s="332"/>
      <c r="C350" s="332"/>
      <c r="D350" s="332"/>
      <c r="E350" s="332"/>
      <c r="F350" s="332"/>
      <c r="G350" s="398"/>
      <c r="H350" s="332"/>
      <c r="I350" s="332"/>
      <c r="J350" s="332"/>
      <c r="K350" s="332"/>
      <c r="L350" s="332"/>
      <c r="M350" s="332"/>
      <c r="N350" s="330">
        <f t="shared" si="74"/>
        <v>0</v>
      </c>
    </row>
    <row r="351" spans="1:14">
      <c r="A351" s="363" t="s">
        <v>129</v>
      </c>
      <c r="B351" s="405">
        <f t="shared" ref="B351:M351" si="77">SUM(B344+B349)</f>
        <v>583625</v>
      </c>
      <c r="C351" s="405">
        <f t="shared" si="77"/>
        <v>483400</v>
      </c>
      <c r="D351" s="405">
        <f t="shared" si="77"/>
        <v>565275</v>
      </c>
      <c r="E351" s="405">
        <f t="shared" si="77"/>
        <v>517125</v>
      </c>
      <c r="F351" s="405">
        <f t="shared" si="77"/>
        <v>568850</v>
      </c>
      <c r="G351" s="405">
        <f t="shared" si="77"/>
        <v>534150</v>
      </c>
      <c r="H351" s="405">
        <f t="shared" si="77"/>
        <v>480750</v>
      </c>
      <c r="I351" s="405">
        <f t="shared" si="77"/>
        <v>544350</v>
      </c>
      <c r="J351" s="405">
        <f t="shared" si="77"/>
        <v>549375</v>
      </c>
      <c r="K351" s="405">
        <f t="shared" si="77"/>
        <v>519175</v>
      </c>
      <c r="L351" s="405">
        <f t="shared" si="77"/>
        <v>518700</v>
      </c>
      <c r="M351" s="405">
        <f t="shared" si="77"/>
        <v>515875</v>
      </c>
      <c r="N351" s="405">
        <f t="shared" si="74"/>
        <v>6380650</v>
      </c>
    </row>
    <row r="352" spans="1:14">
      <c r="A352" s="400" t="s">
        <v>131</v>
      </c>
      <c r="B352" s="332">
        <v>471518</v>
      </c>
      <c r="C352" s="332">
        <v>495676</v>
      </c>
      <c r="D352" s="332">
        <v>480123</v>
      </c>
      <c r="E352" s="332">
        <v>563595</v>
      </c>
      <c r="F352" s="332">
        <v>493160</v>
      </c>
      <c r="G352" s="332">
        <v>250000</v>
      </c>
      <c r="H352" s="332">
        <v>776280</v>
      </c>
      <c r="I352" s="332">
        <v>475479</v>
      </c>
      <c r="J352" s="332">
        <v>500000</v>
      </c>
      <c r="K352" s="332">
        <v>500000</v>
      </c>
      <c r="L352" s="332">
        <v>500000</v>
      </c>
      <c r="M352" s="332">
        <v>500000</v>
      </c>
      <c r="N352" s="332">
        <f t="shared" si="74"/>
        <v>6005831</v>
      </c>
    </row>
    <row r="353" spans="1:14">
      <c r="A353" s="228" t="s">
        <v>130</v>
      </c>
      <c r="B353" s="329">
        <v>75000</v>
      </c>
      <c r="C353" s="329">
        <v>75000</v>
      </c>
      <c r="D353" s="329">
        <v>75000</v>
      </c>
      <c r="E353" s="329">
        <v>75000</v>
      </c>
      <c r="F353" s="329">
        <v>75000</v>
      </c>
      <c r="G353" s="329">
        <v>75000</v>
      </c>
      <c r="H353" s="329">
        <v>75000</v>
      </c>
      <c r="I353" s="329">
        <v>75000</v>
      </c>
      <c r="J353" s="329">
        <v>75000</v>
      </c>
      <c r="K353" s="329">
        <v>75000</v>
      </c>
      <c r="L353" s="329">
        <v>75000</v>
      </c>
      <c r="M353" s="329">
        <v>75000</v>
      </c>
      <c r="N353" s="332">
        <f t="shared" si="74"/>
        <v>900000</v>
      </c>
    </row>
    <row r="354" spans="1:14">
      <c r="A354" s="228" t="s">
        <v>212</v>
      </c>
      <c r="B354" s="329"/>
      <c r="C354" s="329"/>
      <c r="D354" s="329"/>
      <c r="E354" s="329"/>
      <c r="F354" s="329"/>
      <c r="G354" s="329"/>
      <c r="H354" s="329"/>
      <c r="I354" s="329"/>
      <c r="J354" s="329"/>
      <c r="K354" s="329"/>
      <c r="L354" s="329"/>
      <c r="M354" s="329"/>
      <c r="N354" s="332">
        <f t="shared" si="74"/>
        <v>0</v>
      </c>
    </row>
    <row r="355" spans="1:14">
      <c r="A355" s="367" t="s">
        <v>146</v>
      </c>
      <c r="B355" s="368">
        <f>B351-SUM(B352:B354)</f>
        <v>37107</v>
      </c>
      <c r="C355" s="368">
        <f t="shared" ref="C355:N355" si="78">C351-SUM(C352:C354)</f>
        <v>-87276</v>
      </c>
      <c r="D355" s="368">
        <f t="shared" si="78"/>
        <v>10152</v>
      </c>
      <c r="E355" s="368">
        <f t="shared" si="78"/>
        <v>-121470</v>
      </c>
      <c r="F355" s="368">
        <f t="shared" si="78"/>
        <v>690</v>
      </c>
      <c r="G355" s="368">
        <f t="shared" si="78"/>
        <v>209150</v>
      </c>
      <c r="H355" s="368">
        <f t="shared" si="78"/>
        <v>-370530</v>
      </c>
      <c r="I355" s="368">
        <f t="shared" si="78"/>
        <v>-6129</v>
      </c>
      <c r="J355" s="368">
        <f t="shared" si="78"/>
        <v>-25625</v>
      </c>
      <c r="K355" s="368">
        <f t="shared" si="78"/>
        <v>-55825</v>
      </c>
      <c r="L355" s="368">
        <f t="shared" si="78"/>
        <v>-56300</v>
      </c>
      <c r="M355" s="368">
        <f t="shared" si="78"/>
        <v>-59125</v>
      </c>
      <c r="N355" s="368">
        <f t="shared" si="78"/>
        <v>-525181</v>
      </c>
    </row>
    <row r="356" spans="1:14">
      <c r="A356" s="406"/>
      <c r="B356" s="407"/>
      <c r="C356" s="407"/>
      <c r="D356" s="407"/>
      <c r="E356" s="407"/>
      <c r="F356" s="407"/>
      <c r="G356" s="407"/>
      <c r="H356" s="407"/>
      <c r="I356" s="407"/>
      <c r="J356" s="407"/>
      <c r="K356" s="407"/>
      <c r="L356" s="407"/>
      <c r="M356" s="407"/>
      <c r="N356" s="407"/>
    </row>
    <row r="358" spans="1:14">
      <c r="A358" s="525" t="s">
        <v>213</v>
      </c>
      <c r="B358" s="226">
        <v>2405</v>
      </c>
    </row>
  </sheetData>
  <mergeCells count="7">
    <mergeCell ref="A1:N1"/>
    <mergeCell ref="A57:N57"/>
    <mergeCell ref="A131:N131"/>
    <mergeCell ref="A190:N190"/>
    <mergeCell ref="A293:N293"/>
    <mergeCell ref="I74:M74"/>
    <mergeCell ref="A275:N275"/>
  </mergeCells>
  <pageMargins left="0.19685039370078741" right="0" top="0.19685039370078741" bottom="0.19685039370078741" header="0.51181102362204722" footer="0.51181102362204722"/>
  <pageSetup paperSize="9" scale="12" orientation="landscape" horizontalDpi="4294967293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36">
    <tabColor indexed="39"/>
  </sheetPr>
  <dimension ref="A1:Q338"/>
  <sheetViews>
    <sheetView topLeftCell="A91" zoomScale="75" zoomScaleNormal="75" workbookViewId="0" xr3:uid="{FF0BDA26-1AD6-5648-BD9A-E01AA4DDCA7C}">
      <selection activeCell="Q127" sqref="Q127"/>
    </sheetView>
  </sheetViews>
  <sheetFormatPr defaultColWidth="9.140625" defaultRowHeight="12.75"/>
  <cols>
    <col min="1" max="1" width="23.85546875" style="226" customWidth="1"/>
    <col min="2" max="2" width="11.140625" style="226" customWidth="1"/>
    <col min="3" max="5" width="11.7109375" style="226" customWidth="1"/>
    <col min="6" max="6" width="12.28515625" style="226" customWidth="1"/>
    <col min="7" max="7" width="11.140625" style="226" bestFit="1" customWidth="1"/>
    <col min="8" max="8" width="12.28515625" style="226" customWidth="1"/>
    <col min="9" max="9" width="13" style="226" customWidth="1"/>
    <col min="10" max="10" width="12.5703125" style="226" customWidth="1"/>
    <col min="11" max="11" width="12.140625" style="226" customWidth="1"/>
    <col min="12" max="12" width="11.140625" style="226" customWidth="1"/>
    <col min="13" max="13" width="13.5703125" style="226" customWidth="1"/>
    <col min="14" max="14" width="15" style="226" customWidth="1"/>
    <col min="15" max="16384" width="9.140625" style="226"/>
  </cols>
  <sheetData>
    <row r="1" spans="1:14" ht="20.25">
      <c r="A1" s="822" t="s">
        <v>286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</row>
    <row r="2" spans="1:14">
      <c r="A2" s="227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</row>
    <row r="3" spans="1:14">
      <c r="A3" s="228"/>
      <c r="B3" s="229" t="s">
        <v>44</v>
      </c>
      <c r="C3" s="229" t="s">
        <v>45</v>
      </c>
      <c r="D3" s="230" t="s">
        <v>46</v>
      </c>
      <c r="E3" s="229" t="s">
        <v>47</v>
      </c>
      <c r="F3" s="229" t="s">
        <v>48</v>
      </c>
      <c r="G3" s="230" t="s">
        <v>49</v>
      </c>
      <c r="H3" s="229" t="s">
        <v>38</v>
      </c>
      <c r="I3" s="229" t="s">
        <v>39</v>
      </c>
      <c r="J3" s="229" t="s">
        <v>40</v>
      </c>
      <c r="K3" s="229" t="s">
        <v>41</v>
      </c>
      <c r="L3" s="229" t="s">
        <v>42</v>
      </c>
      <c r="M3" s="229" t="s">
        <v>43</v>
      </c>
      <c r="N3" s="228" t="s">
        <v>64</v>
      </c>
    </row>
    <row r="4" spans="1:14">
      <c r="A4" s="231" t="s">
        <v>65</v>
      </c>
      <c r="B4" s="232">
        <v>8818.15</v>
      </c>
      <c r="C4" s="232">
        <v>8497.49</v>
      </c>
      <c r="D4" s="232">
        <v>8818.15</v>
      </c>
      <c r="E4" s="232">
        <v>8818.15</v>
      </c>
      <c r="F4" s="232">
        <v>8978.48</v>
      </c>
      <c r="G4" s="232">
        <v>9138.81</v>
      </c>
      <c r="H4" s="232">
        <v>8978.48</v>
      </c>
      <c r="I4" s="232">
        <v>8978.48</v>
      </c>
      <c r="J4" s="232">
        <v>8657.82</v>
      </c>
      <c r="K4" s="232">
        <v>8818.15</v>
      </c>
      <c r="L4" s="232">
        <v>6894</v>
      </c>
      <c r="M4" s="232">
        <v>6894</v>
      </c>
      <c r="N4" s="232">
        <f t="shared" ref="N4:N16" si="0">SUM(B4:M4)</f>
        <v>102290.15999999997</v>
      </c>
    </row>
    <row r="5" spans="1:14">
      <c r="A5" s="231" t="s">
        <v>66</v>
      </c>
      <c r="B5" s="232">
        <v>87.25</v>
      </c>
      <c r="C5" s="232">
        <v>90</v>
      </c>
      <c r="D5" s="232">
        <v>67.75</v>
      </c>
      <c r="E5" s="232">
        <v>27</v>
      </c>
      <c r="F5" s="232">
        <v>12</v>
      </c>
      <c r="G5" s="233"/>
      <c r="H5" s="232"/>
      <c r="I5" s="232">
        <v>87.25</v>
      </c>
      <c r="J5" s="234">
        <v>38</v>
      </c>
      <c r="K5" s="232">
        <v>22.5</v>
      </c>
      <c r="L5" s="232">
        <v>50.5</v>
      </c>
      <c r="M5" s="232"/>
      <c r="N5" s="232">
        <f t="shared" si="0"/>
        <v>482.25</v>
      </c>
    </row>
    <row r="6" spans="1:14">
      <c r="A6" s="231" t="s">
        <v>67</v>
      </c>
      <c r="B6" s="232"/>
      <c r="C6" s="232"/>
      <c r="D6" s="232"/>
      <c r="E6" s="232"/>
      <c r="F6" s="232"/>
      <c r="G6" s="233"/>
      <c r="H6" s="232"/>
      <c r="I6" s="232"/>
      <c r="J6" s="232"/>
      <c r="K6" s="232"/>
      <c r="L6" s="232"/>
      <c r="M6" s="228"/>
      <c r="N6" s="232">
        <f t="shared" si="0"/>
        <v>0</v>
      </c>
    </row>
    <row r="7" spans="1:14">
      <c r="A7" s="231" t="s">
        <v>68</v>
      </c>
      <c r="B7" s="232">
        <v>4.25</v>
      </c>
      <c r="C7" s="232">
        <v>21.5</v>
      </c>
      <c r="D7" s="232">
        <v>17</v>
      </c>
      <c r="E7" s="232">
        <v>8.5</v>
      </c>
      <c r="F7" s="232">
        <v>14.25</v>
      </c>
      <c r="G7" s="233">
        <v>8.5</v>
      </c>
      <c r="H7" s="232"/>
      <c r="I7" s="232">
        <v>8.5</v>
      </c>
      <c r="J7" s="232">
        <v>22</v>
      </c>
      <c r="K7" s="232"/>
      <c r="L7" s="232">
        <v>28.25</v>
      </c>
      <c r="M7" s="228"/>
      <c r="N7" s="232">
        <f t="shared" si="0"/>
        <v>132.75</v>
      </c>
    </row>
    <row r="8" spans="1:14">
      <c r="A8" s="231" t="s">
        <v>69</v>
      </c>
      <c r="B8" s="232">
        <v>358</v>
      </c>
      <c r="C8" s="232">
        <v>464.75</v>
      </c>
      <c r="D8" s="232">
        <v>534.25</v>
      </c>
      <c r="E8" s="232">
        <v>826</v>
      </c>
      <c r="F8" s="232">
        <v>218.75</v>
      </c>
      <c r="G8" s="233">
        <v>876.5</v>
      </c>
      <c r="H8" s="232">
        <v>1539.25</v>
      </c>
      <c r="I8" s="232">
        <v>1624.75</v>
      </c>
      <c r="J8" s="232">
        <v>961</v>
      </c>
      <c r="K8" s="232">
        <v>620</v>
      </c>
      <c r="L8" s="232">
        <v>415</v>
      </c>
      <c r="M8" s="232"/>
      <c r="N8" s="232">
        <f t="shared" si="0"/>
        <v>8438.25</v>
      </c>
    </row>
    <row r="9" spans="1:14">
      <c r="A9" s="231" t="s">
        <v>70</v>
      </c>
      <c r="B9" s="232"/>
      <c r="C9" s="232">
        <v>22.5</v>
      </c>
      <c r="D9" s="232">
        <v>152.25</v>
      </c>
      <c r="E9" s="232">
        <v>159</v>
      </c>
      <c r="F9" s="232">
        <v>18</v>
      </c>
      <c r="G9" s="233">
        <v>32.5</v>
      </c>
      <c r="H9" s="232">
        <v>37</v>
      </c>
      <c r="I9" s="232">
        <v>21</v>
      </c>
      <c r="J9" s="232"/>
      <c r="K9" s="232">
        <v>19.75</v>
      </c>
      <c r="L9" s="232">
        <v>6</v>
      </c>
      <c r="M9" s="232"/>
      <c r="N9" s="232">
        <f t="shared" si="0"/>
        <v>468</v>
      </c>
    </row>
    <row r="10" spans="1:14">
      <c r="A10" s="231" t="s">
        <v>71</v>
      </c>
      <c r="B10" s="232">
        <v>354</v>
      </c>
      <c r="C10" s="232">
        <v>304.5</v>
      </c>
      <c r="D10" s="232">
        <v>291.75</v>
      </c>
      <c r="E10" s="232">
        <v>331.75</v>
      </c>
      <c r="F10" s="232">
        <v>97</v>
      </c>
      <c r="G10" s="233">
        <v>161.25</v>
      </c>
      <c r="H10" s="232">
        <v>67.5</v>
      </c>
      <c r="I10" s="232">
        <v>152.5</v>
      </c>
      <c r="J10" s="232">
        <v>208</v>
      </c>
      <c r="K10" s="232">
        <v>233.5</v>
      </c>
      <c r="L10" s="232">
        <v>330</v>
      </c>
      <c r="M10" s="232"/>
      <c r="N10" s="232">
        <f t="shared" si="0"/>
        <v>2531.75</v>
      </c>
    </row>
    <row r="11" spans="1:14">
      <c r="A11" s="231" t="s">
        <v>72</v>
      </c>
      <c r="B11" s="232"/>
      <c r="C11" s="232"/>
      <c r="D11" s="232"/>
      <c r="E11" s="232"/>
      <c r="F11" s="232"/>
      <c r="G11" s="233"/>
      <c r="H11" s="232"/>
      <c r="I11" s="232"/>
      <c r="J11" s="232"/>
      <c r="K11" s="232"/>
      <c r="L11" s="232"/>
      <c r="M11" s="232"/>
      <c r="N11" s="232">
        <f t="shared" si="0"/>
        <v>0</v>
      </c>
    </row>
    <row r="12" spans="1:14">
      <c r="A12" s="231" t="s">
        <v>73</v>
      </c>
      <c r="B12" s="232">
        <v>394.25</v>
      </c>
      <c r="C12" s="232">
        <v>222.5</v>
      </c>
      <c r="D12" s="232">
        <v>235.25</v>
      </c>
      <c r="E12" s="232">
        <v>273</v>
      </c>
      <c r="F12" s="232">
        <v>401.25</v>
      </c>
      <c r="G12" s="233">
        <v>398</v>
      </c>
      <c r="H12" s="232">
        <v>141.75</v>
      </c>
      <c r="I12" s="232">
        <v>269</v>
      </c>
      <c r="J12" s="232">
        <v>370.75</v>
      </c>
      <c r="K12" s="232">
        <v>576.75</v>
      </c>
      <c r="L12" s="232">
        <v>683</v>
      </c>
      <c r="M12" s="232"/>
      <c r="N12" s="232">
        <f t="shared" si="0"/>
        <v>3965.5</v>
      </c>
    </row>
    <row r="13" spans="1:14">
      <c r="A13" s="231" t="s">
        <v>74</v>
      </c>
      <c r="B13" s="232">
        <v>328.75</v>
      </c>
      <c r="C13" s="232">
        <v>179</v>
      </c>
      <c r="D13" s="232">
        <v>179</v>
      </c>
      <c r="E13" s="232">
        <v>171.5</v>
      </c>
      <c r="F13" s="232">
        <v>307</v>
      </c>
      <c r="G13" s="233">
        <v>294.5</v>
      </c>
      <c r="H13" s="232">
        <v>375</v>
      </c>
      <c r="I13" s="232">
        <v>229.5</v>
      </c>
      <c r="J13" s="232">
        <v>146</v>
      </c>
      <c r="K13" s="232">
        <v>177.75</v>
      </c>
      <c r="L13" s="232">
        <v>139.5</v>
      </c>
      <c r="M13" s="232"/>
      <c r="N13" s="232">
        <f t="shared" si="0"/>
        <v>2527.5</v>
      </c>
    </row>
    <row r="14" spans="1:14">
      <c r="A14" s="231" t="s">
        <v>75</v>
      </c>
      <c r="B14" s="232">
        <v>81</v>
      </c>
      <c r="C14" s="232">
        <v>153.75</v>
      </c>
      <c r="D14" s="232">
        <v>79</v>
      </c>
      <c r="E14" s="232">
        <v>135.25</v>
      </c>
      <c r="F14" s="232">
        <v>417</v>
      </c>
      <c r="G14" s="233">
        <v>111.5</v>
      </c>
      <c r="H14" s="232"/>
      <c r="I14" s="232">
        <v>35.75</v>
      </c>
      <c r="J14" s="232">
        <v>129.75</v>
      </c>
      <c r="K14" s="232">
        <v>128.5</v>
      </c>
      <c r="L14" s="232">
        <v>314.25</v>
      </c>
      <c r="M14" s="232"/>
      <c r="N14" s="232">
        <f t="shared" si="0"/>
        <v>1585.75</v>
      </c>
    </row>
    <row r="15" spans="1:14" ht="13.5" thickBot="1">
      <c r="A15" s="235" t="s">
        <v>76</v>
      </c>
      <c r="B15" s="236"/>
      <c r="C15" s="236">
        <v>29.5</v>
      </c>
      <c r="D15" s="236"/>
      <c r="E15" s="236"/>
      <c r="F15" s="236"/>
      <c r="G15" s="237"/>
      <c r="H15" s="236"/>
      <c r="I15" s="236">
        <v>14.75</v>
      </c>
      <c r="J15" s="236"/>
      <c r="K15" s="236"/>
      <c r="L15" s="236"/>
      <c r="M15" s="236"/>
      <c r="N15" s="238">
        <f t="shared" si="0"/>
        <v>44.25</v>
      </c>
    </row>
    <row r="16" spans="1:14" ht="13.5" thickBot="1">
      <c r="A16" s="239" t="s">
        <v>77</v>
      </c>
      <c r="B16" s="240">
        <f>SUM(B4+B5+B6-B7-B8-B9-B10-B12-B13-B14-B15)</f>
        <v>7385.15</v>
      </c>
      <c r="C16" s="240">
        <f t="shared" ref="C16:M16" si="1">SUM(C4+C5+C6+C7-C8-C9-C10-C12-C13-C14-C15)</f>
        <v>7232.49</v>
      </c>
      <c r="D16" s="240">
        <f t="shared" si="1"/>
        <v>7431.4</v>
      </c>
      <c r="E16" s="240">
        <f t="shared" si="1"/>
        <v>6957.15</v>
      </c>
      <c r="F16" s="240">
        <f t="shared" si="1"/>
        <v>7545.73</v>
      </c>
      <c r="G16" s="240">
        <f t="shared" si="1"/>
        <v>7273.0599999999995</v>
      </c>
      <c r="H16" s="240">
        <f t="shared" si="1"/>
        <v>6817.98</v>
      </c>
      <c r="I16" s="240">
        <f t="shared" si="1"/>
        <v>6726.98</v>
      </c>
      <c r="J16" s="240">
        <f t="shared" si="1"/>
        <v>6902.32</v>
      </c>
      <c r="K16" s="240">
        <f t="shared" si="1"/>
        <v>7084.4</v>
      </c>
      <c r="L16" s="240">
        <f t="shared" si="1"/>
        <v>5085</v>
      </c>
      <c r="M16" s="241">
        <f t="shared" si="1"/>
        <v>6894</v>
      </c>
      <c r="N16" s="242">
        <f t="shared" si="0"/>
        <v>83335.659999999989</v>
      </c>
    </row>
    <row r="17" spans="1:14">
      <c r="A17" s="243"/>
      <c r="B17" s="244"/>
      <c r="C17" s="244"/>
      <c r="D17" s="244"/>
      <c r="E17" s="244"/>
      <c r="F17" s="244"/>
      <c r="G17" s="244"/>
      <c r="H17" s="244"/>
      <c r="I17" s="244"/>
      <c r="J17" s="244"/>
      <c r="K17" s="244"/>
      <c r="L17" s="244"/>
      <c r="M17" s="244"/>
      <c r="N17" s="244"/>
    </row>
    <row r="18" spans="1:14">
      <c r="A18" s="243"/>
      <c r="B18" s="244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5" t="s">
        <v>78</v>
      </c>
    </row>
    <row r="19" spans="1:14">
      <c r="A19" s="231" t="s">
        <v>79</v>
      </c>
      <c r="B19" s="232">
        <f t="shared" ref="B19:M19" si="2">SUM(B5*100/B16)</f>
        <v>1.181424886427493</v>
      </c>
      <c r="C19" s="232">
        <f t="shared" si="2"/>
        <v>1.2443847139781736</v>
      </c>
      <c r="D19" s="232">
        <f t="shared" si="2"/>
        <v>0.91167209408725147</v>
      </c>
      <c r="E19" s="232">
        <f t="shared" si="2"/>
        <v>0.38808995062633406</v>
      </c>
      <c r="F19" s="232">
        <f t="shared" si="2"/>
        <v>0.15903033901292521</v>
      </c>
      <c r="G19" s="232">
        <f t="shared" si="2"/>
        <v>0</v>
      </c>
      <c r="H19" s="232">
        <f t="shared" si="2"/>
        <v>0</v>
      </c>
      <c r="I19" s="232">
        <f t="shared" si="2"/>
        <v>1.2970158971782286</v>
      </c>
      <c r="J19" s="232">
        <f t="shared" si="2"/>
        <v>0.55053952873816348</v>
      </c>
      <c r="K19" s="232">
        <f t="shared" si="2"/>
        <v>0.31759923211563434</v>
      </c>
      <c r="L19" s="232">
        <f t="shared" si="2"/>
        <v>0.99311701081612591</v>
      </c>
      <c r="M19" s="232">
        <f t="shared" si="2"/>
        <v>0</v>
      </c>
      <c r="N19" s="246">
        <f>SUM(B19:M19)/12</f>
        <v>0.58690613774836076</v>
      </c>
    </row>
    <row r="20" spans="1:14">
      <c r="A20" s="243"/>
      <c r="B20" s="244"/>
      <c r="C20" s="244"/>
      <c r="D20" s="244"/>
      <c r="E20" s="244"/>
      <c r="F20" s="244"/>
      <c r="G20" s="244"/>
      <c r="H20" s="244"/>
      <c r="I20" s="244"/>
      <c r="J20" s="244"/>
      <c r="K20" s="244"/>
      <c r="L20" s="244"/>
      <c r="M20" s="244"/>
      <c r="N20" s="227"/>
    </row>
    <row r="21" spans="1:14">
      <c r="A21" s="231" t="s">
        <v>80</v>
      </c>
      <c r="B21" s="232">
        <f t="shared" ref="B21:M21" si="3">SUM(B10*100/B16)</f>
        <v>4.7934029775969345</v>
      </c>
      <c r="C21" s="232">
        <f t="shared" si="3"/>
        <v>4.2101682822928206</v>
      </c>
      <c r="D21" s="232">
        <f t="shared" si="3"/>
        <v>3.9259089808111529</v>
      </c>
      <c r="E21" s="232">
        <f t="shared" si="3"/>
        <v>4.768475597047642</v>
      </c>
      <c r="F21" s="232">
        <f t="shared" si="3"/>
        <v>1.2854952403544786</v>
      </c>
      <c r="G21" s="232">
        <f t="shared" si="3"/>
        <v>2.217086068312375</v>
      </c>
      <c r="H21" s="232">
        <f t="shared" si="3"/>
        <v>0.99002930486742413</v>
      </c>
      <c r="I21" s="232">
        <f t="shared" si="3"/>
        <v>2.2669905366152419</v>
      </c>
      <c r="J21" s="232">
        <f t="shared" si="3"/>
        <v>3.013479525724684</v>
      </c>
      <c r="K21" s="232">
        <f t="shared" si="3"/>
        <v>3.2959742532889167</v>
      </c>
      <c r="L21" s="232">
        <f t="shared" si="3"/>
        <v>6.4896755162241888</v>
      </c>
      <c r="M21" s="232">
        <f t="shared" si="3"/>
        <v>0</v>
      </c>
      <c r="N21" s="246">
        <f>SUM(B21:M21)/12</f>
        <v>3.1047238569279885</v>
      </c>
    </row>
    <row r="22" spans="1:14" ht="13.5" thickBot="1">
      <c r="A22" s="247" t="s">
        <v>81</v>
      </c>
      <c r="B22" s="238">
        <f t="shared" ref="B22:M22" si="4">SUM(B11*100/B16)</f>
        <v>0</v>
      </c>
      <c r="C22" s="238">
        <f t="shared" si="4"/>
        <v>0</v>
      </c>
      <c r="D22" s="238">
        <f t="shared" si="4"/>
        <v>0</v>
      </c>
      <c r="E22" s="238">
        <f t="shared" si="4"/>
        <v>0</v>
      </c>
      <c r="F22" s="238">
        <f t="shared" si="4"/>
        <v>0</v>
      </c>
      <c r="G22" s="238">
        <f t="shared" si="4"/>
        <v>0</v>
      </c>
      <c r="H22" s="238">
        <f t="shared" si="4"/>
        <v>0</v>
      </c>
      <c r="I22" s="238">
        <f t="shared" si="4"/>
        <v>0</v>
      </c>
      <c r="J22" s="238">
        <f t="shared" si="4"/>
        <v>0</v>
      </c>
      <c r="K22" s="238">
        <f t="shared" si="4"/>
        <v>0</v>
      </c>
      <c r="L22" s="238">
        <f t="shared" si="4"/>
        <v>0</v>
      </c>
      <c r="M22" s="238">
        <f t="shared" si="4"/>
        <v>0</v>
      </c>
      <c r="N22" s="248">
        <f>SUM(B22:M22)/12</f>
        <v>0</v>
      </c>
    </row>
    <row r="23" spans="1:14" ht="13.5" thickBot="1">
      <c r="A23" s="249" t="s">
        <v>82</v>
      </c>
      <c r="B23" s="250">
        <f t="shared" ref="B23:M23" si="5">SUM(B21:B21)</f>
        <v>4.7934029775969345</v>
      </c>
      <c r="C23" s="250">
        <f t="shared" si="5"/>
        <v>4.2101682822928206</v>
      </c>
      <c r="D23" s="250">
        <f t="shared" si="5"/>
        <v>3.9259089808111529</v>
      </c>
      <c r="E23" s="250">
        <f t="shared" si="5"/>
        <v>4.768475597047642</v>
      </c>
      <c r="F23" s="250">
        <f t="shared" si="5"/>
        <v>1.2854952403544786</v>
      </c>
      <c r="G23" s="250">
        <f t="shared" si="5"/>
        <v>2.217086068312375</v>
      </c>
      <c r="H23" s="250">
        <f t="shared" si="5"/>
        <v>0.99002930486742413</v>
      </c>
      <c r="I23" s="250">
        <f t="shared" si="5"/>
        <v>2.2669905366152419</v>
      </c>
      <c r="J23" s="250">
        <f t="shared" si="5"/>
        <v>3.013479525724684</v>
      </c>
      <c r="K23" s="250">
        <f t="shared" si="5"/>
        <v>3.2959742532889167</v>
      </c>
      <c r="L23" s="250">
        <f t="shared" si="5"/>
        <v>6.4896755162241888</v>
      </c>
      <c r="M23" s="250">
        <f t="shared" si="5"/>
        <v>0</v>
      </c>
      <c r="N23" s="251">
        <f>SUM(N21:N22)</f>
        <v>3.1047238569279885</v>
      </c>
    </row>
    <row r="24" spans="1:14">
      <c r="A24" s="243" t="s">
        <v>83</v>
      </c>
      <c r="B24" s="244"/>
      <c r="C24" s="244"/>
      <c r="D24" s="252">
        <f>SUM(B23:D23)/3</f>
        <v>4.3098267469003027</v>
      </c>
      <c r="E24" s="244"/>
      <c r="F24" s="244"/>
      <c r="G24" s="252">
        <f>SUM(E23,F23,G23)/3</f>
        <v>2.7570189685714985</v>
      </c>
      <c r="H24" s="244"/>
      <c r="I24" s="244"/>
      <c r="J24" s="252">
        <f>SUM(H23,I23,J23)/3</f>
        <v>2.0901664557357833</v>
      </c>
      <c r="K24" s="244"/>
      <c r="L24" s="244"/>
      <c r="M24" s="252">
        <f>SUM(K23,L23,M23)/3</f>
        <v>3.2618832565043685</v>
      </c>
      <c r="N24" s="253">
        <f>SUM(D24:M24)/4</f>
        <v>3.1047238569279885</v>
      </c>
    </row>
    <row r="25" spans="1:14">
      <c r="A25" s="243" t="s">
        <v>84</v>
      </c>
      <c r="B25" s="244"/>
      <c r="C25" s="244"/>
      <c r="D25" s="254"/>
      <c r="E25" s="244"/>
      <c r="F25" s="244"/>
      <c r="G25" s="254"/>
      <c r="H25" s="244"/>
      <c r="I25" s="244"/>
      <c r="J25" s="254"/>
      <c r="K25" s="244"/>
      <c r="L25" s="244"/>
      <c r="M25" s="254"/>
      <c r="N25" s="246">
        <f>SUM(D25:G25,J25,M25)/4</f>
        <v>0</v>
      </c>
    </row>
    <row r="26" spans="1:14">
      <c r="A26" s="243"/>
      <c r="B26" s="244"/>
      <c r="C26" s="244"/>
      <c r="D26" s="244"/>
      <c r="E26" s="244"/>
      <c r="F26" s="244"/>
      <c r="G26" s="244"/>
      <c r="H26" s="244"/>
      <c r="I26" s="244"/>
      <c r="J26" s="244"/>
      <c r="K26" s="244"/>
      <c r="L26" s="244"/>
      <c r="M26" s="244"/>
      <c r="N26" s="244"/>
    </row>
    <row r="27" spans="1:14">
      <c r="A27" s="231" t="s">
        <v>85</v>
      </c>
      <c r="B27" s="232">
        <f t="shared" ref="B27:M27" si="6">B14*100/B16</f>
        <v>1.0967955965687901</v>
      </c>
      <c r="C27" s="232">
        <f t="shared" si="6"/>
        <v>2.1258238863793797</v>
      </c>
      <c r="D27" s="232">
        <f t="shared" si="6"/>
        <v>1.0630567591570903</v>
      </c>
      <c r="E27" s="232">
        <f t="shared" si="6"/>
        <v>1.9440431786004329</v>
      </c>
      <c r="F27" s="232">
        <f t="shared" si="6"/>
        <v>5.5263042806991507</v>
      </c>
      <c r="G27" s="232">
        <f t="shared" si="6"/>
        <v>1.5330548627400298</v>
      </c>
      <c r="H27" s="232">
        <f t="shared" si="6"/>
        <v>0</v>
      </c>
      <c r="I27" s="232">
        <f t="shared" si="6"/>
        <v>0.5314420438294748</v>
      </c>
      <c r="J27" s="232">
        <f t="shared" si="6"/>
        <v>1.8798027329941238</v>
      </c>
      <c r="K27" s="232">
        <f t="shared" si="6"/>
        <v>1.8138445034159563</v>
      </c>
      <c r="L27" s="232">
        <f t="shared" si="6"/>
        <v>6.1799410029498523</v>
      </c>
      <c r="M27" s="232">
        <f t="shared" si="6"/>
        <v>0</v>
      </c>
      <c r="N27" s="246">
        <f>SUM(B27:M27)/12</f>
        <v>1.9745090706111901</v>
      </c>
    </row>
    <row r="28" spans="1:14">
      <c r="A28" s="231" t="s">
        <v>86</v>
      </c>
      <c r="B28" s="232">
        <f t="shared" ref="B28:M28" si="7">B12*100/B16</f>
        <v>5.3384156042869817</v>
      </c>
      <c r="C28" s="232">
        <f t="shared" si="7"/>
        <v>3.0763955428904848</v>
      </c>
      <c r="D28" s="232">
        <f t="shared" si="7"/>
        <v>3.1656215517937403</v>
      </c>
      <c r="E28" s="232">
        <f t="shared" si="7"/>
        <v>3.9240206118884888</v>
      </c>
      <c r="F28" s="232">
        <f t="shared" si="7"/>
        <v>5.3175769607446863</v>
      </c>
      <c r="G28" s="232">
        <f t="shared" si="7"/>
        <v>5.4722496445787607</v>
      </c>
      <c r="H28" s="232">
        <f t="shared" si="7"/>
        <v>2.0790615402215908</v>
      </c>
      <c r="I28" s="232">
        <f t="shared" si="7"/>
        <v>3.9988226514721319</v>
      </c>
      <c r="J28" s="232">
        <f t="shared" si="7"/>
        <v>5.3713823757808967</v>
      </c>
      <c r="K28" s="232">
        <f t="shared" si="7"/>
        <v>8.1411269832307607</v>
      </c>
      <c r="L28" s="232">
        <f t="shared" si="7"/>
        <v>13.431661750245821</v>
      </c>
      <c r="M28" s="232">
        <f t="shared" si="7"/>
        <v>0</v>
      </c>
      <c r="N28" s="246">
        <f>SUM(B28:M28)/12</f>
        <v>4.9430279347611963</v>
      </c>
    </row>
    <row r="29" spans="1:14" ht="13.5" thickBot="1">
      <c r="A29" s="231" t="s">
        <v>87</v>
      </c>
      <c r="B29" s="232">
        <f t="shared" ref="B29:M29" si="8">B8*100/B16</f>
        <v>4.8475657231065048</v>
      </c>
      <c r="C29" s="232">
        <f t="shared" si="8"/>
        <v>6.4258643980150687</v>
      </c>
      <c r="D29" s="232">
        <f t="shared" si="8"/>
        <v>7.1890895389832332</v>
      </c>
      <c r="E29" s="232">
        <f t="shared" si="8"/>
        <v>11.872677748790814</v>
      </c>
      <c r="F29" s="232">
        <f t="shared" si="8"/>
        <v>2.8989905549231154</v>
      </c>
      <c r="G29" s="232">
        <f t="shared" si="8"/>
        <v>12.051323651942925</v>
      </c>
      <c r="H29" s="232">
        <f t="shared" si="8"/>
        <v>22.576334926180483</v>
      </c>
      <c r="I29" s="232">
        <f t="shared" si="8"/>
        <v>24.15274015977452</v>
      </c>
      <c r="J29" s="232">
        <f t="shared" si="8"/>
        <v>13.922854924141449</v>
      </c>
      <c r="K29" s="232">
        <f t="shared" si="8"/>
        <v>8.7516232849641469</v>
      </c>
      <c r="L29" s="232">
        <f t="shared" si="8"/>
        <v>8.1612586037364796</v>
      </c>
      <c r="M29" s="232">
        <f t="shared" si="8"/>
        <v>0</v>
      </c>
      <c r="N29" s="246">
        <f>SUM(B29:M29)/12</f>
        <v>10.237526959546562</v>
      </c>
    </row>
    <row r="30" spans="1:14" ht="13.5" thickBot="1">
      <c r="A30" s="255" t="s">
        <v>88</v>
      </c>
      <c r="B30" s="256">
        <f t="shared" ref="B30:M30" si="9">SUM(B4-B16)*100/B16</f>
        <v>19.403803578803412</v>
      </c>
      <c r="C30" s="256">
        <f t="shared" si="9"/>
        <v>17.490518479804329</v>
      </c>
      <c r="D30" s="256">
        <f t="shared" si="9"/>
        <v>18.660683047608796</v>
      </c>
      <c r="E30" s="256">
        <f t="shared" si="9"/>
        <v>26.749459189466954</v>
      </c>
      <c r="F30" s="256">
        <f t="shared" si="9"/>
        <v>18.987559851730715</v>
      </c>
      <c r="G30" s="256">
        <f t="shared" si="9"/>
        <v>25.652888880333727</v>
      </c>
      <c r="H30" s="256">
        <f t="shared" si="9"/>
        <v>31.688271306163998</v>
      </c>
      <c r="I30" s="256">
        <f t="shared" si="9"/>
        <v>33.469699627470277</v>
      </c>
      <c r="J30" s="256">
        <f t="shared" si="9"/>
        <v>25.43347743946963</v>
      </c>
      <c r="K30" s="256">
        <f t="shared" si="9"/>
        <v>24.472785274688047</v>
      </c>
      <c r="L30" s="256">
        <f t="shared" si="9"/>
        <v>35.575221238938056</v>
      </c>
      <c r="M30" s="256">
        <f t="shared" si="9"/>
        <v>0</v>
      </c>
      <c r="N30" s="257">
        <f>SUM(B30:M30)/12</f>
        <v>23.132030659539826</v>
      </c>
    </row>
    <row r="31" spans="1:14">
      <c r="A31" s="243"/>
      <c r="B31" s="244"/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27"/>
    </row>
    <row r="32" spans="1:14">
      <c r="A32" s="258" t="s">
        <v>89</v>
      </c>
      <c r="B32" s="244"/>
      <c r="C32" s="244"/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27"/>
    </row>
    <row r="33" spans="1:14">
      <c r="A33" s="231" t="s">
        <v>90</v>
      </c>
      <c r="B33" s="259">
        <v>55</v>
      </c>
      <c r="C33" s="259">
        <v>53</v>
      </c>
      <c r="D33" s="259">
        <v>55</v>
      </c>
      <c r="E33" s="259">
        <v>55</v>
      </c>
      <c r="F33" s="259">
        <v>56</v>
      </c>
      <c r="G33" s="259">
        <v>57</v>
      </c>
      <c r="H33" s="259">
        <v>56</v>
      </c>
      <c r="I33" s="259">
        <v>56</v>
      </c>
      <c r="J33" s="259">
        <v>54</v>
      </c>
      <c r="K33" s="259">
        <v>55</v>
      </c>
      <c r="L33" s="259">
        <v>43</v>
      </c>
      <c r="M33" s="259">
        <v>43</v>
      </c>
      <c r="N33" s="259">
        <v>43</v>
      </c>
    </row>
    <row r="34" spans="1:14">
      <c r="A34" s="231" t="s">
        <v>91</v>
      </c>
      <c r="B34" s="259"/>
      <c r="C34" s="259"/>
      <c r="D34" s="259"/>
      <c r="E34" s="259"/>
      <c r="F34" s="259"/>
      <c r="G34" s="259"/>
      <c r="H34" s="259"/>
      <c r="I34" s="259"/>
      <c r="J34" s="259"/>
      <c r="K34" s="259"/>
      <c r="L34" s="259"/>
      <c r="M34" s="259"/>
      <c r="N34" s="259"/>
    </row>
    <row r="35" spans="1:14">
      <c r="A35" s="231" t="s">
        <v>92</v>
      </c>
      <c r="B35" s="259"/>
      <c r="C35" s="259"/>
      <c r="D35" s="259"/>
      <c r="E35" s="259"/>
      <c r="F35" s="259"/>
      <c r="G35" s="259"/>
      <c r="H35" s="259"/>
      <c r="I35" s="259"/>
      <c r="J35" s="259"/>
      <c r="K35" s="259"/>
      <c r="L35" s="259"/>
      <c r="M35" s="259"/>
      <c r="N35" s="259"/>
    </row>
    <row r="36" spans="1:14">
      <c r="A36" s="231" t="s">
        <v>89</v>
      </c>
      <c r="B36" s="259"/>
      <c r="C36" s="259"/>
      <c r="D36" s="259"/>
      <c r="E36" s="259"/>
      <c r="F36" s="259"/>
      <c r="G36" s="259"/>
      <c r="H36" s="259"/>
      <c r="I36" s="259"/>
      <c r="J36" s="259"/>
      <c r="K36" s="259"/>
      <c r="L36" s="259"/>
      <c r="M36" s="259"/>
      <c r="N36" s="259"/>
    </row>
    <row r="37" spans="1:14">
      <c r="A37" s="231" t="s">
        <v>93</v>
      </c>
      <c r="B37" s="260">
        <f t="shared" ref="B37:M37" si="10">SUM(B36*100)/B33-100</f>
        <v>-100</v>
      </c>
      <c r="C37" s="260">
        <f t="shared" si="10"/>
        <v>-100</v>
      </c>
      <c r="D37" s="260">
        <f t="shared" si="10"/>
        <v>-100</v>
      </c>
      <c r="E37" s="260">
        <f t="shared" si="10"/>
        <v>-100</v>
      </c>
      <c r="F37" s="260">
        <f t="shared" si="10"/>
        <v>-100</v>
      </c>
      <c r="G37" s="260">
        <f t="shared" si="10"/>
        <v>-100</v>
      </c>
      <c r="H37" s="260">
        <f t="shared" si="10"/>
        <v>-100</v>
      </c>
      <c r="I37" s="260">
        <f t="shared" si="10"/>
        <v>-100</v>
      </c>
      <c r="J37" s="260">
        <f t="shared" si="10"/>
        <v>-100</v>
      </c>
      <c r="K37" s="260">
        <f t="shared" si="10"/>
        <v>-100</v>
      </c>
      <c r="L37" s="260">
        <f t="shared" si="10"/>
        <v>-100</v>
      </c>
      <c r="M37" s="260">
        <f t="shared" si="10"/>
        <v>-100</v>
      </c>
      <c r="N37" s="259"/>
    </row>
    <row r="38" spans="1:14">
      <c r="A38" s="243" t="s">
        <v>94</v>
      </c>
      <c r="B38" s="261"/>
      <c r="C38" s="261"/>
      <c r="D38" s="262">
        <f>SUM(B37:D37/3)</f>
        <v>-33.333333333333336</v>
      </c>
      <c r="E38" s="261"/>
      <c r="F38" s="261"/>
      <c r="G38" s="262">
        <f>SUM(E37:G37)/3</f>
        <v>-100</v>
      </c>
      <c r="H38" s="261"/>
      <c r="I38" s="261"/>
      <c r="J38" s="262">
        <f>SUM(H37:J37)/3</f>
        <v>-100</v>
      </c>
      <c r="K38" s="261"/>
      <c r="L38" s="261"/>
      <c r="M38" s="262">
        <f>SUM(K37:M37)/3</f>
        <v>-100</v>
      </c>
      <c r="N38" s="261"/>
    </row>
    <row r="39" spans="1:14">
      <c r="A39" s="243"/>
      <c r="B39" s="244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27"/>
    </row>
    <row r="40" spans="1:14" ht="16.5" thickBot="1">
      <c r="E40" s="263" t="s">
        <v>253</v>
      </c>
      <c r="F40" s="264"/>
      <c r="G40" s="265">
        <v>2012</v>
      </c>
    </row>
    <row r="41" spans="1:14">
      <c r="A41" s="266" t="s">
        <v>96</v>
      </c>
      <c r="B41" s="267" t="s">
        <v>44</v>
      </c>
      <c r="C41" s="267" t="s">
        <v>45</v>
      </c>
      <c r="D41" s="267" t="s">
        <v>46</v>
      </c>
      <c r="E41" s="267" t="s">
        <v>47</v>
      </c>
      <c r="F41" s="267" t="s">
        <v>48</v>
      </c>
      <c r="G41" s="267" t="s">
        <v>49</v>
      </c>
      <c r="H41" s="267" t="s">
        <v>38</v>
      </c>
      <c r="I41" s="267" t="s">
        <v>39</v>
      </c>
      <c r="J41" s="267" t="s">
        <v>40</v>
      </c>
      <c r="K41" s="267" t="s">
        <v>41</v>
      </c>
      <c r="L41" s="267" t="s">
        <v>42</v>
      </c>
      <c r="M41" s="267" t="s">
        <v>43</v>
      </c>
      <c r="N41" s="268" t="s">
        <v>64</v>
      </c>
    </row>
    <row r="42" spans="1:14">
      <c r="A42" s="269" t="s">
        <v>97</v>
      </c>
      <c r="B42" s="270">
        <v>57</v>
      </c>
      <c r="C42" s="270">
        <v>29</v>
      </c>
      <c r="D42" s="270">
        <v>23</v>
      </c>
      <c r="E42" s="270">
        <v>73</v>
      </c>
      <c r="F42" s="270">
        <v>55</v>
      </c>
      <c r="G42" s="270">
        <v>54</v>
      </c>
      <c r="H42" s="270">
        <v>56</v>
      </c>
      <c r="I42" s="270">
        <v>66</v>
      </c>
      <c r="J42" s="270">
        <v>56</v>
      </c>
      <c r="K42" s="270"/>
      <c r="L42" s="270"/>
      <c r="M42" s="270"/>
      <c r="N42" s="271">
        <f>SUM(B42:M42)</f>
        <v>469</v>
      </c>
    </row>
    <row r="43" spans="1:14">
      <c r="A43" s="269" t="s">
        <v>98</v>
      </c>
      <c r="B43" s="270">
        <v>3239</v>
      </c>
      <c r="C43" s="270">
        <v>2286</v>
      </c>
      <c r="D43" s="270">
        <v>2099</v>
      </c>
      <c r="E43" s="270">
        <v>2593</v>
      </c>
      <c r="F43" s="270">
        <v>2443</v>
      </c>
      <c r="G43" s="270">
        <v>2268</v>
      </c>
      <c r="H43" s="270">
        <v>2010</v>
      </c>
      <c r="I43" s="270">
        <v>2499</v>
      </c>
      <c r="J43" s="270">
        <v>3442</v>
      </c>
      <c r="K43" s="270"/>
      <c r="L43" s="270"/>
      <c r="M43" s="270"/>
      <c r="N43" s="271">
        <f>SUM(B43:M43)</f>
        <v>22879</v>
      </c>
    </row>
    <row r="44" spans="1:14">
      <c r="A44" s="269" t="s">
        <v>99</v>
      </c>
      <c r="B44" s="270">
        <v>222</v>
      </c>
      <c r="C44" s="270">
        <v>209</v>
      </c>
      <c r="D44" s="270">
        <v>298</v>
      </c>
      <c r="E44" s="270">
        <v>628</v>
      </c>
      <c r="F44" s="270">
        <v>2015</v>
      </c>
      <c r="G44" s="270">
        <v>2895</v>
      </c>
      <c r="H44" s="270">
        <v>3217</v>
      </c>
      <c r="I44" s="270">
        <v>2773</v>
      </c>
      <c r="J44" s="270">
        <v>1893</v>
      </c>
      <c r="K44" s="270"/>
      <c r="L44" s="270"/>
      <c r="M44" s="270"/>
      <c r="N44" s="271">
        <f>SUM(B44:M44)</f>
        <v>14150</v>
      </c>
    </row>
    <row r="45" spans="1:14">
      <c r="A45" s="269" t="s">
        <v>100</v>
      </c>
      <c r="B45" s="270">
        <v>1084</v>
      </c>
      <c r="C45" s="270">
        <v>923</v>
      </c>
      <c r="D45" s="270">
        <v>591</v>
      </c>
      <c r="E45" s="270">
        <v>848</v>
      </c>
      <c r="F45" s="270">
        <v>999</v>
      </c>
      <c r="G45" s="270">
        <v>968</v>
      </c>
      <c r="H45" s="270">
        <v>761</v>
      </c>
      <c r="I45" s="270">
        <v>835</v>
      </c>
      <c r="J45" s="270">
        <v>804</v>
      </c>
      <c r="K45" s="270"/>
      <c r="L45" s="270"/>
      <c r="M45" s="270"/>
      <c r="N45" s="271">
        <f>SUM(B45:M45)</f>
        <v>7813</v>
      </c>
    </row>
    <row r="46" spans="1:14" ht="13.5" thickBot="1">
      <c r="A46" s="272" t="s">
        <v>101</v>
      </c>
      <c r="B46" s="273">
        <v>3</v>
      </c>
      <c r="C46" s="273">
        <v>1</v>
      </c>
      <c r="D46" s="273">
        <v>1</v>
      </c>
      <c r="E46" s="273">
        <v>3</v>
      </c>
      <c r="F46" s="273">
        <v>4</v>
      </c>
      <c r="G46" s="273">
        <v>3</v>
      </c>
      <c r="H46" s="273">
        <v>2</v>
      </c>
      <c r="I46" s="273">
        <v>2</v>
      </c>
      <c r="J46" s="273"/>
      <c r="K46" s="273"/>
      <c r="L46" s="273"/>
      <c r="M46" s="273"/>
      <c r="N46" s="483">
        <f>SUM(B46:M46)</f>
        <v>19</v>
      </c>
    </row>
    <row r="47" spans="1:14">
      <c r="N47" s="484">
        <f>SUM(N42:N46)</f>
        <v>45330</v>
      </c>
    </row>
    <row r="48" spans="1:14" ht="16.5" thickBot="1">
      <c r="E48" s="263" t="s">
        <v>287</v>
      </c>
      <c r="F48" s="264"/>
      <c r="G48" s="265">
        <v>2012</v>
      </c>
    </row>
    <row r="49" spans="1:17">
      <c r="A49" s="266" t="s">
        <v>102</v>
      </c>
      <c r="B49" s="267" t="s">
        <v>44</v>
      </c>
      <c r="C49" s="267" t="s">
        <v>45</v>
      </c>
      <c r="D49" s="267" t="s">
        <v>46</v>
      </c>
      <c r="E49" s="267" t="s">
        <v>47</v>
      </c>
      <c r="F49" s="267" t="s">
        <v>48</v>
      </c>
      <c r="G49" s="267" t="s">
        <v>49</v>
      </c>
      <c r="H49" s="267" t="s">
        <v>38</v>
      </c>
      <c r="I49" s="267" t="s">
        <v>39</v>
      </c>
      <c r="J49" s="267" t="s">
        <v>40</v>
      </c>
      <c r="K49" s="267" t="s">
        <v>41</v>
      </c>
      <c r="L49" s="267" t="s">
        <v>42</v>
      </c>
      <c r="M49" s="267" t="s">
        <v>43</v>
      </c>
      <c r="N49" s="268" t="s">
        <v>64</v>
      </c>
    </row>
    <row r="50" spans="1:17">
      <c r="A50" s="485" t="s">
        <v>103</v>
      </c>
      <c r="B50" s="275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6">
        <f t="shared" ref="N50:N55" si="11">SUM(B50:M50)</f>
        <v>0</v>
      </c>
    </row>
    <row r="51" spans="1:17">
      <c r="A51" s="269" t="s">
        <v>104</v>
      </c>
      <c r="B51" s="277">
        <v>23</v>
      </c>
      <c r="C51" s="277">
        <v>14</v>
      </c>
      <c r="D51" s="277">
        <v>33</v>
      </c>
      <c r="E51" s="277">
        <v>12</v>
      </c>
      <c r="F51" s="277">
        <v>32</v>
      </c>
      <c r="G51" s="277">
        <v>20</v>
      </c>
      <c r="H51" s="277">
        <v>20</v>
      </c>
      <c r="I51" s="277">
        <v>11</v>
      </c>
      <c r="J51" s="277">
        <v>21</v>
      </c>
      <c r="K51" s="277"/>
      <c r="L51" s="277">
        <v>10</v>
      </c>
      <c r="M51" s="277">
        <v>20</v>
      </c>
      <c r="N51" s="276">
        <f t="shared" si="11"/>
        <v>216</v>
      </c>
    </row>
    <row r="52" spans="1:17">
      <c r="A52" s="269" t="s">
        <v>105</v>
      </c>
      <c r="B52" s="277">
        <v>28</v>
      </c>
      <c r="C52" s="277">
        <v>19</v>
      </c>
      <c r="D52" s="277">
        <v>26</v>
      </c>
      <c r="E52" s="277">
        <v>25</v>
      </c>
      <c r="F52" s="277">
        <v>29</v>
      </c>
      <c r="G52" s="277">
        <v>21</v>
      </c>
      <c r="H52" s="277">
        <v>37</v>
      </c>
      <c r="I52" s="277">
        <v>33</v>
      </c>
      <c r="J52" s="277">
        <v>32</v>
      </c>
      <c r="K52" s="277"/>
      <c r="L52" s="277">
        <v>33</v>
      </c>
      <c r="M52" s="277">
        <v>62</v>
      </c>
      <c r="N52" s="276">
        <f t="shared" si="11"/>
        <v>345</v>
      </c>
    </row>
    <row r="53" spans="1:17">
      <c r="A53" s="269" t="s">
        <v>106</v>
      </c>
      <c r="B53" s="278">
        <v>1</v>
      </c>
      <c r="C53" s="278">
        <v>2</v>
      </c>
      <c r="D53" s="278">
        <v>2</v>
      </c>
      <c r="E53" s="278">
        <v>4</v>
      </c>
      <c r="F53" s="278">
        <v>7</v>
      </c>
      <c r="G53" s="278"/>
      <c r="H53" s="278"/>
      <c r="I53" s="278">
        <v>1</v>
      </c>
      <c r="J53" s="278">
        <v>3</v>
      </c>
      <c r="K53" s="278"/>
      <c r="L53" s="278">
        <v>1</v>
      </c>
      <c r="M53" s="278">
        <v>4</v>
      </c>
      <c r="N53" s="276">
        <f t="shared" si="11"/>
        <v>25</v>
      </c>
    </row>
    <row r="54" spans="1:17">
      <c r="A54" s="486" t="s">
        <v>11</v>
      </c>
      <c r="B54" s="278">
        <v>13</v>
      </c>
      <c r="C54" s="278">
        <v>14</v>
      </c>
      <c r="D54" s="278">
        <v>9</v>
      </c>
      <c r="E54" s="278">
        <v>16</v>
      </c>
      <c r="F54" s="278">
        <v>3</v>
      </c>
      <c r="G54" s="278">
        <v>1</v>
      </c>
      <c r="H54" s="278"/>
      <c r="I54" s="278">
        <v>1</v>
      </c>
      <c r="J54" s="278">
        <v>32</v>
      </c>
      <c r="K54" s="278"/>
      <c r="L54" s="278">
        <v>33</v>
      </c>
      <c r="M54" s="278">
        <v>15</v>
      </c>
      <c r="N54" s="276">
        <f t="shared" si="11"/>
        <v>137</v>
      </c>
    </row>
    <row r="55" spans="1:17" ht="13.5" thickBot="1">
      <c r="A55" s="292" t="s">
        <v>107</v>
      </c>
      <c r="B55" s="279">
        <v>54</v>
      </c>
      <c r="C55" s="279">
        <v>30</v>
      </c>
      <c r="D55" s="279">
        <v>52</v>
      </c>
      <c r="E55" s="279">
        <v>40</v>
      </c>
      <c r="F55" s="279">
        <v>44</v>
      </c>
      <c r="G55" s="279">
        <v>58</v>
      </c>
      <c r="H55" s="279">
        <v>42</v>
      </c>
      <c r="I55" s="279">
        <v>44</v>
      </c>
      <c r="J55" s="279">
        <v>42</v>
      </c>
      <c r="K55" s="279"/>
      <c r="L55" s="279">
        <v>48</v>
      </c>
      <c r="M55" s="279">
        <v>44</v>
      </c>
      <c r="N55" s="276">
        <f t="shared" si="11"/>
        <v>498</v>
      </c>
    </row>
    <row r="56" spans="1:17" ht="13.5" thickBot="1">
      <c r="A56" s="292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76">
        <f>SUM(N50:N55)</f>
        <v>1221</v>
      </c>
    </row>
    <row r="57" spans="1:17" ht="18">
      <c r="A57" s="823" t="s">
        <v>288</v>
      </c>
      <c r="B57" s="824"/>
      <c r="C57" s="824"/>
      <c r="D57" s="824"/>
      <c r="E57" s="824"/>
      <c r="F57" s="824"/>
      <c r="G57" s="824"/>
      <c r="H57" s="824"/>
      <c r="I57" s="824"/>
      <c r="J57" s="824"/>
      <c r="K57" s="824"/>
      <c r="L57" s="824"/>
      <c r="M57" s="824"/>
      <c r="N57" s="824"/>
    </row>
    <row r="58" spans="1:17" ht="15.75">
      <c r="E58" s="282"/>
      <c r="M58" s="244"/>
      <c r="N58" s="227"/>
    </row>
    <row r="59" spans="1:17">
      <c r="A59" s="283" t="str">
        <f>IF([13]Vagt!A4&lt;&gt;"",[13]Vagt!A4,"")</f>
        <v>Note 1: Fordeling  af intern betalingsordning på Rådhuset</v>
      </c>
      <c r="B59" s="283" t="e">
        <f>IF([13]Vagt!B4&lt;&gt;"",[13]Vagt!B4,"")</f>
        <v>#REF!</v>
      </c>
      <c r="C59" s="527" t="e">
        <f>IF([13]Vagt!C4&lt;&gt;"",[13]Vagt!C4,"")</f>
        <v>#REF!</v>
      </c>
      <c r="D59" s="527" t="str">
        <f>IF([13]Vagt!D4&lt;&gt;"",[13]Vagt!D4,"")</f>
        <v>Årlig pris</v>
      </c>
      <c r="E59" s="299" t="e">
        <f>IF([13]Vagt!E4&lt;&gt;"",[13]Vagt!E4,"")</f>
        <v>#REF!</v>
      </c>
      <c r="F59" s="299" t="e">
        <f>IF([13]Vagt!F4&lt;&gt;"",[13]Vagt!F4,"")</f>
        <v>#REF!</v>
      </c>
      <c r="G59" s="299" t="e">
        <f>IF([13]Vagt!G4&lt;&gt;"",[13]Vagt!G4,"")</f>
        <v>#REF!</v>
      </c>
      <c r="H59" s="299" t="e">
        <f>IF([13]Vagt!H4&lt;&gt;"",[13]Vagt!H4,"")</f>
        <v>#REF!</v>
      </c>
      <c r="I59" s="299" t="e">
        <f>IF([13]Vagt!I4&lt;&gt;"",[13]Vagt!I4,"")</f>
        <v>#REF!</v>
      </c>
      <c r="J59" s="299" t="str">
        <f>IF([13]Vagt!J4&lt;&gt;"",[13]Vagt!J4,"")</f>
        <v xml:space="preserve">Note 2  Kontrakt kunder fast rundering </v>
      </c>
      <c r="K59" s="299" t="e">
        <f>IF([13]Vagt!K4&lt;&gt;"",[13]Vagt!K4,"")</f>
        <v>#REF!</v>
      </c>
      <c r="L59" s="299" t="e">
        <f>IF([13]Vagt!L4&lt;&gt;"",[13]Vagt!L4,"")</f>
        <v>#REF!</v>
      </c>
      <c r="M59" s="299" t="e">
        <f>IF([13]Vagt!M4&lt;&gt;"",[13]Vagt!M4,"")</f>
        <v>#REF!</v>
      </c>
      <c r="N59" s="299" t="e">
        <f>IF([13]Vagt!N4&lt;&gt;"",[13]Vagt!N4,"")</f>
        <v>#REF!</v>
      </c>
      <c r="P59" s="244"/>
      <c r="Q59" s="227"/>
    </row>
    <row r="60" spans="1:17">
      <c r="A60" s="286" t="e">
        <f>IF([13]Vagt!A5&lt;&gt;"",[13]Vagt!A5,"")</f>
        <v>#REF!</v>
      </c>
      <c r="B60" s="286" t="str">
        <f>IF([13]Vagt!B5&lt;&gt;"",[13]Vagt!B5,"")</f>
        <v>Rådhuset</v>
      </c>
      <c r="C60" s="286" t="e">
        <f>IF([13]Vagt!C5&lt;&gt;"",[13]Vagt!C5,"")</f>
        <v>#REF!</v>
      </c>
      <c r="D60" s="557">
        <f>IF([13]Vagt!D5&lt;&gt;"",[13]Vagt!D5,"")</f>
        <v>9775928</v>
      </c>
      <c r="E60" s="299" t="e">
        <f>IF([13]Vagt!E5&lt;&gt;"",[13]Vagt!E5,"")</f>
        <v>#REF!</v>
      </c>
      <c r="F60" s="299" t="e">
        <f>IF([13]Vagt!F5&lt;&gt;"",[13]Vagt!F5,"")</f>
        <v>#REF!</v>
      </c>
      <c r="G60" s="299" t="e">
        <f>IF([13]Vagt!G5&lt;&gt;"",[13]Vagt!G5,"")</f>
        <v>#REF!</v>
      </c>
      <c r="H60" s="299" t="e">
        <f>IF([13]Vagt!H5&lt;&gt;"",[13]Vagt!H5,"")</f>
        <v>#REF!</v>
      </c>
      <c r="I60" s="299" t="str">
        <f>IF([13]Vagt!I5&lt;&gt;"",[13]Vagt!I5,"")</f>
        <v>Org. Nr.</v>
      </c>
      <c r="J60" s="299" t="str">
        <f>IF([13]Vagt!J5&lt;&gt;"",[13]Vagt!J5,"")</f>
        <v>Bygningsnr.</v>
      </c>
      <c r="K60" s="299" t="str">
        <f>IF([13]Vagt!K5&lt;&gt;"",[13]Vagt!K5,"")</f>
        <v>V og I dato</v>
      </c>
      <c r="L60" s="299" t="str">
        <f>IF([13]Vagt!L5&lt;&gt;"",[13]Vagt!L5,"")</f>
        <v>Adresse</v>
      </c>
      <c r="M60" s="299" t="e">
        <f>IF([13]Vagt!M5&lt;&gt;"",[13]Vagt!M5,"")</f>
        <v>#REF!</v>
      </c>
      <c r="N60" s="299" t="str">
        <f>IF([13]Vagt!N5&lt;&gt;"",[13]Vagt!N5,"")</f>
        <v xml:space="preserve">Årlig pris  </v>
      </c>
      <c r="P60" s="244"/>
      <c r="Q60" s="227"/>
    </row>
    <row r="61" spans="1:17">
      <c r="A61" s="286" t="e">
        <f>IF([13]Vagt!A6&lt;&gt;"",[13]Vagt!A6,"")</f>
        <v>#REF!</v>
      </c>
      <c r="B61" s="286" t="e">
        <f>IF([13]Vagt!B6&lt;&gt;"",[13]Vagt!B6,"")</f>
        <v>#REF!</v>
      </c>
      <c r="C61" s="286" t="e">
        <f>IF([13]Vagt!C6&lt;&gt;"",[13]Vagt!C6,"")</f>
        <v>#REF!</v>
      </c>
      <c r="D61" s="557" t="e">
        <f>IF([13]Vagt!D6&lt;&gt;"",[13]Vagt!D6,"")</f>
        <v>#REF!</v>
      </c>
      <c r="E61" s="299" t="e">
        <f>IF([13]Vagt!E6&lt;&gt;"",[13]Vagt!E6,"")</f>
        <v>#REF!</v>
      </c>
      <c r="F61" s="299" t="e">
        <f>IF([13]Vagt!F6&lt;&gt;"",[13]Vagt!F6,"")</f>
        <v>#REF!</v>
      </c>
      <c r="G61" s="299" t="e">
        <f>IF([13]Vagt!G6&lt;&gt;"",[13]Vagt!G6,"")</f>
        <v>#REF!</v>
      </c>
      <c r="H61" s="299" t="e">
        <f>IF([13]Vagt!H6&lt;&gt;"",[13]Vagt!H6,"")</f>
        <v>#REF!</v>
      </c>
      <c r="I61" s="299" t="str">
        <f>IF([13]Vagt!I6&lt;&gt;"",[13]Vagt!I6,"")</f>
        <v>Fortsat</v>
      </c>
      <c r="J61" s="299" t="e">
        <f>IF([13]Vagt!J6&lt;&gt;"",[13]Vagt!J6,"")</f>
        <v>#REF!</v>
      </c>
      <c r="K61" s="299" t="e">
        <f>IF([13]Vagt!K6&lt;&gt;"",[13]Vagt!K6,"")</f>
        <v>#REF!</v>
      </c>
      <c r="L61" s="299" t="e">
        <f>IF([13]Vagt!L6&lt;&gt;"",[13]Vagt!L6,"")</f>
        <v>#REF!</v>
      </c>
      <c r="M61" s="299" t="e">
        <f>IF([13]Vagt!M6&lt;&gt;"",[13]Vagt!M6,"")</f>
        <v>#REF!</v>
      </c>
      <c r="N61" s="299">
        <f>IF([13]Vagt!N6&lt;&gt;"",[13]Vagt!N6,"")</f>
        <v>3332749</v>
      </c>
      <c r="O61" s="291"/>
      <c r="P61" s="244"/>
      <c r="Q61" s="227"/>
    </row>
    <row r="62" spans="1:17">
      <c r="A62" s="286" t="str">
        <f>IF([13]Vagt!A7&lt;&gt;"",[13]Vagt!A7,"")</f>
        <v>Årligt</v>
      </c>
      <c r="B62" s="286" t="e">
        <f>IF([13]Vagt!B7&lt;&gt;"",[13]Vagt!B7,"")</f>
        <v>#REF!</v>
      </c>
      <c r="C62" s="286" t="e">
        <f>IF([13]Vagt!C7&lt;&gt;"",[13]Vagt!C7,"")</f>
        <v>#REF!</v>
      </c>
      <c r="D62" s="557">
        <f>IF([13]Vagt!D7&lt;&gt;"",[13]Vagt!D7,"")</f>
        <v>9775928</v>
      </c>
      <c r="E62" s="299" t="e">
        <f>IF([13]Vagt!E7&lt;&gt;"",[13]Vagt!E7,"")</f>
        <v>#REF!</v>
      </c>
      <c r="F62" s="299" t="e">
        <f>IF([13]Vagt!F7&lt;&gt;"",[13]Vagt!F7,"")</f>
        <v>#REF!</v>
      </c>
      <c r="G62" s="299" t="e">
        <f>IF([13]Vagt!G7&lt;&gt;"",[13]Vagt!G7,"")</f>
        <v>#REF!</v>
      </c>
      <c r="H62" s="299" t="e">
        <f>IF([13]Vagt!H7&lt;&gt;"",[13]Vagt!H7,"")</f>
        <v>#REF!</v>
      </c>
      <c r="I62" s="299" t="e">
        <f>IF([13]Vagt!I7&lt;&gt;"",[13]Vagt!I7,"")</f>
        <v>#REF!</v>
      </c>
      <c r="J62" s="299" t="e">
        <f>IF([13]Vagt!J7&lt;&gt;"",[13]Vagt!J7,"")</f>
        <v>#REF!</v>
      </c>
      <c r="K62" s="299" t="e">
        <f>IF([13]Vagt!K7&lt;&gt;"",[13]Vagt!K7,"")</f>
        <v>#REF!</v>
      </c>
      <c r="L62" s="299" t="e">
        <f>IF([13]Vagt!L7&lt;&gt;"",[13]Vagt!L7,"")</f>
        <v>#REF!</v>
      </c>
      <c r="M62" s="299" t="e">
        <f>IF([13]Vagt!M7&lt;&gt;"",[13]Vagt!M7,"")</f>
        <v>#REF!</v>
      </c>
      <c r="N62" s="299" t="e">
        <f>IF([13]Vagt!N7&lt;&gt;"",[13]Vagt!N7,"")</f>
        <v>#REF!</v>
      </c>
      <c r="O62" s="298"/>
      <c r="P62" s="244"/>
      <c r="Q62" s="227"/>
    </row>
    <row r="63" spans="1:17">
      <c r="A63" s="286" t="str">
        <f>IF([13]Vagt!A8&lt;&gt;"",[13]Vagt!A8,"")</f>
        <v>Månedligt</v>
      </c>
      <c r="B63" s="286" t="e">
        <f>IF([13]Vagt!B8&lt;&gt;"",[13]Vagt!B8,"")</f>
        <v>#REF!</v>
      </c>
      <c r="C63" s="286" t="e">
        <f>IF([13]Vagt!C8&lt;&gt;"",[13]Vagt!C8,"")</f>
        <v>#REF!</v>
      </c>
      <c r="D63" s="557">
        <f>IF([13]Vagt!D8&lt;&gt;"",[13]Vagt!D8,"")</f>
        <v>814660.66666666663</v>
      </c>
      <c r="E63" s="299" t="str">
        <f>IF([13]Vagt!E8&lt;&gt;"",[13]Vagt!E8,"")</f>
        <v>Når org. Nr. er røde, er de betalt</v>
      </c>
      <c r="F63" s="299" t="e">
        <f>IF([13]Vagt!F8&lt;&gt;"",[13]Vagt!F8,"")</f>
        <v>#REF!</v>
      </c>
      <c r="G63" s="299" t="e">
        <f>IF([13]Vagt!G8&lt;&gt;"",[13]Vagt!G8,"")</f>
        <v>#REF!</v>
      </c>
      <c r="H63" s="299" t="e">
        <f>IF([13]Vagt!H8&lt;&gt;"",[13]Vagt!H8,"")</f>
        <v>#REF!</v>
      </c>
      <c r="I63" s="299">
        <f>IF([13]Vagt!I8&lt;&gt;"",[13]Vagt!I8,"")</f>
        <v>62300</v>
      </c>
      <c r="J63" s="299">
        <f>IF([13]Vagt!J8&lt;&gt;"",[13]Vagt!J8,"")</f>
        <v>150</v>
      </c>
      <c r="K63" s="299">
        <f>IF([13]Vagt!K8&lt;&gt;"",[13]Vagt!K8,"")</f>
        <v>38047</v>
      </c>
      <c r="L63" s="299" t="str">
        <f>IF([13]Vagt!L8&lt;&gt;"",[13]Vagt!L8,"")</f>
        <v>Brønshøjvej 17 - 19, SOF, BFCK-Brønshøj-Husum-Vanløse</v>
      </c>
      <c r="M63" s="299" t="e">
        <f>IF([13]Vagt!M8&lt;&gt;"",[13]Vagt!M8,"")</f>
        <v>#REF!</v>
      </c>
      <c r="N63" s="299">
        <f>IF([13]Vagt!N8&lt;&gt;"",[13]Vagt!N8,"")</f>
        <v>63079</v>
      </c>
      <c r="O63" s="320"/>
      <c r="P63" s="244"/>
      <c r="Q63" s="227"/>
    </row>
    <row r="64" spans="1:17">
      <c r="A64" s="286" t="e">
        <f>IF([13]Vagt!A9&lt;&gt;"",[13]Vagt!A9,"")</f>
        <v>#REF!</v>
      </c>
      <c r="B64" s="286" t="e">
        <f>IF([13]Vagt!B9&lt;&gt;"",[13]Vagt!B9,"")</f>
        <v>#REF!</v>
      </c>
      <c r="C64" s="286" t="e">
        <f>IF([13]Vagt!C9&lt;&gt;"",[13]Vagt!C9,"")</f>
        <v>#REF!</v>
      </c>
      <c r="D64" s="557" t="e">
        <f>IF([13]Vagt!D9&lt;&gt;"",[13]Vagt!D9,"")</f>
        <v>#REF!</v>
      </c>
      <c r="E64" s="299" t="str">
        <f>IF([13]Vagt!E9&lt;&gt;"",[13]Vagt!E9,"")</f>
        <v>Der er den 17. februar 2012 lagt 1.9% på alle</v>
      </c>
      <c r="F64" s="299" t="e">
        <f>IF([13]Vagt!F9&lt;&gt;"",[13]Vagt!F9,"")</f>
        <v>#REF!</v>
      </c>
      <c r="G64" s="299" t="e">
        <f>IF([13]Vagt!G9&lt;&gt;"",[13]Vagt!G9,"")</f>
        <v>#REF!</v>
      </c>
      <c r="H64" s="299" t="e">
        <f>IF([13]Vagt!H9&lt;&gt;"",[13]Vagt!H9,"")</f>
        <v>#REF!</v>
      </c>
      <c r="I64" s="299">
        <f>IF([13]Vagt!I9&lt;&gt;"",[13]Vagt!I9,"")</f>
        <v>22803</v>
      </c>
      <c r="J64" s="299" t="str">
        <f>IF([13]Vagt!J9&lt;&gt;"",[13]Vagt!J9,"")</f>
        <v>747a</v>
      </c>
      <c r="K64" s="299">
        <f>IF([13]Vagt!K9&lt;&gt;"",[13]Vagt!K9,"")</f>
        <v>38048</v>
      </c>
      <c r="L64" s="299" t="str">
        <f>IF([13]Vagt!L9&lt;&gt;"",[13]Vagt!L9,"")</f>
        <v>Brønshøjvej 17 - 19, Sundhed (Løven)</v>
      </c>
      <c r="M64" s="299" t="e">
        <f>IF([13]Vagt!M9&lt;&gt;"",[13]Vagt!M9,"")</f>
        <v>#REF!</v>
      </c>
      <c r="N64" s="299">
        <f>IF([13]Vagt!N9&lt;&gt;"",[13]Vagt!N9,"")</f>
        <v>19971</v>
      </c>
      <c r="O64" s="320"/>
      <c r="P64" s="244"/>
      <c r="Q64" s="227"/>
    </row>
    <row r="65" spans="1:17">
      <c r="A65" s="286" t="e">
        <f>IF([13]Vagt!A10&lt;&gt;"",[13]Vagt!A10,"")</f>
        <v>#REF!</v>
      </c>
      <c r="B65" s="286" t="e">
        <f>IF([13]Vagt!B10&lt;&gt;"",[13]Vagt!B10,"")</f>
        <v>#REF!</v>
      </c>
      <c r="C65" s="286" t="e">
        <f>IF([13]Vagt!C10&lt;&gt;"",[13]Vagt!C10,"")</f>
        <v>#REF!</v>
      </c>
      <c r="D65" s="557" t="e">
        <f>IF([13]Vagt!D10&lt;&gt;"",[13]Vagt!D10,"")</f>
        <v>#REF!</v>
      </c>
      <c r="E65" s="299" t="e">
        <f>IF([13]Vagt!E10&lt;&gt;"",[13]Vagt!E10,"")</f>
        <v>#REF!</v>
      </c>
      <c r="F65" s="299" t="e">
        <f>IF([13]Vagt!F10&lt;&gt;"",[13]Vagt!F10,"")</f>
        <v>#REF!</v>
      </c>
      <c r="G65" s="299" t="e">
        <f>IF([13]Vagt!G10&lt;&gt;"",[13]Vagt!G10,"")</f>
        <v>#REF!</v>
      </c>
      <c r="H65" s="299" t="e">
        <f>IF([13]Vagt!H10&lt;&gt;"",[13]Vagt!H10,"")</f>
        <v>#REF!</v>
      </c>
      <c r="I65" s="299">
        <f>IF([13]Vagt!I10&lt;&gt;"",[13]Vagt!I10,"")</f>
        <v>38910</v>
      </c>
      <c r="J65" s="299" t="str">
        <f>IF([13]Vagt!J10&lt;&gt;"",[13]Vagt!J10,"")</f>
        <v>747b</v>
      </c>
      <c r="K65" s="299">
        <f>IF([13]Vagt!K10&lt;&gt;"",[13]Vagt!K10,"")</f>
        <v>38047</v>
      </c>
      <c r="L65" s="299" t="str">
        <f>IF([13]Vagt!L10&lt;&gt;"",[13]Vagt!L10,"")</f>
        <v>Brønshøjvej 17 - 19, Tandlæge</v>
      </c>
      <c r="M65" s="299" t="e">
        <f>IF([13]Vagt!M10&lt;&gt;"",[13]Vagt!M10,"")</f>
        <v>#REF!</v>
      </c>
      <c r="N65" s="299">
        <f>IF([13]Vagt!N10&lt;&gt;"",[13]Vagt!N10,"")</f>
        <v>19971</v>
      </c>
      <c r="O65" s="320"/>
      <c r="P65" s="244"/>
      <c r="Q65" s="227"/>
    </row>
    <row r="66" spans="1:17">
      <c r="A66" s="286" t="e">
        <f>IF([13]Vagt!A11&lt;&gt;"",[13]Vagt!A11,"")</f>
        <v>#REF!</v>
      </c>
      <c r="B66" s="286" t="str">
        <f>IF([13]Vagt!B11&lt;&gt;"",[13]Vagt!B11,"")</f>
        <v xml:space="preserve">Note 2  Kontrakt kunder fast rundering </v>
      </c>
      <c r="C66" s="286" t="e">
        <f>IF([13]Vagt!C11&lt;&gt;"",[13]Vagt!C11,"")</f>
        <v>#REF!</v>
      </c>
      <c r="D66" s="557" t="e">
        <f>IF([13]Vagt!D11&lt;&gt;"",[13]Vagt!D11,"")</f>
        <v>#REF!</v>
      </c>
      <c r="E66" s="299" t="e">
        <f>IF([13]Vagt!E11&lt;&gt;"",[13]Vagt!E11,"")</f>
        <v>#REF!</v>
      </c>
      <c r="F66" s="299" t="e">
        <f>IF([13]Vagt!F11&lt;&gt;"",[13]Vagt!F11,"")</f>
        <v>#REF!</v>
      </c>
      <c r="G66" s="299" t="e">
        <f>IF([13]Vagt!G11&lt;&gt;"",[13]Vagt!G11,"")</f>
        <v>#REF!</v>
      </c>
      <c r="H66" s="299" t="e">
        <f>IF([13]Vagt!H11&lt;&gt;"",[13]Vagt!H11,"")</f>
        <v>#REF!</v>
      </c>
      <c r="I66" s="299">
        <f>IF([13]Vagt!I11&lt;&gt;"",[13]Vagt!I11,"")</f>
        <v>11820</v>
      </c>
      <c r="J66" s="299">
        <f>IF([13]Vagt!J11&lt;&gt;"",[13]Vagt!J11,"")</f>
        <v>147</v>
      </c>
      <c r="K66" s="299">
        <f>IF([13]Vagt!K11&lt;&gt;"",[13]Vagt!K11,"")</f>
        <v>40664</v>
      </c>
      <c r="L66" s="299" t="str">
        <f>IF([13]Vagt!L11&lt;&gt;"",[13]Vagt!L11,"")</f>
        <v>ØK-KBS- Nørre Søgade 35</v>
      </c>
      <c r="M66" s="299" t="e">
        <f>IF([13]Vagt!M11&lt;&gt;"",[13]Vagt!M11,"")</f>
        <v>#REF!</v>
      </c>
      <c r="N66" s="299">
        <f>IF([13]Vagt!N11&lt;&gt;"",[13]Vagt!N11,"")</f>
        <v>72061</v>
      </c>
      <c r="O66" s="291"/>
      <c r="P66" s="244"/>
      <c r="Q66" s="227"/>
    </row>
    <row r="67" spans="1:17">
      <c r="A67" s="286" t="str">
        <f>IF([13]Vagt!A12&lt;&gt;"",[13]Vagt!A12,"")</f>
        <v>Org. Nr.</v>
      </c>
      <c r="B67" s="286" t="str">
        <f>IF([13]Vagt!B12&lt;&gt;"",[13]Vagt!B12,"")</f>
        <v>Kontrakt nr.</v>
      </c>
      <c r="C67" s="286" t="str">
        <f>IF([13]Vagt!C12&lt;&gt;"",[13]Vagt!C12,"")</f>
        <v>Start dato</v>
      </c>
      <c r="D67" s="557" t="str">
        <f>IF([13]Vagt!D12&lt;&gt;"",[13]Vagt!D12,"")</f>
        <v>Adresse</v>
      </c>
      <c r="E67" s="299" t="e">
        <f>IF([13]Vagt!E12&lt;&gt;"",[13]Vagt!E12,"")</f>
        <v>#REF!</v>
      </c>
      <c r="F67" s="299" t="str">
        <f>IF([13]Vagt!F12&lt;&gt;"",[13]Vagt!F12,"")</f>
        <v xml:space="preserve">Årlig pris  </v>
      </c>
      <c r="G67" s="299" t="e">
        <f>IF([13]Vagt!G12&lt;&gt;"",[13]Vagt!G12,"")</f>
        <v>#REF!</v>
      </c>
      <c r="H67" s="299" t="str">
        <f>IF([13]Vagt!H12&lt;&gt;"",[13]Vagt!H12,"")</f>
        <v>Fordeling</v>
      </c>
      <c r="I67" s="299" t="e">
        <f>IF([13]Vagt!I12&lt;&gt;"",[13]Vagt!I12,"")</f>
        <v>#REF!</v>
      </c>
      <c r="J67" s="299" t="e">
        <f>IF([13]Vagt!J12&lt;&gt;"",[13]Vagt!J12,"")</f>
        <v>#REF!</v>
      </c>
      <c r="K67" s="299" t="e">
        <f>IF([13]Vagt!K12&lt;&gt;"",[13]Vagt!K12,"")</f>
        <v>#REF!</v>
      </c>
      <c r="L67" s="299" t="e">
        <f>IF([13]Vagt!L12&lt;&gt;"",[13]Vagt!L12,"")</f>
        <v>#REF!</v>
      </c>
      <c r="M67" s="299" t="e">
        <f>IF([13]Vagt!M12&lt;&gt;"",[13]Vagt!M12,"")</f>
        <v>#REF!</v>
      </c>
      <c r="N67" s="299" t="e">
        <f>IF([13]Vagt!N12&lt;&gt;"",[13]Vagt!N12,"")</f>
        <v>#REF!</v>
      </c>
      <c r="O67" s="317"/>
      <c r="P67" s="244"/>
      <c r="Q67" s="227"/>
    </row>
    <row r="68" spans="1:17">
      <c r="A68" s="286" t="str">
        <f>IF([13]Vagt!A13&lt;&gt;"",[13]Vagt!A13,"")</f>
        <v>64715</v>
      </c>
      <c r="B68" s="286">
        <f>IF([13]Vagt!B13&lt;&gt;"",[13]Vagt!B13,"")</f>
        <v>112</v>
      </c>
      <c r="C68" s="286">
        <f>IF([13]Vagt!C13&lt;&gt;"",[13]Vagt!C13,"")</f>
        <v>37956</v>
      </c>
      <c r="D68" s="557" t="str">
        <f>IF([13]Vagt!D13&lt;&gt;"",[13]Vagt!D13,"")</f>
        <v>Røde Mellemvej 52</v>
      </c>
      <c r="E68" s="299" t="e">
        <f>IF([13]Vagt!E13&lt;&gt;"",[13]Vagt!E13,"")</f>
        <v>#REF!</v>
      </c>
      <c r="F68" s="299">
        <f>IF([13]Vagt!F13&lt;&gt;"",[13]Vagt!F13,"")</f>
        <v>118520</v>
      </c>
      <c r="G68" s="299" t="e">
        <f>IF([13]Vagt!G13&lt;&gt;"",[13]Vagt!G13,"")</f>
        <v>#REF!</v>
      </c>
      <c r="H68" s="299" t="str">
        <f>IF([13]Vagt!H13&lt;&gt;"",[13]Vagt!H13,"")</f>
        <v>43,37 %</v>
      </c>
      <c r="I68" s="299">
        <f>IF([13]Vagt!I13&lt;&gt;"",[13]Vagt!I13,"")</f>
        <v>31404</v>
      </c>
      <c r="J68" s="299">
        <f>IF([13]Vagt!J13&lt;&gt;"",[13]Vagt!J13,"")</f>
        <v>758</v>
      </c>
      <c r="K68" s="299">
        <f>IF([13]Vagt!K13&lt;&gt;"",[13]Vagt!K13,"")</f>
        <v>37500</v>
      </c>
      <c r="L68" s="299" t="str">
        <f>IF([13]Vagt!L13&lt;&gt;"",[13]Vagt!L13,"")</f>
        <v>Jemtelandgade 3 KKU</v>
      </c>
      <c r="M68" s="299" t="e">
        <f>IF([13]Vagt!M13&lt;&gt;"",[13]Vagt!M13,"")</f>
        <v>#REF!</v>
      </c>
      <c r="N68" s="299">
        <f>IF([13]Vagt!N13&lt;&gt;"",[13]Vagt!N13,"")</f>
        <v>40161</v>
      </c>
      <c r="O68" s="320"/>
      <c r="P68" s="244"/>
      <c r="Q68" s="227"/>
    </row>
    <row r="69" spans="1:17">
      <c r="A69" s="283" t="str">
        <f>IF([13]Vagt!A14&lt;&gt;"",[13]Vagt!A14,"")</f>
        <v>37567</v>
      </c>
      <c r="B69" s="283">
        <f>IF([13]Vagt!B14&lt;&gt;"",[13]Vagt!B14,"")</f>
        <v>113</v>
      </c>
      <c r="C69" s="283">
        <f>IF([13]Vagt!C14&lt;&gt;"",[13]Vagt!C14,"")</f>
        <v>38012</v>
      </c>
      <c r="D69" s="558" t="str">
        <f>IF([13]Vagt!D14&lt;&gt;"",[13]Vagt!D14,"")</f>
        <v>Studsgårdsgade 55</v>
      </c>
      <c r="E69" s="555" t="e">
        <f>IF([13]Vagt!E14&lt;&gt;"",[13]Vagt!E14,"")</f>
        <v>#REF!</v>
      </c>
      <c r="F69" s="299"/>
      <c r="G69" s="299"/>
      <c r="H69" s="299" t="str">
        <f>IF([13]Vagt!H14&lt;&gt;"",[13]Vagt!H14,"")</f>
        <v>18,16%</v>
      </c>
      <c r="I69" s="299">
        <f>IF([13]Vagt!I14&lt;&gt;"",[13]Vagt!I14,"")</f>
        <v>51302</v>
      </c>
      <c r="J69" s="299">
        <f>IF([13]Vagt!J14&lt;&gt;"",[13]Vagt!J14,"")</f>
        <v>114</v>
      </c>
      <c r="K69" s="299">
        <f>IF([13]Vagt!K14&lt;&gt;"",[13]Vagt!K14,"")</f>
        <v>40544</v>
      </c>
      <c r="L69" s="299" t="str">
        <f>IF([13]Vagt!L14&lt;&gt;"",[13]Vagt!L14,"")</f>
        <v>Jemtelandgade 3 Kvarterløft</v>
      </c>
      <c r="M69" s="299" t="e">
        <f>IF([13]Vagt!M14&lt;&gt;"",[13]Vagt!M14,"")</f>
        <v>#REF!</v>
      </c>
      <c r="N69" s="299">
        <f>IF([13]Vagt!N14&lt;&gt;"",[13]Vagt!N14,"")</f>
        <v>16814</v>
      </c>
      <c r="O69" s="320"/>
      <c r="P69" s="244"/>
      <c r="Q69" s="227"/>
    </row>
    <row r="70" spans="1:17">
      <c r="A70" s="283">
        <f>IF([13]Vagt!A15&lt;&gt;"",[13]Vagt!A15,"")</f>
        <v>23140</v>
      </c>
      <c r="B70" s="283">
        <f>IF([13]Vagt!B15&lt;&gt;"",[13]Vagt!B15,"")</f>
        <v>116</v>
      </c>
      <c r="C70" s="283">
        <f>IF([13]Vagt!C15&lt;&gt;"",[13]Vagt!C15,"")</f>
        <v>38412</v>
      </c>
      <c r="D70" s="558" t="str">
        <f>IF([13]Vagt!D15&lt;&gt;"",[13]Vagt!D15,"")</f>
        <v>Amagerbrogade 150</v>
      </c>
      <c r="E70" s="555" t="e">
        <f>IF([13]Vagt!E15&lt;&gt;"",[13]Vagt!E15,"")</f>
        <v>#REF!</v>
      </c>
      <c r="F70" s="299"/>
      <c r="G70" s="299"/>
      <c r="H70" s="556"/>
      <c r="I70" s="299">
        <f>IF([13]Vagt!I15&lt;&gt;"",[13]Vagt!I15,"")</f>
        <v>53204</v>
      </c>
      <c r="J70" s="299">
        <f>IF([13]Vagt!J15&lt;&gt;"",[13]Vagt!J15,"")</f>
        <v>114</v>
      </c>
      <c r="K70" s="299">
        <f>IF([13]Vagt!K15&lt;&gt;"",[13]Vagt!K15,"")</f>
        <v>40544</v>
      </c>
      <c r="L70" s="299" t="str">
        <f>IF([13]Vagt!L15&lt;&gt;"",[13]Vagt!L15,"")</f>
        <v>Jemtelandgade 3 bibliotek</v>
      </c>
      <c r="M70" s="299" t="e">
        <f>IF([13]Vagt!M15&lt;&gt;"",[13]Vagt!M15,"")</f>
        <v>#REF!</v>
      </c>
      <c r="N70" s="299">
        <f>IF([13]Vagt!N15&lt;&gt;"",[13]Vagt!N15,"")</f>
        <v>35767</v>
      </c>
      <c r="O70" s="291"/>
      <c r="P70" s="244"/>
      <c r="Q70" s="227"/>
    </row>
    <row r="71" spans="1:17">
      <c r="A71" s="283">
        <f>IF([13]Vagt!A16&lt;&gt;"",[13]Vagt!A16,"")</f>
        <v>54100</v>
      </c>
      <c r="B71" s="283">
        <f>IF([13]Vagt!B16&lt;&gt;"",[13]Vagt!B16,"")</f>
        <v>119</v>
      </c>
      <c r="C71" s="283">
        <f>IF([13]Vagt!C16&lt;&gt;"",[13]Vagt!C16,"")</f>
        <v>38808</v>
      </c>
      <c r="D71" s="283" t="str">
        <f>IF([13]Vagt!D16&lt;&gt;"",[13]Vagt!D16,"")</f>
        <v>Hvide Kødby(vagter)</v>
      </c>
      <c r="E71" s="299" t="e">
        <f>IF([13]Vagt!E16&lt;&gt;"",[13]Vagt!E16,"")</f>
        <v>#REF!</v>
      </c>
      <c r="F71" s="299">
        <f>IF([13]Vagt!F16&lt;&gt;"",[13]Vagt!F16,"")</f>
        <v>1662560</v>
      </c>
      <c r="G71" s="299" t="e">
        <f>IF([13]Vagt!G16&lt;&gt;"",[13]Vagt!G16,"")</f>
        <v>#REF!</v>
      </c>
      <c r="H71" s="299" t="e">
        <f>IF([13]Vagt!H16&lt;&gt;"",[13]Vagt!H16,"")</f>
        <v>#REF!</v>
      </c>
      <c r="I71" s="299">
        <f>IF([13]Vagt!I16&lt;&gt;"",[13]Vagt!I16,"")</f>
        <v>62300</v>
      </c>
      <c r="J71" s="299">
        <f>IF([13]Vagt!J16&lt;&gt;"",[13]Vagt!J16,"")</f>
        <v>149</v>
      </c>
      <c r="K71" s="299">
        <f>IF([13]Vagt!K16&lt;&gt;"",[13]Vagt!K16,"")</f>
        <v>40544</v>
      </c>
      <c r="L71" s="299" t="str">
        <f>IF([13]Vagt!L16&lt;&gt;"",[13]Vagt!L16,"")</f>
        <v>Spaniensgade 25, BFCK-Amager øst</v>
      </c>
      <c r="M71" s="299" t="e">
        <f>IF([13]Vagt!M16&lt;&gt;"",[13]Vagt!M16,"")</f>
        <v>#REF!</v>
      </c>
      <c r="N71" s="299">
        <f>IF([13]Vagt!N16&lt;&gt;"",[13]Vagt!N16,"")</f>
        <v>50092</v>
      </c>
      <c r="O71" s="291"/>
      <c r="P71" s="244"/>
      <c r="Q71" s="227"/>
    </row>
    <row r="72" spans="1:17">
      <c r="A72" s="283">
        <f>IF([13]Vagt!A17&lt;&gt;"",[13]Vagt!A17,"")</f>
        <v>62300</v>
      </c>
      <c r="B72" s="283">
        <f>IF([13]Vagt!B17&lt;&gt;"",[13]Vagt!B17,"")</f>
        <v>121</v>
      </c>
      <c r="C72" s="554"/>
      <c r="D72" s="560"/>
      <c r="E72" s="560"/>
      <c r="F72" s="560"/>
      <c r="G72" s="299" t="e">
        <f>IF([13]Vagt!G17&lt;&gt;"",[13]Vagt!G17,"")</f>
        <v>#REF!</v>
      </c>
      <c r="H72" s="299" t="e">
        <f>IF([13]Vagt!H17&lt;&gt;"",[13]Vagt!H17,"")</f>
        <v>#REF!</v>
      </c>
      <c r="I72" s="560">
        <f>IF([13]Vagt!I17&lt;&gt;"",[13]Vagt!I17,"")</f>
        <v>62300</v>
      </c>
      <c r="J72" s="554">
        <f>IF([13]Vagt!J17&lt;&gt;"",[13]Vagt!J17,"")</f>
        <v>148</v>
      </c>
      <c r="K72" s="554">
        <f>IF([13]Vagt!K17&lt;&gt;"",[13]Vagt!K17,"")</f>
        <v>40544</v>
      </c>
      <c r="L72" s="554" t="str">
        <f>IF([13]Vagt!L17&lt;&gt;"",[13]Vagt!L17,"")</f>
        <v>Remisevej 19, BFCK-Amager vest</v>
      </c>
      <c r="M72" s="554" t="e">
        <f>IF([13]Vagt!M17&lt;&gt;"",[13]Vagt!M17,"")</f>
        <v>#REF!</v>
      </c>
      <c r="N72" s="527">
        <f>IF([13]Vagt!N17&lt;&gt;"",[13]Vagt!N17,"")</f>
        <v>57478</v>
      </c>
      <c r="O72" s="291"/>
      <c r="P72" s="244"/>
      <c r="Q72" s="227"/>
    </row>
    <row r="73" spans="1:17">
      <c r="A73" s="286">
        <f>IF([13]Vagt!A18&lt;&gt;"",[13]Vagt!A18,"")</f>
        <v>38450</v>
      </c>
      <c r="B73" s="286">
        <f>IF([13]Vagt!B18&lt;&gt;"",[13]Vagt!B18,"")</f>
        <v>122</v>
      </c>
      <c r="C73" s="286">
        <f>IF([13]Vagt!C18&lt;&gt;"",[13]Vagt!C18,"")</f>
        <v>39264</v>
      </c>
      <c r="D73" s="286" t="str">
        <f>IF([13]Vagt!D18&lt;&gt;"",[13]Vagt!D18,"")</f>
        <v>Kapelvej 47</v>
      </c>
      <c r="E73" s="286" t="e">
        <f>IF([13]Vagt!E18&lt;&gt;"",[13]Vagt!E18,"")</f>
        <v>#REF!</v>
      </c>
      <c r="F73" s="286">
        <f>IF([13]Vagt!F18&lt;&gt;"",[13]Vagt!F18,"")</f>
        <v>18880</v>
      </c>
      <c r="G73" s="387" t="e">
        <f>IF([13]Vagt!G18&lt;&gt;"",[13]Vagt!G18,"")</f>
        <v>#REF!</v>
      </c>
      <c r="H73" s="388" t="e">
        <f>IF([13]Vagt!H18&lt;&gt;"",[13]Vagt!H18,"")</f>
        <v>#REF!</v>
      </c>
      <c r="I73" s="284">
        <f>IF([13]Vagt!I18&lt;&gt;"",[13]Vagt!I18,"")</f>
        <v>40010</v>
      </c>
      <c r="J73" s="286">
        <f>IF([13]Vagt!J18&lt;&gt;"",[13]Vagt!J18,"")</f>
        <v>900</v>
      </c>
      <c r="K73" s="286">
        <f>IF([13]Vagt!K18&lt;&gt;"",[13]Vagt!K18,"")</f>
        <v>38353</v>
      </c>
      <c r="L73" s="286" t="str">
        <f>IF([13]Vagt!L18&lt;&gt;"",[13]Vagt!L18,"")</f>
        <v>Miljøkontrollen (tlf. eksp.)</v>
      </c>
      <c r="M73" s="286" t="e">
        <f>IF([13]Vagt!M18&lt;&gt;"",[13]Vagt!M18,"")</f>
        <v>#REF!</v>
      </c>
      <c r="N73" s="292">
        <f>IF([13]Vagt!N18&lt;&gt;"",[13]Vagt!N18,"")</f>
        <v>4178</v>
      </c>
      <c r="O73" s="291"/>
      <c r="P73" s="244"/>
      <c r="Q73" s="227"/>
    </row>
    <row r="74" spans="1:17">
      <c r="A74" s="559">
        <f>IF([13]Vagt!A19&lt;&gt;"",[13]Vagt!A19,"")</f>
        <v>60109</v>
      </c>
      <c r="B74" s="302">
        <f>IF([13]Vagt!B19&lt;&gt;"",[13]Vagt!B19,"")</f>
        <v>128</v>
      </c>
      <c r="C74" s="303">
        <f>IF([13]Vagt!C19&lt;&gt;"",[13]Vagt!C19,"")</f>
        <v>39815</v>
      </c>
      <c r="D74" s="286" t="str">
        <f>IF([13]Vagt!D19&lt;&gt;"",[13]Vagt!D19,"")</f>
        <v>Bernstorffshus</v>
      </c>
      <c r="E74" s="286"/>
      <c r="F74" s="575">
        <f>IF([13]Vagt!F19&lt;&gt;"",[13]Vagt!F19,"")</f>
        <v>178927</v>
      </c>
      <c r="G74" s="387" t="e">
        <f>IF([13]Vagt!G19&lt;&gt;"",[13]Vagt!G19,"")</f>
        <v>#REF!</v>
      </c>
      <c r="H74" s="388" t="e">
        <f>IF([13]Vagt!H19&lt;&gt;"",[13]Vagt!H19,"")</f>
        <v>#REF!</v>
      </c>
      <c r="I74" s="284">
        <f>IF([13]Vagt!I19&lt;&gt;"",[13]Vagt!I19,"")</f>
        <v>38400</v>
      </c>
      <c r="J74" s="286">
        <f>IF([13]Vagt!J19&lt;&gt;"",[13]Vagt!J19,"")</f>
        <v>138</v>
      </c>
      <c r="K74" s="286">
        <f>IF([13]Vagt!K19&lt;&gt;"",[13]Vagt!K19,"")</f>
        <v>40544</v>
      </c>
      <c r="L74" s="286" t="str">
        <f>IF([13]Vagt!L19&lt;&gt;"",[13]Vagt!L19,"")</f>
        <v>BUF-Linde Alle 40-44</v>
      </c>
      <c r="M74" s="286"/>
      <c r="N74" s="583">
        <f>IF([13]Vagt!N19&lt;&gt;"",[13]Vagt!N19,"")</f>
        <v>29289</v>
      </c>
      <c r="O74" s="298"/>
      <c r="P74" s="244"/>
      <c r="Q74" s="227"/>
    </row>
    <row r="75" spans="1:17">
      <c r="A75" s="559">
        <f>IF([13]Vagt!A20&lt;&gt;"",[13]Vagt!A20,"")</f>
        <v>37105</v>
      </c>
      <c r="B75" s="302">
        <f>IF([13]Vagt!B20&lt;&gt;"",[13]Vagt!B20,"")</f>
        <v>129</v>
      </c>
      <c r="C75" s="303">
        <f>IF([13]Vagt!C20&lt;&gt;"",[13]Vagt!C20,"")</f>
        <v>39904</v>
      </c>
      <c r="D75" s="286" t="str">
        <f>IF([13]Vagt!D20&lt;&gt;"",[13]Vagt!D20,"")</f>
        <v>Vester Voldgade 87, 3. sal</v>
      </c>
      <c r="E75" s="286"/>
      <c r="F75" s="575">
        <f>IF([13]Vagt!F20&lt;&gt;"",[13]Vagt!F20,"")</f>
        <v>19252</v>
      </c>
      <c r="G75" s="387" t="e">
        <f>IF([13]Vagt!G20&lt;&gt;"",[13]Vagt!G20,"")</f>
        <v>#REF!</v>
      </c>
      <c r="H75" s="388" t="e">
        <f>IF([13]Vagt!H20&lt;&gt;"",[13]Vagt!H20,"")</f>
        <v>#REF!</v>
      </c>
      <c r="I75" s="565">
        <f>IF([13]Vagt!I20&lt;&gt;"",[13]Vagt!I20,"")</f>
        <v>37103</v>
      </c>
      <c r="J75" s="286">
        <f>IF([13]Vagt!J20&lt;&gt;"",[13]Vagt!J20,"")</f>
        <v>139</v>
      </c>
      <c r="K75" s="286">
        <f>IF([13]Vagt!K20&lt;&gt;"",[13]Vagt!K20,"")</f>
        <v>40544</v>
      </c>
      <c r="L75" s="286" t="str">
        <f>IF([13]Vagt!L20&lt;&gt;"",[13]Vagt!L20,"")</f>
        <v>BUF-Linde Alle 40-44 (Dagplejekontor)</v>
      </c>
      <c r="M75" s="286"/>
      <c r="N75" s="557">
        <f>IF([13]Vagt!N20&lt;&gt;"",[13]Vagt!N20,"")</f>
        <v>9763</v>
      </c>
      <c r="O75" s="291"/>
      <c r="P75" s="244"/>
      <c r="Q75" s="227"/>
    </row>
    <row r="76" spans="1:17">
      <c r="A76" s="559">
        <f>IF([13]Vagt!A21&lt;&gt;"",[13]Vagt!A21,"")</f>
        <v>69725</v>
      </c>
      <c r="B76" s="302">
        <f>IF([13]Vagt!B21&lt;&gt;"",[13]Vagt!B21,"")</f>
        <v>130</v>
      </c>
      <c r="C76" s="303">
        <f>IF([13]Vagt!C21&lt;&gt;"",[13]Vagt!C21,"")</f>
        <v>39918</v>
      </c>
      <c r="D76" s="286" t="str">
        <f>IF([13]Vagt!D21&lt;&gt;"",[13]Vagt!D21,"")</f>
        <v>Rådhuspladsen 77, 1. sal</v>
      </c>
      <c r="E76" s="286"/>
      <c r="F76" s="575">
        <f>IF([13]Vagt!F21&lt;&gt;"",[13]Vagt!F21,"")</f>
        <v>29820</v>
      </c>
      <c r="G76" s="387" t="e">
        <f>IF([13]Vagt!G21&lt;&gt;"",[13]Vagt!G21,"")</f>
        <v>#REF!</v>
      </c>
      <c r="H76" s="388" t="e">
        <f>IF([13]Vagt!H21&lt;&gt;"",[13]Vagt!H21,"")</f>
        <v>#REF!</v>
      </c>
      <c r="I76" s="565">
        <f>IF([13]Vagt!I21&lt;&gt;"",[13]Vagt!I21,"")</f>
        <v>20100</v>
      </c>
      <c r="J76" s="286" t="str">
        <f>IF([13]Vagt!J21&lt;&gt;"",[13]Vagt!J21,"")</f>
        <v>Rådhuset</v>
      </c>
      <c r="K76" s="286">
        <f>IF([13]Vagt!K21&lt;&gt;"",[13]Vagt!K21,"")</f>
        <v>40179</v>
      </c>
      <c r="L76" s="286" t="str">
        <f>IF([13]Vagt!L21&lt;&gt;"",[13]Vagt!L21,"")</f>
        <v>SUF</v>
      </c>
      <c r="M76" s="286"/>
      <c r="N76" s="557">
        <f>IF([13]Vagt!N21&lt;&gt;"",[13]Vagt!N21,"")</f>
        <v>546551</v>
      </c>
      <c r="O76" s="291"/>
      <c r="P76" s="244"/>
      <c r="Q76" s="227"/>
    </row>
    <row r="77" spans="1:17">
      <c r="A77" s="559">
        <f>IF([13]Vagt!A22&lt;&gt;"",[13]Vagt!A22,"")</f>
        <v>19020</v>
      </c>
      <c r="B77" s="302">
        <f>IF([13]Vagt!B22&lt;&gt;"",[13]Vagt!B22,"")</f>
        <v>131</v>
      </c>
      <c r="C77" s="303">
        <f>IF([13]Vagt!C22&lt;&gt;"",[13]Vagt!C22,"")</f>
        <v>40238</v>
      </c>
      <c r="D77" s="286" t="str">
        <f>IF([13]Vagt!D22&lt;&gt;"",[13]Vagt!D22,"")</f>
        <v>Ottiliavej 1</v>
      </c>
      <c r="E77" s="286"/>
      <c r="F77" s="575">
        <f>IF([13]Vagt!F22&lt;&gt;"",[13]Vagt!F22,"")</f>
        <v>210256</v>
      </c>
      <c r="G77" s="387" t="e">
        <f>IF([13]Vagt!G22&lt;&gt;"",[13]Vagt!G22,"")</f>
        <v>#REF!</v>
      </c>
      <c r="H77" s="388" t="e">
        <f>IF([13]Vagt!H22&lt;&gt;"",[13]Vagt!H22,"")</f>
        <v>#REF!</v>
      </c>
      <c r="I77" s="565">
        <f>IF([13]Vagt!I22&lt;&gt;"",[13]Vagt!I22,"")</f>
        <v>80005</v>
      </c>
      <c r="J77" s="286" t="str">
        <f>IF([13]Vagt!J22&lt;&gt;"",[13]Vagt!J22,"")</f>
        <v>Rådhuset</v>
      </c>
      <c r="K77" s="286">
        <f>IF([13]Vagt!K22&lt;&gt;"",[13]Vagt!K22,"")</f>
        <v>40179</v>
      </c>
      <c r="L77" s="286" t="str">
        <f>IF([13]Vagt!L22&lt;&gt;"",[13]Vagt!L22,"")</f>
        <v>BIF</v>
      </c>
      <c r="M77" s="286"/>
      <c r="N77" s="557">
        <f>IF([13]Vagt!N22&lt;&gt;"",[13]Vagt!N22,"")</f>
        <v>505945</v>
      </c>
      <c r="O77" s="291"/>
      <c r="P77" s="244"/>
      <c r="Q77" s="227"/>
    </row>
    <row r="78" spans="1:17">
      <c r="A78" s="559">
        <f>IF([13]Vagt!A23&lt;&gt;"",[13]Vagt!A23,"")</f>
        <v>54116</v>
      </c>
      <c r="B78" s="302">
        <f>IF([13]Vagt!B23&lt;&gt;"",[13]Vagt!B23,"")</f>
        <v>132</v>
      </c>
      <c r="C78" s="303">
        <f>IF([13]Vagt!C23&lt;&gt;"",[13]Vagt!C23,"")</f>
        <v>40057</v>
      </c>
      <c r="D78" s="286" t="str">
        <f>IF([13]Vagt!D23&lt;&gt;"",[13]Vagt!D23,"")</f>
        <v>Hans Nansens Gård (Kejd)(FM)</v>
      </c>
      <c r="E78" s="286"/>
      <c r="F78" s="575">
        <f>IF([13]Vagt!F23&lt;&gt;"",[13]Vagt!F23,"")</f>
        <v>182255</v>
      </c>
      <c r="G78" s="387" t="e">
        <f>IF([13]Vagt!G23&lt;&gt;"",[13]Vagt!G23,"")</f>
        <v>#REF!</v>
      </c>
      <c r="H78" s="388" t="e">
        <f>IF([13]Vagt!H23&lt;&gt;"",[13]Vagt!H23,"")</f>
        <v>#REF!</v>
      </c>
      <c r="I78" s="565">
        <f>IF([13]Vagt!I23&lt;&gt;"",[13]Vagt!I23,"")</f>
        <v>39630</v>
      </c>
      <c r="J78" s="286" t="str">
        <f>IF([13]Vagt!J23&lt;&gt;"",[13]Vagt!J23,"")</f>
        <v>Rådhuset</v>
      </c>
      <c r="K78" s="286">
        <f>IF([13]Vagt!K23&lt;&gt;"",[13]Vagt!K23,"")</f>
        <v>40179</v>
      </c>
      <c r="L78" s="286" t="str">
        <f>IF([13]Vagt!L23&lt;&gt;"",[13]Vagt!L23,"")</f>
        <v>BUF</v>
      </c>
      <c r="M78" s="286"/>
      <c r="N78" s="557">
        <f>IF([13]Vagt!N23&lt;&gt;"",[13]Vagt!N23,"")</f>
        <v>578646</v>
      </c>
      <c r="O78" s="291"/>
      <c r="P78" s="244"/>
      <c r="Q78" s="227"/>
    </row>
    <row r="79" spans="1:17">
      <c r="A79" s="559">
        <f>IF([13]Vagt!A24&lt;&gt;"",[13]Vagt!A24,"")</f>
        <v>38050</v>
      </c>
      <c r="B79" s="302" t="str">
        <f>IF([13]Vagt!B24&lt;&gt;"",[13]Vagt!B24,"")</f>
        <v>724 a</v>
      </c>
      <c r="C79" s="303">
        <f>IF([13]Vagt!C24&lt;&gt;"",[13]Vagt!C24,"")</f>
        <v>39448</v>
      </c>
      <c r="D79" s="286" t="str">
        <f>IF([13]Vagt!D24&lt;&gt;"",[13]Vagt!D24,"")</f>
        <v>Stormgade 18 (BUF)</v>
      </c>
      <c r="E79" s="286"/>
      <c r="F79" s="575">
        <f>IF([13]Vagt!F24&lt;&gt;"",[13]Vagt!F24,"")</f>
        <v>30662</v>
      </c>
      <c r="G79" s="387" t="e">
        <f>IF([13]Vagt!G24&lt;&gt;"",[13]Vagt!G24,"")</f>
        <v>#REF!</v>
      </c>
      <c r="H79" s="388" t="e">
        <f>IF([13]Vagt!H24&lt;&gt;"",[13]Vagt!H24,"")</f>
        <v>#REF!</v>
      </c>
      <c r="I79" s="565">
        <f>IF([13]Vagt!I24&lt;&gt;"",[13]Vagt!I24,"")</f>
        <v>49700</v>
      </c>
      <c r="J79" s="286" t="str">
        <f>IF([13]Vagt!J24&lt;&gt;"",[13]Vagt!J24,"")</f>
        <v>Rådhuset</v>
      </c>
      <c r="K79" s="286">
        <f>IF([13]Vagt!K24&lt;&gt;"",[13]Vagt!K24,"")</f>
        <v>40179</v>
      </c>
      <c r="L79" s="286" t="str">
        <f>IF([13]Vagt!L24&lt;&gt;"",[13]Vagt!L24,"")</f>
        <v>TMF</v>
      </c>
      <c r="M79" s="286"/>
      <c r="N79" s="557">
        <f>IF([13]Vagt!N24&lt;&gt;"",[13]Vagt!N24,"")</f>
        <v>542491</v>
      </c>
      <c r="O79" s="291"/>
      <c r="P79" s="244"/>
      <c r="Q79" s="227"/>
    </row>
    <row r="80" spans="1:17">
      <c r="A80" s="559">
        <f>IF([13]Vagt!A25&lt;&gt;"",[13]Vagt!A25,"")</f>
        <v>54100</v>
      </c>
      <c r="B80" s="302">
        <f>IF([13]Vagt!B25&lt;&gt;"",[13]Vagt!B25,"")</f>
        <v>133</v>
      </c>
      <c r="C80" s="303">
        <f>IF([13]Vagt!C25&lt;&gt;"",[13]Vagt!C25,"")</f>
        <v>40040</v>
      </c>
      <c r="D80" s="286" t="str">
        <f>IF([13]Vagt!D25&lt;&gt;"",[13]Vagt!D25,"")</f>
        <v>Den Hvide Kødby (vagtkørsel)</v>
      </c>
      <c r="E80" s="286"/>
      <c r="F80" s="575" t="e">
        <f>IF([13]Vagt!F25&lt;&gt;"",[13]Vagt!F25,"")</f>
        <v>#REF!</v>
      </c>
      <c r="G80" s="387" t="str">
        <f>IF([13]Vagt!G25&lt;&gt;"",[13]Vagt!G25,"")</f>
        <v>18.553 pr. måned(Per sender regning hver måned</v>
      </c>
      <c r="H80" s="388" t="e">
        <f>IF([13]Vagt!H25&lt;&gt;"",[13]Vagt!H25,"")</f>
        <v>#REF!</v>
      </c>
      <c r="I80" s="565">
        <f>IF([13]Vagt!I25&lt;&gt;"",[13]Vagt!I25,"")</f>
        <v>60109</v>
      </c>
      <c r="J80" s="286" t="str">
        <f>IF([13]Vagt!J25&lt;&gt;"",[13]Vagt!J25,"")</f>
        <v>Rådhuset</v>
      </c>
      <c r="K80" s="286">
        <f>IF([13]Vagt!K25&lt;&gt;"",[13]Vagt!K25,"")</f>
        <v>40179</v>
      </c>
      <c r="L80" s="286" t="str">
        <f>IF([13]Vagt!L25&lt;&gt;"",[13]Vagt!L25,"")</f>
        <v>SOF</v>
      </c>
      <c r="M80" s="286"/>
      <c r="N80" s="557">
        <f>IF([13]Vagt!N25&lt;&gt;"",[13]Vagt!N25,"")</f>
        <v>717095</v>
      </c>
      <c r="O80" s="291"/>
      <c r="P80" s="244"/>
      <c r="Q80" s="227"/>
    </row>
    <row r="81" spans="1:17">
      <c r="A81" s="559" t="e">
        <f>IF([13]Vagt!A26&lt;&gt;"",[13]Vagt!A26,"")</f>
        <v>#REF!</v>
      </c>
      <c r="B81" s="302">
        <f>IF([13]Vagt!B26&lt;&gt;"",[13]Vagt!B26,"")</f>
        <v>140</v>
      </c>
      <c r="C81" s="303">
        <f>IF([13]Vagt!C26&lt;&gt;"",[13]Vagt!C26,"")</f>
        <v>40575</v>
      </c>
      <c r="D81" s="286" t="str">
        <f>IF([13]Vagt!D26&lt;&gt;"",[13]Vagt!D26,"")</f>
        <v>Hornemanns Vænge 9(slut 1-5-12)</v>
      </c>
      <c r="E81" s="286"/>
      <c r="F81" s="575" t="e">
        <f>IF([13]Vagt!F26&lt;&gt;"",[13]Vagt!F26,"")</f>
        <v>#REF!</v>
      </c>
      <c r="G81" s="564" t="str">
        <f>IF([13]Vagt!G26&lt;&gt;"",[13]Vagt!G26,"")</f>
        <v>4881 pr. måned(Per sender regning hver måned</v>
      </c>
      <c r="H81" s="563" t="e">
        <f>IF([13]Vagt!H26&lt;&gt;"",[13]Vagt!H26,"")</f>
        <v>#REF!</v>
      </c>
      <c r="I81" s="566">
        <f>IF([13]Vagt!I26&lt;&gt;"",[13]Vagt!I26,"")</f>
        <v>11023</v>
      </c>
      <c r="J81" s="562" t="str">
        <f>IF([13]Vagt!J26&lt;&gt;"",[13]Vagt!J26,"")</f>
        <v>Rådhuset</v>
      </c>
      <c r="K81" s="562">
        <f>IF([13]Vagt!K26&lt;&gt;"",[13]Vagt!K26,"")</f>
        <v>40179</v>
      </c>
      <c r="L81" s="562" t="str">
        <f>IF([13]Vagt!L26&lt;&gt;"",[13]Vagt!L26,"")</f>
        <v>ØKF</v>
      </c>
      <c r="M81" s="562"/>
      <c r="N81" s="577">
        <f>IF([13]Vagt!N26&lt;&gt;"",[13]Vagt!N26,"")</f>
        <v>4118094</v>
      </c>
      <c r="O81" s="317"/>
      <c r="P81" s="244"/>
      <c r="Q81" s="227"/>
    </row>
    <row r="82" spans="1:17">
      <c r="A82" s="559">
        <f>IF([13]Vagt!A27&lt;&gt;"",[13]Vagt!A27,"")</f>
        <v>39610</v>
      </c>
      <c r="B82" s="302">
        <f>IF([13]Vagt!B27&lt;&gt;"",[13]Vagt!B27,"")</f>
        <v>153</v>
      </c>
      <c r="C82" s="303" t="str">
        <f>IF([13]Vagt!C27&lt;&gt;"",[13]Vagt!C27,"")</f>
        <v>1-2-12-31-7-12</v>
      </c>
      <c r="D82" s="286" t="str">
        <f>IF([13]Vagt!D27&lt;&gt;"",[13]Vagt!D27,"")</f>
        <v>BUF Skolesupport</v>
      </c>
      <c r="E82" s="286"/>
      <c r="F82" s="575">
        <f>IF([13]Vagt!F27&lt;&gt;"",[13]Vagt!F27,"")</f>
        <v>80000</v>
      </c>
      <c r="G82" s="387" t="e">
        <f>IF([13]Vagt!G27&lt;&gt;"",[13]Vagt!G27,"")</f>
        <v>#REF!</v>
      </c>
      <c r="H82" s="563" t="e">
        <f>IF([13]Vagt!H27&lt;&gt;"",[13]Vagt!H27,"")</f>
        <v>#REF!</v>
      </c>
      <c r="I82" s="566">
        <f>IF([13]Vagt!I27&lt;&gt;"",[13]Vagt!I27,"")</f>
        <v>11023</v>
      </c>
      <c r="J82" s="562" t="str">
        <f>IF([13]Vagt!J27&lt;&gt;"",[13]Vagt!J27,"")</f>
        <v>Rådhuset</v>
      </c>
      <c r="K82" s="562">
        <f>IF([13]Vagt!K27&lt;&gt;"",[13]Vagt!K27,"")</f>
        <v>40179</v>
      </c>
      <c r="L82" s="562" t="str">
        <f>IF([13]Vagt!L27&lt;&gt;"",[13]Vagt!L27,"")</f>
        <v>BR</v>
      </c>
      <c r="M82" s="562"/>
      <c r="N82" s="577">
        <f>IF([13]Vagt!N27&lt;&gt;"",[13]Vagt!N27,"")</f>
        <v>1085980</v>
      </c>
      <c r="O82" s="317"/>
      <c r="P82" s="244"/>
      <c r="Q82" s="227"/>
    </row>
    <row r="83" spans="1:17">
      <c r="A83" s="559" t="e">
        <f>IF([13]Vagt!A28&lt;&gt;"",[13]Vagt!A28,"")</f>
        <v>#REF!</v>
      </c>
      <c r="B83" s="302">
        <f>IF([13]Vagt!B28&lt;&gt;"",[13]Vagt!B28,"")</f>
        <v>154</v>
      </c>
      <c r="C83" s="303">
        <f>IF([13]Vagt!C28&lt;&gt;"",[13]Vagt!C28,"")</f>
        <v>40967</v>
      </c>
      <c r="D83" s="286" t="str">
        <f>IF([13]Vagt!D28&lt;&gt;"",[13]Vagt!D28,"")</f>
        <v>KFF Biblioteker</v>
      </c>
      <c r="E83" s="286"/>
      <c r="F83" s="575">
        <f>IF([13]Vagt!F28&lt;&gt;"",[13]Vagt!F28,"")</f>
        <v>116943</v>
      </c>
      <c r="G83" s="387" t="e">
        <f>IF([13]Vagt!G28&lt;&gt;"",[13]Vagt!G28,"")</f>
        <v>#REF!</v>
      </c>
      <c r="H83" s="563" t="e">
        <f>IF([13]Vagt!H28&lt;&gt;"",[13]Vagt!H28,"")</f>
        <v>#REF!</v>
      </c>
      <c r="I83" s="566" t="str">
        <f>IF([13]Vagt!I28&lt;&gt;"",[13]Vagt!I28,"")</f>
        <v>Posteres</v>
      </c>
      <c r="J83" s="562" t="str">
        <f>IF([13]Vagt!J28&lt;&gt;"",[13]Vagt!J28,"")</f>
        <v>Rådhuset</v>
      </c>
      <c r="K83" s="562">
        <f>IF([13]Vagt!K28&lt;&gt;"",[13]Vagt!K28,"")</f>
        <v>40179</v>
      </c>
      <c r="L83" s="562" t="str">
        <f>IF([13]Vagt!L28&lt;&gt;"",[13]Vagt!L28,"")</f>
        <v>KFF</v>
      </c>
      <c r="M83" s="562"/>
      <c r="N83" s="577">
        <f>IF([13]Vagt!N28&lt;&gt;"",[13]Vagt!N28,"")</f>
        <v>1681126</v>
      </c>
      <c r="O83" s="317"/>
      <c r="P83" s="244"/>
      <c r="Q83" s="227"/>
    </row>
    <row r="84" spans="1:17">
      <c r="A84" s="559">
        <f>IF([13]Vagt!A29&lt;&gt;"",[13]Vagt!A29,"")</f>
        <v>28100</v>
      </c>
      <c r="B84" s="302">
        <f>IF([13]Vagt!B29&lt;&gt;"",[13]Vagt!B29,"")</f>
        <v>728</v>
      </c>
      <c r="C84" s="303">
        <f>IF([13]Vagt!C29&lt;&gt;"",[13]Vagt!C29,"")</f>
        <v>38846</v>
      </c>
      <c r="D84" s="286" t="str">
        <f>IF([13]Vagt!D29&lt;&gt;"",[13]Vagt!D29,"")</f>
        <v>Enghavevej</v>
      </c>
      <c r="E84" s="286"/>
      <c r="F84" s="575">
        <f>IF([13]Vagt!F29&lt;&gt;"",[13]Vagt!F29,"")</f>
        <v>73827</v>
      </c>
      <c r="G84" s="387" t="e">
        <f>IF([13]Vagt!G29&lt;&gt;"",[13]Vagt!G29,"")</f>
        <v>#REF!</v>
      </c>
      <c r="H84" s="388" t="e">
        <f>IF([13]Vagt!H29&lt;&gt;"",[13]Vagt!H29,"")</f>
        <v>#REF!</v>
      </c>
      <c r="I84" s="565" t="e">
        <f>IF([13]Vagt!I29&lt;&gt;"",[13]Vagt!I29,"")</f>
        <v>#REF!</v>
      </c>
      <c r="J84" s="286" t="e">
        <f>IF([13]Vagt!J29&lt;&gt;"",[13]Vagt!J29,"")</f>
        <v>#REF!</v>
      </c>
      <c r="K84" s="286" t="e">
        <f>IF([13]Vagt!K29&lt;&gt;"",[13]Vagt!K29,"")</f>
        <v>#REF!</v>
      </c>
      <c r="L84" s="286" t="e">
        <f>IF([13]Vagt!L29&lt;&gt;"",[13]Vagt!L29,"")</f>
        <v>#REF!</v>
      </c>
      <c r="M84" s="286"/>
      <c r="N84" s="557" t="e">
        <f>IF([13]Vagt!N29&lt;&gt;"",[13]Vagt!N29,"")</f>
        <v>#REF!</v>
      </c>
      <c r="O84" s="317"/>
      <c r="P84" s="244"/>
      <c r="Q84" s="227"/>
    </row>
    <row r="85" spans="1:17">
      <c r="A85" s="559">
        <f>IF([13]Vagt!A30&lt;&gt;"",[13]Vagt!A30,"")</f>
        <v>82500</v>
      </c>
      <c r="B85" s="302">
        <f>IF([13]Vagt!B30&lt;&gt;"",[13]Vagt!B30,"")</f>
        <v>151</v>
      </c>
      <c r="C85" s="303">
        <f>IF([13]Vagt!C30&lt;&gt;"",[13]Vagt!C30,"")</f>
        <v>40603</v>
      </c>
      <c r="D85" s="286" t="str">
        <f>IF([13]Vagt!D30&lt;&gt;"",[13]Vagt!D30,"")</f>
        <v>BIF-Baldersgade 24</v>
      </c>
      <c r="E85" s="286"/>
      <c r="F85" s="575">
        <f>IF([13]Vagt!F30&lt;&gt;"",[13]Vagt!F30,"")</f>
        <v>94947</v>
      </c>
      <c r="G85" s="387" t="e">
        <f>IF([13]Vagt!G30&lt;&gt;"",[13]Vagt!G30,"")</f>
        <v>#REF!</v>
      </c>
      <c r="H85" s="388" t="e">
        <f>IF([13]Vagt!H30&lt;&gt;"",[13]Vagt!H30,"")</f>
        <v>#REF!</v>
      </c>
      <c r="I85" s="565" t="e">
        <f>IF([13]Vagt!I30&lt;&gt;"",[13]Vagt!I30,"")</f>
        <v>#REF!</v>
      </c>
      <c r="J85" s="286" t="e">
        <f>IF([13]Vagt!J30&lt;&gt;"",[13]Vagt!J30,"")</f>
        <v>#REF!</v>
      </c>
      <c r="K85" s="286" t="e">
        <f>IF([13]Vagt!K30&lt;&gt;"",[13]Vagt!K30,"")</f>
        <v>#REF!</v>
      </c>
      <c r="L85" s="286" t="e">
        <f>IF([13]Vagt!L30&lt;&gt;"",[13]Vagt!L30,"")</f>
        <v>#REF!</v>
      </c>
      <c r="M85" s="286"/>
      <c r="N85" s="557" t="e">
        <f>IF([13]Vagt!N30&lt;&gt;"",[13]Vagt!N30,"")</f>
        <v>#REF!</v>
      </c>
      <c r="O85" s="317"/>
      <c r="P85" s="244"/>
      <c r="Q85" s="227"/>
    </row>
    <row r="86" spans="1:17">
      <c r="A86" s="559">
        <f>IF([13]Vagt!A31&lt;&gt;"",[13]Vagt!A31,"")</f>
        <v>82505</v>
      </c>
      <c r="B86" s="302">
        <f>IF([13]Vagt!B31&lt;&gt;"",[13]Vagt!B31,"")</f>
        <v>152</v>
      </c>
      <c r="C86" s="303">
        <f>IF([13]Vagt!C31&lt;&gt;"",[13]Vagt!C31,"")</f>
        <v>40603</v>
      </c>
      <c r="D86" s="286" t="str">
        <f>IF([13]Vagt!D31&lt;&gt;"",[13]Vagt!D31,"")</f>
        <v>BIF-Baldersgade 3B, 1. + 3. sal</v>
      </c>
      <c r="E86" s="286"/>
      <c r="F86" s="575">
        <f>IF([13]Vagt!F31&lt;&gt;"",[13]Vagt!F31,"")</f>
        <v>41689</v>
      </c>
      <c r="G86" s="387" t="e">
        <f>IF([13]Vagt!G31&lt;&gt;"",[13]Vagt!G31,"")</f>
        <v>#REF!</v>
      </c>
      <c r="H86" s="388" t="e">
        <f>IF([13]Vagt!H31&lt;&gt;"",[13]Vagt!H31,"")</f>
        <v>#REF!</v>
      </c>
      <c r="I86" s="565" t="e">
        <f>IF([13]Vagt!I31&lt;&gt;"",[13]Vagt!I31,"")</f>
        <v>#REF!</v>
      </c>
      <c r="J86" s="286" t="e">
        <f>IF([13]Vagt!J31&lt;&gt;"",[13]Vagt!J31,"")</f>
        <v>#REF!</v>
      </c>
      <c r="K86" s="286" t="e">
        <f>IF([13]Vagt!K31&lt;&gt;"",[13]Vagt!K31,"")</f>
        <v>#REF!</v>
      </c>
      <c r="L86" s="286" t="e">
        <f>IF([13]Vagt!L31&lt;&gt;"",[13]Vagt!L31,"")</f>
        <v>#REF!</v>
      </c>
      <c r="M86" s="286"/>
      <c r="N86" s="557" t="e">
        <f>IF([13]Vagt!N31&lt;&gt;"",[13]Vagt!N31,"")</f>
        <v>#REF!</v>
      </c>
      <c r="O86" s="317"/>
      <c r="P86" s="244"/>
      <c r="Q86" s="227"/>
    </row>
    <row r="87" spans="1:17">
      <c r="A87" s="559">
        <f>IF([13]Vagt!A32&lt;&gt;"",[13]Vagt!A32,"")</f>
        <v>62400</v>
      </c>
      <c r="B87" s="302">
        <f>IF([13]Vagt!B32&lt;&gt;"",[13]Vagt!B32,"")</f>
        <v>141</v>
      </c>
      <c r="C87" s="568">
        <f>IF([13]Vagt!C32&lt;&gt;"",[13]Vagt!C32,"")</f>
        <v>40544</v>
      </c>
      <c r="D87" s="286" t="str">
        <f>IF([13]Vagt!D32&lt;&gt;"",[13]Vagt!D32,"")</f>
        <v>SOF-Nørre Voldgade 15, 1. sal</v>
      </c>
      <c r="E87" s="286"/>
      <c r="F87" s="575">
        <f>IF([13]Vagt!F32&lt;&gt;"",[13]Vagt!F32,"")</f>
        <v>18298</v>
      </c>
      <c r="G87" s="387" t="str">
        <f>IF([13]Vagt!G32&lt;&gt;"",[13]Vagt!G32,"")</f>
        <v>637 m2 af 28,19</v>
      </c>
      <c r="H87" s="388" t="e">
        <f>IF([13]Vagt!H32&lt;&gt;"",[13]Vagt!H32,"")</f>
        <v>#REF!</v>
      </c>
      <c r="I87" s="565" t="e">
        <f>IF([13]Vagt!I32&lt;&gt;"",[13]Vagt!I32,"")</f>
        <v>#REF!</v>
      </c>
      <c r="J87" s="286" t="e">
        <f>IF([13]Vagt!J32&lt;&gt;"",[13]Vagt!J32,"")</f>
        <v>#REF!</v>
      </c>
      <c r="K87" s="286" t="e">
        <f>IF([13]Vagt!K32&lt;&gt;"",[13]Vagt!K32,"")</f>
        <v>#REF!</v>
      </c>
      <c r="L87" s="286" t="e">
        <f>IF([13]Vagt!L32&lt;&gt;"",[13]Vagt!L32,"")</f>
        <v>#REF!</v>
      </c>
      <c r="M87" s="286"/>
      <c r="N87" s="557" t="e">
        <f>IF([13]Vagt!N32&lt;&gt;"",[13]Vagt!N32,"")</f>
        <v>#REF!</v>
      </c>
      <c r="O87" s="317"/>
      <c r="P87" s="244"/>
      <c r="Q87" s="227"/>
    </row>
    <row r="88" spans="1:17">
      <c r="A88" s="559">
        <f>IF([13]Vagt!A33&lt;&gt;"",[13]Vagt!A33,"")</f>
        <v>60109</v>
      </c>
      <c r="B88" s="302">
        <f>IF([13]Vagt!B33&lt;&gt;"",[13]Vagt!B33,"")</f>
        <v>142</v>
      </c>
      <c r="C88" s="568">
        <f>IF([13]Vagt!C33&lt;&gt;"",[13]Vagt!C33,"")</f>
        <v>40544</v>
      </c>
      <c r="D88" s="286" t="str">
        <f>IF([13]Vagt!D33&lt;&gt;"",[13]Vagt!D33,"")</f>
        <v>SOF-Nørre Voldgade 15, 1.2.4.5.sal</v>
      </c>
      <c r="E88" s="286"/>
      <c r="F88" s="575">
        <f>IF([13]Vagt!F33&lt;&gt;"",[13]Vagt!F33,"")</f>
        <v>54291</v>
      </c>
      <c r="G88" s="387" t="str">
        <f>IF([13]Vagt!G33&lt;&gt;"",[13]Vagt!G33,"")</f>
        <v>1890 m2 af 28,19</v>
      </c>
      <c r="H88" s="388" t="e">
        <f>IF([13]Vagt!H33&lt;&gt;"",[13]Vagt!H33,"")</f>
        <v>#REF!</v>
      </c>
      <c r="I88" s="565" t="e">
        <f>IF([13]Vagt!I33&lt;&gt;"",[13]Vagt!I33,"")</f>
        <v>#REF!</v>
      </c>
      <c r="J88" s="286" t="str">
        <f>IF([13]Vagt!J33&lt;&gt;"",[13]Vagt!J33,"")</f>
        <v>Årligt</v>
      </c>
      <c r="K88" s="286" t="e">
        <f>IF([13]Vagt!K33&lt;&gt;"",[13]Vagt!K33,"")</f>
        <v>#REF!</v>
      </c>
      <c r="L88" s="286" t="e">
        <f>IF([13]Vagt!L33&lt;&gt;"",[13]Vagt!L33,"")</f>
        <v>#REF!</v>
      </c>
      <c r="M88" s="286"/>
      <c r="N88" s="557">
        <f>IF([13]Vagt!N33&lt;&gt;"",[13]Vagt!N33,"")</f>
        <v>13527301</v>
      </c>
      <c r="O88" s="317"/>
      <c r="P88" s="244"/>
      <c r="Q88" s="227"/>
    </row>
    <row r="89" spans="1:17">
      <c r="A89" s="559">
        <f>IF([13]Vagt!A34&lt;&gt;"",[13]Vagt!A34,"")</f>
        <v>67004</v>
      </c>
      <c r="B89" s="302">
        <f>IF([13]Vagt!B34&lt;&gt;"",[13]Vagt!B34,"")</f>
        <v>143</v>
      </c>
      <c r="C89" s="568">
        <f>IF([13]Vagt!C34&lt;&gt;"",[13]Vagt!C34,"")</f>
        <v>40544</v>
      </c>
      <c r="D89" s="286" t="str">
        <f>IF([13]Vagt!D34&lt;&gt;"",[13]Vagt!D34,"")</f>
        <v>SOF-Nørre Voldgade 15, 5. sal</v>
      </c>
      <c r="E89" s="286"/>
      <c r="F89" s="575">
        <f>IF([13]Vagt!F34&lt;&gt;"",[13]Vagt!F34,"")</f>
        <v>1666</v>
      </c>
      <c r="G89" s="564" t="str">
        <f>IF([13]Vagt!G34&lt;&gt;"",[13]Vagt!G34,"")</f>
        <v>58 m2 af 28,19</v>
      </c>
      <c r="H89" s="388" t="e">
        <f>IF([13]Vagt!H34&lt;&gt;"",[13]Vagt!H34,"")</f>
        <v>#REF!</v>
      </c>
      <c r="I89" s="565" t="e">
        <f>IF([13]Vagt!I34&lt;&gt;"",[13]Vagt!I34,"")</f>
        <v>#REF!</v>
      </c>
      <c r="J89" s="567" t="e">
        <f>IF([13]Vagt!J34&lt;&gt;"",[13]Vagt!J34,"")</f>
        <v>#REF!</v>
      </c>
      <c r="K89" s="286" t="e">
        <f>IF([13]Vagt!K34&lt;&gt;"",[13]Vagt!K34,"")</f>
        <v>#REF!</v>
      </c>
      <c r="L89" s="286" t="e">
        <f>IF([13]Vagt!L34&lt;&gt;"",[13]Vagt!L34,"")</f>
        <v>#REF!</v>
      </c>
      <c r="M89" s="286"/>
      <c r="N89" s="557" t="e">
        <f>IF([13]Vagt!N34&lt;&gt;"",[13]Vagt!N34,"")</f>
        <v>#REF!</v>
      </c>
      <c r="O89" s="320"/>
      <c r="P89" s="244"/>
      <c r="Q89" s="227"/>
    </row>
    <row r="90" spans="1:17">
      <c r="A90" s="559">
        <f>IF([13]Vagt!A35&lt;&gt;"",[13]Vagt!A35,"")</f>
        <v>62300</v>
      </c>
      <c r="B90" s="302">
        <f>IF([13]Vagt!B35&lt;&gt;"",[13]Vagt!B35,"")</f>
        <v>144</v>
      </c>
      <c r="C90" s="303">
        <f>IF([13]Vagt!C35&lt;&gt;"",[13]Vagt!C35,"")</f>
        <v>40544</v>
      </c>
      <c r="D90" s="286" t="str">
        <f>IF([13]Vagt!D35&lt;&gt;"",[13]Vagt!D35,"")</f>
        <v>SOF-Linne Gade 16, i port 2</v>
      </c>
      <c r="E90" s="286"/>
      <c r="F90" s="575">
        <f>IF([13]Vagt!F35&lt;&gt;"",[13]Vagt!F35,"")</f>
        <v>3734</v>
      </c>
      <c r="G90" s="564" t="str">
        <f>IF([13]Vagt!G35&lt;&gt;"",[13]Vagt!G35,"")</f>
        <v>130 m2 af 28,19</v>
      </c>
      <c r="H90" s="388" t="e">
        <f>IF([13]Vagt!H35&lt;&gt;"",[13]Vagt!H35,"")</f>
        <v>#REF!</v>
      </c>
      <c r="I90" s="565" t="e">
        <f>IF([13]Vagt!I35&lt;&gt;"",[13]Vagt!I35,"")</f>
        <v>#REF!</v>
      </c>
      <c r="J90" s="567" t="str">
        <f>IF([13]Vagt!J35&lt;&gt;"",[13]Vagt!J35,"")</f>
        <v>Månedligt</v>
      </c>
      <c r="K90" s="286" t="e">
        <f>IF([13]Vagt!K35&lt;&gt;"",[13]Vagt!K35,"")</f>
        <v>#REF!</v>
      </c>
      <c r="L90" s="286" t="e">
        <f>IF([13]Vagt!L35&lt;&gt;"",[13]Vagt!L35,"")</f>
        <v>#REF!</v>
      </c>
      <c r="M90" s="286"/>
      <c r="N90" s="557">
        <f>IF([13]Vagt!N35&lt;&gt;"",[13]Vagt!N35,"")</f>
        <v>1127275.0833333333</v>
      </c>
      <c r="O90" s="320"/>
      <c r="P90" s="244"/>
      <c r="Q90" s="227"/>
    </row>
    <row r="91" spans="1:17">
      <c r="A91" s="559">
        <f>IF([13]Vagt!A36&lt;&gt;"",[13]Vagt!A36,"")</f>
        <v>33410</v>
      </c>
      <c r="B91" s="302">
        <f>IF([13]Vagt!B36&lt;&gt;"",[13]Vagt!B36,"")</f>
        <v>145</v>
      </c>
      <c r="C91" s="303">
        <f>IF([13]Vagt!C36&lt;&gt;"",[13]Vagt!C36,"")</f>
        <v>40544</v>
      </c>
      <c r="D91" s="286" t="str">
        <f>IF([13]Vagt!D36&lt;&gt;"",[13]Vagt!D36,"")</f>
        <v>BUF-Nørre Voldgade 15, 3.5. sal</v>
      </c>
      <c r="E91" s="286"/>
      <c r="F91" s="575">
        <f>IF([13]Vagt!F36&lt;&gt;"",[13]Vagt!F36,"")</f>
        <v>16166</v>
      </c>
      <c r="G91" s="564" t="str">
        <f>IF([13]Vagt!G36&lt;&gt;"",[13]Vagt!G36,"")</f>
        <v>60% af 938 m2 af 28,19</v>
      </c>
      <c r="H91" s="388" t="e">
        <f>IF([13]Vagt!H36&lt;&gt;"",[13]Vagt!H36,"")</f>
        <v>#REF!</v>
      </c>
      <c r="I91" s="565" t="e">
        <f>IF([13]Vagt!I36&lt;&gt;"",[13]Vagt!I36,"")</f>
        <v>#REF!</v>
      </c>
      <c r="J91" s="567" t="e">
        <f>IF([13]Vagt!J36&lt;&gt;"",[13]Vagt!J36,"")</f>
        <v>#REF!</v>
      </c>
      <c r="K91" s="286" t="e">
        <f>IF([13]Vagt!K36&lt;&gt;"",[13]Vagt!K36,"")</f>
        <v>#REF!</v>
      </c>
      <c r="L91" s="286" t="e">
        <f>IF([13]Vagt!L36&lt;&gt;"",[13]Vagt!L36,"")</f>
        <v>#REF!</v>
      </c>
      <c r="M91" s="286"/>
      <c r="N91" s="557" t="e">
        <f>IF([13]Vagt!N36&lt;&gt;"",[13]Vagt!N36,"")</f>
        <v>#REF!</v>
      </c>
      <c r="O91" s="320"/>
      <c r="P91" s="244"/>
      <c r="Q91" s="227"/>
    </row>
    <row r="92" spans="1:17">
      <c r="A92" s="559">
        <f>IF([13]Vagt!A37&lt;&gt;"",[13]Vagt!A37,"")</f>
        <v>39851</v>
      </c>
      <c r="B92" s="302">
        <f>IF([13]Vagt!B37&lt;&gt;"",[13]Vagt!B37,"")</f>
        <v>146</v>
      </c>
      <c r="C92" s="303">
        <f>IF([13]Vagt!C37&lt;&gt;"",[13]Vagt!C37,"")</f>
        <v>40544</v>
      </c>
      <c r="D92" s="286" t="str">
        <f>IF([13]Vagt!D37&lt;&gt;"",[13]Vagt!D37,"")</f>
        <v>BUF-Frederiksborggade 15, 3.5. sal</v>
      </c>
      <c r="E92" s="286"/>
      <c r="F92" s="575">
        <f>IF([13]Vagt!F37&lt;&gt;"",[13]Vagt!F37,"")</f>
        <v>10778</v>
      </c>
      <c r="G92" s="564" t="str">
        <f>IF([13]Vagt!G37&lt;&gt;"",[13]Vagt!G37,"")</f>
        <v>40% af 938 m2 af 28,19</v>
      </c>
      <c r="H92" s="388" t="e">
        <f>IF([13]Vagt!H37&lt;&gt;"",[13]Vagt!H37,"")</f>
        <v>#REF!</v>
      </c>
      <c r="I92" s="565" t="e">
        <f>IF([13]Vagt!I37&lt;&gt;"",[13]Vagt!I37,"")</f>
        <v>#REF!</v>
      </c>
      <c r="J92" s="567" t="e">
        <f>IF([13]Vagt!J37&lt;&gt;"",[13]Vagt!J37,"")</f>
        <v>#REF!</v>
      </c>
      <c r="K92" s="286" t="e">
        <f>IF([13]Vagt!K37&lt;&gt;"",[13]Vagt!K37,"")</f>
        <v>#REF!</v>
      </c>
      <c r="L92" s="286" t="e">
        <f>IF([13]Vagt!L37&lt;&gt;"",[13]Vagt!L37,"")</f>
        <v>#REF!</v>
      </c>
      <c r="M92" s="286"/>
      <c r="N92" s="557" t="e">
        <f>IF([13]Vagt!N37&lt;&gt;"",[13]Vagt!N37,"")</f>
        <v>#REF!</v>
      </c>
      <c r="O92" s="291"/>
      <c r="P92" s="244"/>
      <c r="Q92" s="227"/>
    </row>
    <row r="93" spans="1:17">
      <c r="A93" s="559">
        <f>IF([13]Vagt!A38&lt;&gt;"",[13]Vagt!A38,"")</f>
        <v>31139</v>
      </c>
      <c r="B93" s="302">
        <f>IF([13]Vagt!B38&lt;&gt;"",[13]Vagt!B38,"")</f>
        <v>111</v>
      </c>
      <c r="C93" s="303">
        <f>IF([13]Vagt!C38&lt;&gt;"",[13]Vagt!C38,"")</f>
        <v>40634</v>
      </c>
      <c r="D93" s="286" t="str">
        <f>IF([13]Vagt!D38&lt;&gt;"",[13]Vagt!D38,"")</f>
        <v>BUF-Gasværksvej 22 (skole)</v>
      </c>
      <c r="E93" s="286"/>
      <c r="F93" s="575">
        <f>IF([13]Vagt!F38&lt;&gt;"",[13]Vagt!F38,"")</f>
        <v>58572</v>
      </c>
      <c r="G93" s="564" t="e">
        <f>IF([13]Vagt!G38&lt;&gt;"",[13]Vagt!G38,"")</f>
        <v>#REF!</v>
      </c>
      <c r="H93" s="388" t="e">
        <f>IF([13]Vagt!H38&lt;&gt;"",[13]Vagt!H38,"")</f>
        <v>#REF!</v>
      </c>
      <c r="I93" s="565" t="e">
        <f>IF([13]Vagt!I38&lt;&gt;"",[13]Vagt!I38,"")</f>
        <v>#REF!</v>
      </c>
      <c r="J93" s="567" t="e">
        <f>IF([13]Vagt!J38&lt;&gt;"",[13]Vagt!J38,"")</f>
        <v>#REF!</v>
      </c>
      <c r="K93" s="286" t="e">
        <f>IF([13]Vagt!K38&lt;&gt;"",[13]Vagt!K38,"")</f>
        <v>#REF!</v>
      </c>
      <c r="L93" s="286" t="e">
        <f>IF([13]Vagt!L38&lt;&gt;"",[13]Vagt!L38,"")</f>
        <v>#REF!</v>
      </c>
      <c r="M93" s="286"/>
      <c r="N93" s="557" t="e">
        <f>IF([13]Vagt!N38&lt;&gt;"",[13]Vagt!N38,"")</f>
        <v>#REF!</v>
      </c>
      <c r="O93" s="327"/>
      <c r="P93" s="244"/>
      <c r="Q93" s="227"/>
    </row>
    <row r="94" spans="1:17">
      <c r="A94" s="559" t="e">
        <f>IF([13]Vagt!A39&lt;&gt;"",[13]Vagt!A39,"")</f>
        <v>#REF!</v>
      </c>
      <c r="B94" s="302" t="str">
        <f>IF([13]Vagt!B39&lt;&gt;"",[13]Vagt!B39,"")</f>
        <v>Forsættes i højre side</v>
      </c>
      <c r="C94" s="303" t="e">
        <f>IF([13]Vagt!C39&lt;&gt;"",[13]Vagt!C39,"")</f>
        <v>#REF!</v>
      </c>
      <c r="D94" s="286" t="e">
        <f>IF([13]Vagt!D39&lt;&gt;"",[13]Vagt!D39,"")</f>
        <v>#REF!</v>
      </c>
      <c r="E94" s="286"/>
      <c r="F94" s="575">
        <f>IF([13]Vagt!F39&lt;&gt;"",[13]Vagt!F39,"")</f>
        <v>3332749</v>
      </c>
      <c r="G94" s="564" t="e">
        <f>IF([13]Vagt!G39&lt;&gt;"",[13]Vagt!G39,"")</f>
        <v>#REF!</v>
      </c>
      <c r="H94" s="388" t="e">
        <f>IF([13]Vagt!H39&lt;&gt;"",[13]Vagt!H39,"")</f>
        <v>#REF!</v>
      </c>
      <c r="I94" s="565" t="e">
        <f>IF([13]Vagt!I39&lt;&gt;"",[13]Vagt!I39,"")</f>
        <v>#REF!</v>
      </c>
      <c r="J94" s="567" t="e">
        <f>IF([13]Vagt!J39&lt;&gt;"",[13]Vagt!J39,"")</f>
        <v>#REF!</v>
      </c>
      <c r="K94" s="286" t="e">
        <f>IF([13]Vagt!K39&lt;&gt;"",[13]Vagt!K39,"")</f>
        <v>#REF!</v>
      </c>
      <c r="L94" s="286" t="e">
        <f>IF([13]Vagt!L39&lt;&gt;"",[13]Vagt!L39,"")</f>
        <v>#REF!</v>
      </c>
      <c r="M94" s="286"/>
      <c r="N94" s="557" t="e">
        <f>IF([13]Vagt!N39&lt;&gt;"",[13]Vagt!N39,"")</f>
        <v>#REF!</v>
      </c>
      <c r="O94" s="327"/>
      <c r="P94" s="244"/>
      <c r="Q94" s="227"/>
    </row>
    <row r="95" spans="1:17">
      <c r="A95" s="559" t="e">
        <f>IF([13]Vagt!A40&lt;&gt;"",[13]Vagt!A40,"")</f>
        <v>#REF!</v>
      </c>
      <c r="B95" s="302" t="e">
        <f>IF([13]Vagt!B40&lt;&gt;"",[13]Vagt!B40,"")</f>
        <v>#REF!</v>
      </c>
      <c r="C95" s="303" t="e">
        <f>IF([13]Vagt!C40&lt;&gt;"",[13]Vagt!C40,"")</f>
        <v>#REF!</v>
      </c>
      <c r="D95" s="286" t="e">
        <f>IF([13]Vagt!D40&lt;&gt;"",[13]Vagt!D40,"")</f>
        <v>#REF!</v>
      </c>
      <c r="E95" s="286"/>
      <c r="F95" s="575" t="e">
        <f>IF([13]Vagt!F40&lt;&gt;"",[13]Vagt!F40,"")</f>
        <v>#REF!</v>
      </c>
      <c r="G95" s="564" t="e">
        <f>IF([13]Vagt!G40&lt;&gt;"",[13]Vagt!G40,"")</f>
        <v>#REF!</v>
      </c>
      <c r="H95" s="388" t="e">
        <f>IF([13]Vagt!H40&lt;&gt;"",[13]Vagt!H40,"")</f>
        <v>#REF!</v>
      </c>
      <c r="I95" s="565" t="e">
        <f>IF([13]Vagt!I40&lt;&gt;"",[13]Vagt!I40,"")</f>
        <v>#REF!</v>
      </c>
      <c r="J95" s="567" t="e">
        <f>IF([13]Vagt!J40&lt;&gt;"",[13]Vagt!J40,"")</f>
        <v>#REF!</v>
      </c>
      <c r="K95" s="286" t="e">
        <f>IF([13]Vagt!K40&lt;&gt;"",[13]Vagt!K40,"")</f>
        <v>#REF!</v>
      </c>
      <c r="L95" s="286" t="e">
        <f>IF([13]Vagt!L40&lt;&gt;"",[13]Vagt!L40,"")</f>
        <v>#REF!</v>
      </c>
      <c r="M95" s="286"/>
      <c r="N95" s="557" t="e">
        <f>IF([13]Vagt!N40&lt;&gt;"",[13]Vagt!N40,"")</f>
        <v>#REF!</v>
      </c>
      <c r="O95" s="327"/>
      <c r="P95" s="244"/>
      <c r="Q95" s="227"/>
    </row>
    <row r="96" spans="1:17">
      <c r="A96" s="559" t="e">
        <f>IF([13]Vagt!A41&lt;&gt;"",[13]Vagt!A41,"")</f>
        <v>#REF!</v>
      </c>
      <c r="B96" s="302" t="e">
        <f>IF([13]Vagt!B41&lt;&gt;"",[13]Vagt!B41,"")</f>
        <v>#REF!</v>
      </c>
      <c r="C96" s="303" t="e">
        <f>IF([13]Vagt!C41&lt;&gt;"",[13]Vagt!C41,"")</f>
        <v>#REF!</v>
      </c>
      <c r="D96" s="286" t="e">
        <f>IF([13]Vagt!D41&lt;&gt;"",[13]Vagt!D41,"")</f>
        <v>#REF!</v>
      </c>
      <c r="E96" s="286"/>
      <c r="F96" s="575" t="e">
        <f>IF([13]Vagt!F41&lt;&gt;"",[13]Vagt!F41,"")</f>
        <v>#REF!</v>
      </c>
      <c r="G96" s="564" t="e">
        <f>IF([13]Vagt!G41&lt;&gt;"",[13]Vagt!G41,"")</f>
        <v>#REF!</v>
      </c>
      <c r="H96" s="388" t="e">
        <f>IF([13]Vagt!H41&lt;&gt;"",[13]Vagt!H41,"")</f>
        <v>#REF!</v>
      </c>
      <c r="I96" s="284" t="e">
        <f>IF([13]Vagt!I41&lt;&gt;"",[13]Vagt!I41,"")</f>
        <v>#REF!</v>
      </c>
      <c r="J96" s="567" t="e">
        <f>IF([13]Vagt!J41&lt;&gt;"",[13]Vagt!J41,"")</f>
        <v>#REF!</v>
      </c>
      <c r="K96" s="286" t="e">
        <f>IF([13]Vagt!K41&lt;&gt;"",[13]Vagt!K41,"")</f>
        <v>#REF!</v>
      </c>
      <c r="L96" s="286" t="e">
        <f>IF([13]Vagt!L41&lt;&gt;"",[13]Vagt!L41,"")</f>
        <v>#REF!</v>
      </c>
      <c r="M96" s="286"/>
      <c r="N96" s="557" t="e">
        <f>IF([13]Vagt!N41&lt;&gt;"",[13]Vagt!N41,"")</f>
        <v>#REF!</v>
      </c>
      <c r="O96" s="327"/>
      <c r="P96" s="244"/>
      <c r="Q96" s="227"/>
    </row>
    <row r="97" spans="1:17">
      <c r="A97" s="559" t="e">
        <f>IF([13]Vagt!A42&lt;&gt;"",[13]Vagt!A42,"")</f>
        <v>#REF!</v>
      </c>
      <c r="B97" s="302" t="e">
        <f>IF([13]Vagt!B42&lt;&gt;"",[13]Vagt!B42,"")</f>
        <v>#REF!</v>
      </c>
      <c r="C97" s="303" t="e">
        <f>IF([13]Vagt!C42&lt;&gt;"",[13]Vagt!C42,"")</f>
        <v>#REF!</v>
      </c>
      <c r="D97" s="286" t="e">
        <f>IF([13]Vagt!D42&lt;&gt;"",[13]Vagt!D42,"")</f>
        <v>#REF!</v>
      </c>
      <c r="E97" s="286"/>
      <c r="F97" s="575" t="e">
        <f>IF([13]Vagt!F42&lt;&gt;"",[13]Vagt!F42,"")</f>
        <v>#REF!</v>
      </c>
      <c r="G97" s="564" t="e">
        <f>IF([13]Vagt!G42&lt;&gt;"",[13]Vagt!G42,"")</f>
        <v>#REF!</v>
      </c>
      <c r="H97" s="388" t="e">
        <f>IF([13]Vagt!H42&lt;&gt;"",[13]Vagt!H42,"")</f>
        <v>#REF!</v>
      </c>
      <c r="I97" s="284" t="e">
        <f>IF([13]Vagt!I42&lt;&gt;"",[13]Vagt!I42,"")</f>
        <v>#REF!</v>
      </c>
      <c r="J97" s="286" t="e">
        <f>IF([13]Vagt!J42&lt;&gt;"",[13]Vagt!J42,"")</f>
        <v>#REF!</v>
      </c>
      <c r="K97" s="286" t="e">
        <f>IF([13]Vagt!K42&lt;&gt;"",[13]Vagt!K42,"")</f>
        <v>#REF!</v>
      </c>
      <c r="L97" s="286" t="e">
        <f>IF([13]Vagt!L42&lt;&gt;"",[13]Vagt!L42,"")</f>
        <v>#REF!</v>
      </c>
      <c r="M97" s="286"/>
      <c r="N97" s="557" t="e">
        <f>IF([13]Vagt!N42&lt;&gt;"",[13]Vagt!N42,"")</f>
        <v>#REF!</v>
      </c>
      <c r="O97" s="327"/>
      <c r="P97" s="244"/>
      <c r="Q97" s="227"/>
    </row>
    <row r="98" spans="1:17">
      <c r="A98" s="559" t="e">
        <f>IF([13]Vagt!A43&lt;&gt;"",[13]Vagt!A43,"")</f>
        <v>#REF!</v>
      </c>
      <c r="B98" s="302" t="e">
        <f>IF([13]Vagt!B43&lt;&gt;"",[13]Vagt!B43,"")</f>
        <v>#REF!</v>
      </c>
      <c r="C98" s="303" t="e">
        <f>IF([13]Vagt!C43&lt;&gt;"",[13]Vagt!C43,"")</f>
        <v>#REF!</v>
      </c>
      <c r="D98" s="286" t="e">
        <f>IF([13]Vagt!D43&lt;&gt;"",[13]Vagt!D43,"")</f>
        <v>#REF!</v>
      </c>
      <c r="E98" s="286"/>
      <c r="F98" s="575" t="e">
        <f>IF([13]Vagt!F43&lt;&gt;"",[13]Vagt!F43,"")</f>
        <v>#REF!</v>
      </c>
      <c r="G98" s="564" t="e">
        <f>IF([13]Vagt!G43&lt;&gt;"",[13]Vagt!G43,"")</f>
        <v>#REF!</v>
      </c>
      <c r="H98" s="388" t="e">
        <f>IF([13]Vagt!H43&lt;&gt;"",[13]Vagt!H43,"")</f>
        <v>#REF!</v>
      </c>
      <c r="I98" s="284" t="e">
        <f>IF([13]Vagt!I43&lt;&gt;"",[13]Vagt!I43,"")</f>
        <v>#REF!</v>
      </c>
      <c r="J98" s="286" t="e">
        <f>IF([13]Vagt!J43&lt;&gt;"",[13]Vagt!J43,"")</f>
        <v>#REF!</v>
      </c>
      <c r="K98" s="286" t="e">
        <f>IF([13]Vagt!K43&lt;&gt;"",[13]Vagt!K43,"")</f>
        <v>#REF!</v>
      </c>
      <c r="L98" s="286" t="e">
        <f>IF([13]Vagt!L43&lt;&gt;"",[13]Vagt!L43,"")</f>
        <v>#REF!</v>
      </c>
      <c r="M98" s="286"/>
      <c r="N98" s="557" t="e">
        <f>IF([13]Vagt!N43&lt;&gt;"",[13]Vagt!N43,"")</f>
        <v>#REF!</v>
      </c>
      <c r="O98" s="327"/>
      <c r="P98" s="244"/>
      <c r="Q98" s="227"/>
    </row>
    <row r="99" spans="1:17" ht="13.5" thickBot="1">
      <c r="A99" s="573" t="e">
        <f>IF([13]Vagt!A44&lt;&gt;"",[13]Vagt!A44,"")</f>
        <v>#REF!</v>
      </c>
      <c r="B99" s="464" t="e">
        <f>IF([13]Vagt!B44&lt;&gt;"",[13]Vagt!B44,"")</f>
        <v>#REF!</v>
      </c>
      <c r="C99" s="574" t="e">
        <f>IF([13]Vagt!C44&lt;&gt;"",[13]Vagt!C44,"")</f>
        <v>#REF!</v>
      </c>
      <c r="D99" s="464" t="e">
        <f>IF([13]Vagt!D44&lt;&gt;"",[13]Vagt!D44,"")</f>
        <v>#REF!</v>
      </c>
      <c r="E99" s="464"/>
      <c r="F99" s="576" t="e">
        <f>IF([13]Vagt!F44&lt;&gt;"",[13]Vagt!F44,"")</f>
        <v>#REF!</v>
      </c>
      <c r="G99" s="564" t="e">
        <f>IF([13]Vagt!G44&lt;&gt;"",[13]Vagt!G44,"")</f>
        <v>#REF!</v>
      </c>
      <c r="H99" s="388" t="e">
        <f>IF([13]Vagt!H44&lt;&gt;"",[13]Vagt!H44,"")</f>
        <v>#REF!</v>
      </c>
      <c r="I99" s="284" t="e">
        <f>IF([13]Vagt!I44&lt;&gt;"",[13]Vagt!I44,"")</f>
        <v>#REF!</v>
      </c>
      <c r="J99" s="286" t="e">
        <f>IF([13]Vagt!J44&lt;&gt;"",[13]Vagt!J44,"")</f>
        <v>#REF!</v>
      </c>
      <c r="K99" s="286" t="e">
        <f>IF([13]Vagt!K44&lt;&gt;"",[13]Vagt!K44,"")</f>
        <v>#REF!</v>
      </c>
      <c r="L99" s="286" t="e">
        <f>IF([13]Vagt!L44&lt;&gt;"",[13]Vagt!L44,"")</f>
        <v>#REF!</v>
      </c>
      <c r="M99" s="286"/>
      <c r="N99" s="557" t="e">
        <f>IF([13]Vagt!N44&lt;&gt;"",[13]Vagt!N44,"")</f>
        <v>#REF!</v>
      </c>
      <c r="O99" s="327"/>
      <c r="P99" s="244"/>
      <c r="Q99" s="227"/>
    </row>
    <row r="100" spans="1:17" ht="13.5" thickBot="1">
      <c r="A100" s="572" t="e">
        <f>IF([13]Vagt!A45&lt;&gt;"",[13]Vagt!A45,"")</f>
        <v>#REF!</v>
      </c>
      <c r="B100" s="572" t="e">
        <f>IF([13]Vagt!B45&lt;&gt;"",[13]Vagt!B45,"")</f>
        <v>#REF!</v>
      </c>
      <c r="C100" s="572"/>
      <c r="D100" s="572"/>
      <c r="E100" s="572"/>
      <c r="F100" s="582" t="e">
        <f>IF([13]Vagt!F45&lt;&gt;"",[13]Vagt!F45,"")</f>
        <v>#REF!</v>
      </c>
      <c r="G100" s="564" t="e">
        <f>IF([13]Vagt!G45&lt;&gt;"",[13]Vagt!G45,"")</f>
        <v>#REF!</v>
      </c>
      <c r="H100" s="388" t="e">
        <f>IF([13]Vagt!H45&lt;&gt;"",[13]Vagt!H45,"")</f>
        <v>#REF!</v>
      </c>
      <c r="I100" s="377" t="e">
        <f>IF([13]Vagt!I45&lt;&gt;"",[13]Vagt!I45,"")</f>
        <v>#REF!</v>
      </c>
      <c r="J100" s="309" t="e">
        <f>IF([13]Vagt!J45&lt;&gt;"",[13]Vagt!J45,"")</f>
        <v>#REF!</v>
      </c>
      <c r="K100" s="309" t="e">
        <f>IF([13]Vagt!K45&lt;&gt;"",[13]Vagt!K45,"")</f>
        <v>#REF!</v>
      </c>
      <c r="L100" s="309" t="e">
        <f>IF([13]Vagt!L45&lt;&gt;"",[13]Vagt!L45,"")</f>
        <v>#REF!</v>
      </c>
      <c r="M100" s="309"/>
      <c r="N100" s="578" t="e">
        <f>IF([13]Vagt!N45&lt;&gt;"",[13]Vagt!N45,"")</f>
        <v>#REF!</v>
      </c>
      <c r="O100" s="327"/>
      <c r="P100" s="244"/>
      <c r="Q100" s="227"/>
    </row>
    <row r="101" spans="1:17" ht="13.5" thickBot="1">
      <c r="A101" s="554" t="e">
        <f>IF([13]Vagt!A46&lt;&gt;"",[13]Vagt!A46,"")</f>
        <v>#REF!</v>
      </c>
      <c r="B101" s="554" t="e">
        <f>IF([13]Vagt!B46&lt;&gt;"",[13]Vagt!B46,"")</f>
        <v>#REF!</v>
      </c>
      <c r="C101" s="554" t="e">
        <f>IF([13]Vagt!C46&lt;&gt;"",[13]Vagt!C46,"")</f>
        <v>#REF!</v>
      </c>
      <c r="D101" s="554" t="e">
        <f>IF([13]Vagt!D46&lt;&gt;"",[13]Vagt!D46,"")</f>
        <v>#REF!</v>
      </c>
      <c r="E101" s="554" t="e">
        <f>IF([13]Vagt!E46&lt;&gt;"",[13]Vagt!E46,"")</f>
        <v>#REF!</v>
      </c>
      <c r="F101" s="554" t="e">
        <f>IF([13]Vagt!F46&lt;&gt;"",[13]Vagt!F46,"")</f>
        <v>#REF!</v>
      </c>
      <c r="G101" s="299" t="e">
        <f>IF([13]Vagt!G46&lt;&gt;"",[13]Vagt!G46,"")</f>
        <v>#REF!</v>
      </c>
      <c r="H101" s="299" t="e">
        <f>IF([13]Vagt!H46&lt;&gt;"",[13]Vagt!H46,"")</f>
        <v>#REF!</v>
      </c>
      <c r="I101" s="569" t="e">
        <f>IF([13]Vagt!I46&lt;&gt;"",[13]Vagt!I46,"")</f>
        <v>#REF!</v>
      </c>
      <c r="J101" s="570" t="e">
        <f>IF([13]Vagt!J46&lt;&gt;"",[13]Vagt!J46,"")</f>
        <v>#REF!</v>
      </c>
      <c r="K101" s="570" t="e">
        <f>IF([13]Vagt!K46&lt;&gt;"",[13]Vagt!K46,"")</f>
        <v>#REF!</v>
      </c>
      <c r="L101" s="570" t="e">
        <f>IF([13]Vagt!L46&lt;&gt;"",[13]Vagt!L46,"")</f>
        <v>#REF!</v>
      </c>
      <c r="M101" s="570" t="e">
        <f>IF([13]Vagt!M46&lt;&gt;"",[13]Vagt!M46,"")</f>
        <v>#REF!</v>
      </c>
      <c r="N101" s="579" t="e">
        <f>IF([13]Vagt!N46&lt;&gt;"",[13]Vagt!N46,"")</f>
        <v>#REF!</v>
      </c>
      <c r="O101" s="327"/>
      <c r="P101" s="244"/>
      <c r="Q101" s="227"/>
    </row>
    <row r="102" spans="1:17">
      <c r="A102" s="283" t="e">
        <f>IF([13]Vagt!A47&lt;&gt;"",[13]Vagt!A47,"")</f>
        <v>#REF!</v>
      </c>
      <c r="B102" s="283" t="e">
        <f>IF([13]Vagt!B47&lt;&gt;"",[13]Vagt!B47,"")</f>
        <v>#REF!</v>
      </c>
      <c r="C102" s="283" t="e">
        <f>IF([13]Vagt!C47&lt;&gt;"",[13]Vagt!C47,"")</f>
        <v>#REF!</v>
      </c>
      <c r="D102" s="283" t="e">
        <f>IF([13]Vagt!D47&lt;&gt;"",[13]Vagt!D47,"")</f>
        <v>#REF!</v>
      </c>
      <c r="E102" s="283" t="e">
        <f>IF([13]Vagt!E47&lt;&gt;"",[13]Vagt!E47,"")</f>
        <v>#REF!</v>
      </c>
      <c r="F102" s="283" t="e">
        <f>IF([13]Vagt!F47&lt;&gt;"",[13]Vagt!F47,"")</f>
        <v>#REF!</v>
      </c>
      <c r="G102" s="299" t="e">
        <f>IF([13]Vagt!G47&lt;&gt;"",[13]Vagt!G47,"")</f>
        <v>#REF!</v>
      </c>
      <c r="H102" s="561" t="e">
        <f>IF([13]Vagt!H47&lt;&gt;"",[13]Vagt!H47,"")</f>
        <v>#REF!</v>
      </c>
      <c r="I102" s="560" t="e">
        <f>IF([13]Vagt!I47&lt;&gt;"",[13]Vagt!I47,"")</f>
        <v>#REF!</v>
      </c>
      <c r="J102" s="554" t="e">
        <f>IF([13]Vagt!J47&lt;&gt;"",[13]Vagt!J47,"")</f>
        <v>#REF!</v>
      </c>
      <c r="K102" s="554" t="e">
        <f>IF([13]Vagt!K47&lt;&gt;"",[13]Vagt!K47,"")</f>
        <v>#REF!</v>
      </c>
      <c r="L102" s="554" t="e">
        <f>IF([13]Vagt!L47&lt;&gt;"",[13]Vagt!L47,"")</f>
        <v>#REF!</v>
      </c>
      <c r="M102" s="554" t="e">
        <f>IF([13]Vagt!M47&lt;&gt;"",[13]Vagt!M47,"")</f>
        <v>#REF!</v>
      </c>
      <c r="N102" s="580" t="e">
        <f>IF([13]Vagt!N47&lt;&gt;"",[13]Vagt!N47,"")</f>
        <v>#REF!</v>
      </c>
      <c r="O102" s="327"/>
      <c r="P102" s="244"/>
      <c r="Q102" s="227"/>
    </row>
    <row r="103" spans="1:17" ht="13.5" thickBot="1">
      <c r="A103" s="283" t="e">
        <f>IF([13]Vagt!A48&lt;&gt;"",[13]Vagt!A48,"")</f>
        <v>#REF!</v>
      </c>
      <c r="B103" s="283" t="e">
        <f>IF([13]Vagt!B48&lt;&gt;"",[13]Vagt!B48,"")</f>
        <v>#REF!</v>
      </c>
      <c r="C103" s="283" t="e">
        <f>IF([13]Vagt!C48&lt;&gt;"",[13]Vagt!C48,"")</f>
        <v>#REF!</v>
      </c>
      <c r="D103" s="283" t="e">
        <f>IF([13]Vagt!D48&lt;&gt;"",[13]Vagt!D48,"")</f>
        <v>#REF!</v>
      </c>
      <c r="E103" s="283" t="e">
        <f>IF([13]Vagt!E48&lt;&gt;"",[13]Vagt!E48,"")</f>
        <v>#REF!</v>
      </c>
      <c r="F103" s="283" t="e">
        <f>IF([13]Vagt!F48&lt;&gt;"",[13]Vagt!F48,"")</f>
        <v>#REF!</v>
      </c>
      <c r="G103" s="299" t="e">
        <f>IF([13]Vagt!G48&lt;&gt;"",[13]Vagt!G48,"")</f>
        <v>#REF!</v>
      </c>
      <c r="H103" s="561" t="e">
        <f>IF([13]Vagt!H48&lt;&gt;"",[13]Vagt!H48,"")</f>
        <v>#REF!</v>
      </c>
      <c r="I103" s="571" t="e">
        <f>IF([13]Vagt!I48&lt;&gt;"",[13]Vagt!I48,"")</f>
        <v>#REF!</v>
      </c>
      <c r="J103" s="571" t="e">
        <f>IF([13]Vagt!J48&lt;&gt;"",[13]Vagt!J48,"")</f>
        <v>#REF!</v>
      </c>
      <c r="K103" s="571" t="e">
        <f>IF([13]Vagt!K48&lt;&gt;"",[13]Vagt!K48,"")</f>
        <v>#REF!</v>
      </c>
      <c r="L103" s="571" t="e">
        <f>IF([13]Vagt!L48&lt;&gt;"",[13]Vagt!L48,"")</f>
        <v>#REF!</v>
      </c>
      <c r="M103" s="571" t="e">
        <f>IF([13]Vagt!M48&lt;&gt;"",[13]Vagt!M48,"")</f>
        <v>#REF!</v>
      </c>
      <c r="N103" s="581" t="e">
        <f>IF([13]Vagt!N48&lt;&gt;"",[13]Vagt!N48,"")</f>
        <v>#REF!</v>
      </c>
      <c r="O103" s="320"/>
      <c r="P103" s="244"/>
      <c r="Q103" s="227"/>
    </row>
    <row r="104" spans="1:17">
      <c r="C104" s="291"/>
      <c r="D104" s="291"/>
      <c r="E104" s="291"/>
      <c r="F104" s="291"/>
      <c r="G104" s="291"/>
      <c r="L104" s="300"/>
      <c r="M104" s="326"/>
      <c r="N104" s="326"/>
      <c r="O104" s="291"/>
      <c r="P104" s="244"/>
      <c r="Q104" s="227"/>
    </row>
    <row r="105" spans="1:17">
      <c r="C105" s="291"/>
      <c r="D105" s="291"/>
      <c r="L105" s="300"/>
      <c r="M105" s="326"/>
      <c r="N105" s="326"/>
    </row>
    <row r="106" spans="1:17">
      <c r="A106" s="328" t="s">
        <v>113</v>
      </c>
      <c r="B106" s="232" t="s">
        <v>44</v>
      </c>
      <c r="C106" s="232" t="s">
        <v>45</v>
      </c>
      <c r="D106" s="232" t="s">
        <v>46</v>
      </c>
      <c r="E106" s="232" t="s">
        <v>47</v>
      </c>
      <c r="F106" s="232" t="s">
        <v>48</v>
      </c>
      <c r="G106" s="232" t="s">
        <v>49</v>
      </c>
      <c r="H106" s="232" t="s">
        <v>38</v>
      </c>
      <c r="I106" s="232" t="s">
        <v>39</v>
      </c>
      <c r="J106" s="232" t="s">
        <v>40</v>
      </c>
      <c r="K106" s="232" t="s">
        <v>41</v>
      </c>
      <c r="L106" s="232" t="s">
        <v>42</v>
      </c>
      <c r="M106" s="232" t="s">
        <v>43</v>
      </c>
      <c r="N106" s="228"/>
    </row>
    <row r="107" spans="1:17">
      <c r="A107" s="231" t="s">
        <v>115</v>
      </c>
      <c r="B107" s="329" t="str">
        <f>$D$70</f>
        <v>Amagerbrogade 150</v>
      </c>
      <c r="C107" s="329" t="str">
        <f t="shared" ref="C107:M107" si="12">$D$70</f>
        <v>Amagerbrogade 150</v>
      </c>
      <c r="D107" s="329" t="str">
        <f t="shared" si="12"/>
        <v>Amagerbrogade 150</v>
      </c>
      <c r="E107" s="329" t="str">
        <f t="shared" si="12"/>
        <v>Amagerbrogade 150</v>
      </c>
      <c r="F107" s="329" t="str">
        <f t="shared" si="12"/>
        <v>Amagerbrogade 150</v>
      </c>
      <c r="G107" s="329" t="str">
        <f t="shared" si="12"/>
        <v>Amagerbrogade 150</v>
      </c>
      <c r="H107" s="329" t="str">
        <f t="shared" si="12"/>
        <v>Amagerbrogade 150</v>
      </c>
      <c r="I107" s="329" t="str">
        <f t="shared" si="12"/>
        <v>Amagerbrogade 150</v>
      </c>
      <c r="J107" s="329" t="str">
        <f t="shared" si="12"/>
        <v>Amagerbrogade 150</v>
      </c>
      <c r="K107" s="329" t="str">
        <f t="shared" si="12"/>
        <v>Amagerbrogade 150</v>
      </c>
      <c r="L107" s="329" t="str">
        <f t="shared" si="12"/>
        <v>Amagerbrogade 150</v>
      </c>
      <c r="M107" s="329" t="str">
        <f t="shared" si="12"/>
        <v>Amagerbrogade 150</v>
      </c>
      <c r="N107" s="330">
        <f t="shared" ref="N107:N128" si="13">SUM(B107:M107)</f>
        <v>0</v>
      </c>
    </row>
    <row r="108" spans="1:17" ht="13.5" thickBot="1">
      <c r="A108" s="247" t="s">
        <v>116</v>
      </c>
      <c r="B108" s="331" t="e">
        <f>$N$103</f>
        <v>#REF!</v>
      </c>
      <c r="C108" s="331" t="e">
        <f t="shared" ref="C108:M108" si="14">$N$103</f>
        <v>#REF!</v>
      </c>
      <c r="D108" s="331" t="e">
        <f t="shared" si="14"/>
        <v>#REF!</v>
      </c>
      <c r="E108" s="331" t="e">
        <f t="shared" si="14"/>
        <v>#REF!</v>
      </c>
      <c r="F108" s="331" t="e">
        <f t="shared" si="14"/>
        <v>#REF!</v>
      </c>
      <c r="G108" s="331" t="e">
        <f t="shared" si="14"/>
        <v>#REF!</v>
      </c>
      <c r="H108" s="331" t="e">
        <f t="shared" si="14"/>
        <v>#REF!</v>
      </c>
      <c r="I108" s="331" t="e">
        <f t="shared" si="14"/>
        <v>#REF!</v>
      </c>
      <c r="J108" s="331" t="e">
        <f t="shared" si="14"/>
        <v>#REF!</v>
      </c>
      <c r="K108" s="331" t="e">
        <f t="shared" si="14"/>
        <v>#REF!</v>
      </c>
      <c r="L108" s="331" t="e">
        <f t="shared" si="14"/>
        <v>#REF!</v>
      </c>
      <c r="M108" s="331" t="e">
        <f t="shared" si="14"/>
        <v>#REF!</v>
      </c>
      <c r="N108" s="332" t="e">
        <f t="shared" si="13"/>
        <v>#REF!</v>
      </c>
    </row>
    <row r="109" spans="1:17" ht="13.5" thickBot="1">
      <c r="A109" s="333" t="s">
        <v>117</v>
      </c>
      <c r="B109" s="334" t="e">
        <f t="shared" ref="B109:M109" si="15">SUM(B107:B108)</f>
        <v>#REF!</v>
      </c>
      <c r="C109" s="334" t="e">
        <f t="shared" si="15"/>
        <v>#REF!</v>
      </c>
      <c r="D109" s="334" t="e">
        <f t="shared" si="15"/>
        <v>#REF!</v>
      </c>
      <c r="E109" s="334" t="e">
        <f t="shared" si="15"/>
        <v>#REF!</v>
      </c>
      <c r="F109" s="334" t="e">
        <f t="shared" si="15"/>
        <v>#REF!</v>
      </c>
      <c r="G109" s="334" t="e">
        <f t="shared" si="15"/>
        <v>#REF!</v>
      </c>
      <c r="H109" s="334" t="e">
        <f t="shared" si="15"/>
        <v>#REF!</v>
      </c>
      <c r="I109" s="334" t="e">
        <f t="shared" si="15"/>
        <v>#REF!</v>
      </c>
      <c r="J109" s="334" t="e">
        <f t="shared" si="15"/>
        <v>#REF!</v>
      </c>
      <c r="K109" s="334" t="e">
        <f t="shared" si="15"/>
        <v>#REF!</v>
      </c>
      <c r="L109" s="334" t="e">
        <f t="shared" si="15"/>
        <v>#REF!</v>
      </c>
      <c r="M109" s="334" t="e">
        <f t="shared" si="15"/>
        <v>#REF!</v>
      </c>
      <c r="N109" s="334" t="e">
        <f t="shared" si="13"/>
        <v>#REF!</v>
      </c>
    </row>
    <row r="110" spans="1:17">
      <c r="A110" s="336" t="s">
        <v>255</v>
      </c>
      <c r="B110" s="337">
        <v>4125</v>
      </c>
      <c r="C110" s="337">
        <v>7550</v>
      </c>
      <c r="D110" s="337">
        <v>5974</v>
      </c>
      <c r="E110" s="337">
        <v>6762</v>
      </c>
      <c r="F110" s="337">
        <v>5000</v>
      </c>
      <c r="G110" s="338">
        <v>5599</v>
      </c>
      <c r="H110" s="338">
        <v>1050</v>
      </c>
      <c r="I110" s="338">
        <v>2100</v>
      </c>
      <c r="J110" s="338">
        <v>7664</v>
      </c>
      <c r="K110" s="338">
        <v>7559</v>
      </c>
      <c r="L110" s="338">
        <v>9887</v>
      </c>
      <c r="M110" s="338">
        <v>6212</v>
      </c>
      <c r="N110" s="332">
        <f t="shared" si="13"/>
        <v>69482</v>
      </c>
    </row>
    <row r="111" spans="1:17">
      <c r="A111" s="228" t="s">
        <v>256</v>
      </c>
      <c r="B111" s="330"/>
      <c r="C111" s="330"/>
      <c r="D111" s="330"/>
      <c r="E111" s="330"/>
      <c r="F111" s="330">
        <v>11475</v>
      </c>
      <c r="G111" s="330">
        <v>9900</v>
      </c>
      <c r="H111" s="330">
        <v>32694</v>
      </c>
      <c r="I111" s="330">
        <v>98562</v>
      </c>
      <c r="J111" s="330">
        <v>33500</v>
      </c>
      <c r="K111" s="330">
        <v>31250</v>
      </c>
      <c r="L111" s="330">
        <v>26562</v>
      </c>
      <c r="M111" s="330">
        <v>49137</v>
      </c>
      <c r="N111" s="332">
        <f t="shared" si="13"/>
        <v>293080</v>
      </c>
    </row>
    <row r="112" spans="1:17">
      <c r="A112" s="228" t="s">
        <v>257</v>
      </c>
      <c r="B112" s="330">
        <v>207235</v>
      </c>
      <c r="C112" s="330">
        <v>200591</v>
      </c>
      <c r="D112" s="330">
        <v>173204</v>
      </c>
      <c r="E112" s="330">
        <v>173101</v>
      </c>
      <c r="F112" s="330">
        <v>24580</v>
      </c>
      <c r="G112" s="330">
        <v>125196</v>
      </c>
      <c r="H112" s="330">
        <v>17040</v>
      </c>
      <c r="I112" s="330">
        <v>28900</v>
      </c>
      <c r="J112" s="330">
        <v>37050</v>
      </c>
      <c r="K112" s="330">
        <v>65800</v>
      </c>
      <c r="L112" s="330">
        <v>45650</v>
      </c>
      <c r="M112" s="330">
        <v>33275</v>
      </c>
      <c r="N112" s="332">
        <f t="shared" si="13"/>
        <v>1131622</v>
      </c>
    </row>
    <row r="113" spans="1:14">
      <c r="A113" s="228" t="s">
        <v>211</v>
      </c>
      <c r="B113" s="330">
        <v>202384.5</v>
      </c>
      <c r="C113" s="329">
        <v>83337.5</v>
      </c>
      <c r="D113" s="329">
        <v>64075</v>
      </c>
      <c r="E113" s="340">
        <v>73150</v>
      </c>
      <c r="F113" s="340">
        <v>79300</v>
      </c>
      <c r="G113" s="340">
        <v>65312.5</v>
      </c>
      <c r="H113" s="340">
        <v>15325</v>
      </c>
      <c r="I113" s="340">
        <v>193537.5</v>
      </c>
      <c r="J113" s="340">
        <v>105983.5</v>
      </c>
      <c r="K113" s="340">
        <v>275887.5</v>
      </c>
      <c r="L113" s="340">
        <v>28162.5</v>
      </c>
      <c r="M113" s="340">
        <v>103062.5</v>
      </c>
      <c r="N113" s="332">
        <f t="shared" si="13"/>
        <v>1289518</v>
      </c>
    </row>
    <row r="114" spans="1:14">
      <c r="A114" s="228" t="s">
        <v>258</v>
      </c>
      <c r="B114" s="330">
        <v>8380</v>
      </c>
      <c r="C114" s="329">
        <v>3140</v>
      </c>
      <c r="D114" s="329">
        <v>1940</v>
      </c>
      <c r="E114" s="329">
        <v>2920</v>
      </c>
      <c r="F114" s="329">
        <v>2450</v>
      </c>
      <c r="G114" s="329">
        <v>3140</v>
      </c>
      <c r="H114" s="329">
        <v>1120</v>
      </c>
      <c r="I114" s="329">
        <v>1400</v>
      </c>
      <c r="J114" s="329">
        <v>3100</v>
      </c>
      <c r="K114" s="329">
        <v>2030</v>
      </c>
      <c r="L114" s="329">
        <v>3840</v>
      </c>
      <c r="M114" s="329">
        <v>5670</v>
      </c>
      <c r="N114" s="332">
        <f t="shared" si="13"/>
        <v>39130</v>
      </c>
    </row>
    <row r="115" spans="1:14">
      <c r="A115" s="228" t="s">
        <v>289</v>
      </c>
      <c r="B115" s="330">
        <v>60000</v>
      </c>
      <c r="C115" s="329"/>
      <c r="D115" s="329"/>
      <c r="E115" s="329"/>
      <c r="F115" s="329"/>
      <c r="G115" s="329"/>
      <c r="H115" s="329"/>
      <c r="I115" s="329"/>
      <c r="J115" s="329"/>
      <c r="K115" s="329"/>
      <c r="L115" s="329"/>
      <c r="M115" s="329"/>
      <c r="N115" s="332">
        <f t="shared" si="13"/>
        <v>60000</v>
      </c>
    </row>
    <row r="116" spans="1:14">
      <c r="A116" s="228" t="s">
        <v>120</v>
      </c>
      <c r="B116" s="330">
        <v>42096</v>
      </c>
      <c r="C116" s="330">
        <v>78800</v>
      </c>
      <c r="D116" s="330">
        <v>78970</v>
      </c>
      <c r="E116" s="330">
        <v>42350</v>
      </c>
      <c r="F116" s="330">
        <v>64930</v>
      </c>
      <c r="G116" s="330">
        <v>53930</v>
      </c>
      <c r="H116" s="330">
        <v>0</v>
      </c>
      <c r="I116" s="330">
        <v>45990</v>
      </c>
      <c r="J116" s="330">
        <v>69182</v>
      </c>
      <c r="K116" s="330">
        <v>119275</v>
      </c>
      <c r="L116" s="330">
        <v>119475</v>
      </c>
      <c r="M116" s="330">
        <v>43000</v>
      </c>
      <c r="N116" s="332">
        <f t="shared" si="13"/>
        <v>757998</v>
      </c>
    </row>
    <row r="117" spans="1:14">
      <c r="A117" s="228" t="s">
        <v>260</v>
      </c>
      <c r="B117" s="330">
        <v>13280</v>
      </c>
      <c r="C117" s="329">
        <v>12080</v>
      </c>
      <c r="D117" s="329">
        <v>12930</v>
      </c>
      <c r="E117" s="329">
        <v>14040</v>
      </c>
      <c r="F117" s="329">
        <v>10000</v>
      </c>
      <c r="G117" s="329">
        <v>10000</v>
      </c>
      <c r="H117" s="329">
        <v>10000</v>
      </c>
      <c r="I117" s="329">
        <v>10000</v>
      </c>
      <c r="J117" s="329">
        <v>10000</v>
      </c>
      <c r="K117" s="329">
        <v>10000</v>
      </c>
      <c r="L117" s="329">
        <v>10000</v>
      </c>
      <c r="M117" s="329">
        <v>10000</v>
      </c>
      <c r="N117" s="332">
        <f t="shared" si="13"/>
        <v>132330</v>
      </c>
    </row>
    <row r="118" spans="1:14">
      <c r="A118" s="228" t="s">
        <v>261</v>
      </c>
      <c r="B118" s="330">
        <v>900</v>
      </c>
      <c r="C118" s="329">
        <v>2250</v>
      </c>
      <c r="D118" s="329">
        <v>3150</v>
      </c>
      <c r="E118" s="329">
        <v>5050</v>
      </c>
      <c r="F118" s="329">
        <v>450</v>
      </c>
      <c r="G118" s="329"/>
      <c r="H118" s="329"/>
      <c r="I118" s="329">
        <v>3501</v>
      </c>
      <c r="J118" s="329">
        <v>5850</v>
      </c>
      <c r="K118" s="329">
        <v>2700</v>
      </c>
      <c r="L118" s="329">
        <v>28801</v>
      </c>
      <c r="M118" s="329">
        <v>1350</v>
      </c>
      <c r="N118" s="332">
        <f t="shared" si="13"/>
        <v>54002</v>
      </c>
    </row>
    <row r="119" spans="1:14">
      <c r="A119" s="228" t="s">
        <v>262</v>
      </c>
      <c r="B119" s="330"/>
      <c r="C119" s="330"/>
      <c r="D119" s="330"/>
      <c r="E119" s="330"/>
      <c r="F119" s="330"/>
      <c r="G119" s="330"/>
      <c r="H119" s="330"/>
      <c r="I119" s="330"/>
      <c r="J119" s="330"/>
      <c r="K119" s="330">
        <v>450</v>
      </c>
      <c r="L119" s="330"/>
      <c r="M119" s="330"/>
      <c r="N119" s="332">
        <f t="shared" si="13"/>
        <v>450</v>
      </c>
    </row>
    <row r="120" spans="1:14" ht="13.5" thickBot="1">
      <c r="A120" s="228" t="s">
        <v>125</v>
      </c>
      <c r="B120" s="330"/>
      <c r="C120" s="329">
        <v>11200</v>
      </c>
      <c r="D120" s="329"/>
      <c r="E120" s="329"/>
      <c r="F120" s="329"/>
      <c r="G120" s="329"/>
      <c r="H120" s="329"/>
      <c r="I120" s="329"/>
      <c r="J120" s="329"/>
      <c r="K120" s="329"/>
      <c r="L120" s="329">
        <v>13300</v>
      </c>
      <c r="M120" s="329"/>
      <c r="N120" s="332">
        <f t="shared" si="13"/>
        <v>24500</v>
      </c>
    </row>
    <row r="121" spans="1:14" ht="13.5" thickBot="1">
      <c r="A121" s="341" t="s">
        <v>126</v>
      </c>
      <c r="B121" s="342">
        <f t="shared" ref="B121:M121" si="16">SUM(B110:B120)</f>
        <v>538400.5</v>
      </c>
      <c r="C121" s="342">
        <f t="shared" si="16"/>
        <v>398948.5</v>
      </c>
      <c r="D121" s="342">
        <f t="shared" si="16"/>
        <v>340243</v>
      </c>
      <c r="E121" s="342">
        <f t="shared" si="16"/>
        <v>317373</v>
      </c>
      <c r="F121" s="342">
        <f t="shared" si="16"/>
        <v>198185</v>
      </c>
      <c r="G121" s="342">
        <f t="shared" si="16"/>
        <v>273077.5</v>
      </c>
      <c r="H121" s="342">
        <f t="shared" si="16"/>
        <v>77229</v>
      </c>
      <c r="I121" s="342">
        <f t="shared" si="16"/>
        <v>383990.5</v>
      </c>
      <c r="J121" s="342">
        <f t="shared" si="16"/>
        <v>272329.5</v>
      </c>
      <c r="K121" s="342">
        <f t="shared" si="16"/>
        <v>514951.5</v>
      </c>
      <c r="L121" s="342">
        <f t="shared" si="16"/>
        <v>285677.5</v>
      </c>
      <c r="M121" s="342">
        <f t="shared" si="16"/>
        <v>251706.5</v>
      </c>
      <c r="N121" s="334">
        <f t="shared" si="13"/>
        <v>3852112</v>
      </c>
    </row>
    <row r="122" spans="1:14" ht="13.5" thickBot="1">
      <c r="A122" s="336" t="s">
        <v>127</v>
      </c>
      <c r="B122" s="343">
        <v>28908</v>
      </c>
      <c r="C122" s="344">
        <v>11755</v>
      </c>
      <c r="D122" s="344">
        <v>10967</v>
      </c>
      <c r="E122" s="344">
        <v>3986</v>
      </c>
      <c r="F122" s="344">
        <v>24030</v>
      </c>
      <c r="G122" s="344">
        <v>139512</v>
      </c>
      <c r="H122" s="344">
        <v>28035</v>
      </c>
      <c r="I122" s="344">
        <v>67998</v>
      </c>
      <c r="J122" s="344">
        <v>70798</v>
      </c>
      <c r="K122" s="344">
        <v>174363</v>
      </c>
      <c r="L122" s="344">
        <v>26282</v>
      </c>
      <c r="M122" s="344"/>
      <c r="N122" s="332">
        <f t="shared" si="13"/>
        <v>586634</v>
      </c>
    </row>
    <row r="123" spans="1:14" ht="13.5" thickBot="1">
      <c r="A123" s="345" t="s">
        <v>129</v>
      </c>
      <c r="B123" s="346" t="e">
        <f t="shared" ref="B123:M123" si="17">SUM(B109,B121,B122)</f>
        <v>#REF!</v>
      </c>
      <c r="C123" s="346" t="e">
        <f t="shared" si="17"/>
        <v>#REF!</v>
      </c>
      <c r="D123" s="346" t="e">
        <f t="shared" si="17"/>
        <v>#REF!</v>
      </c>
      <c r="E123" s="346" t="e">
        <f t="shared" si="17"/>
        <v>#REF!</v>
      </c>
      <c r="F123" s="346" t="e">
        <f t="shared" si="17"/>
        <v>#REF!</v>
      </c>
      <c r="G123" s="346" t="e">
        <f t="shared" si="17"/>
        <v>#REF!</v>
      </c>
      <c r="H123" s="346" t="e">
        <f t="shared" si="17"/>
        <v>#REF!</v>
      </c>
      <c r="I123" s="346" t="e">
        <f t="shared" si="17"/>
        <v>#REF!</v>
      </c>
      <c r="J123" s="346" t="e">
        <f t="shared" si="17"/>
        <v>#REF!</v>
      </c>
      <c r="K123" s="346" t="e">
        <f t="shared" si="17"/>
        <v>#REF!</v>
      </c>
      <c r="L123" s="346" t="e">
        <f t="shared" si="17"/>
        <v>#REF!</v>
      </c>
      <c r="M123" s="346" t="e">
        <f t="shared" si="17"/>
        <v>#REF!</v>
      </c>
      <c r="N123" s="334" t="e">
        <f t="shared" si="13"/>
        <v>#REF!</v>
      </c>
    </row>
    <row r="124" spans="1:14">
      <c r="A124" s="347" t="s">
        <v>131</v>
      </c>
      <c r="B124" s="331">
        <v>1599986</v>
      </c>
      <c r="C124" s="331">
        <v>1661942</v>
      </c>
      <c r="D124" s="331">
        <v>1573792</v>
      </c>
      <c r="E124" s="331">
        <v>1788076</v>
      </c>
      <c r="F124" s="331">
        <v>1736128</v>
      </c>
      <c r="G124" s="331">
        <v>1460343</v>
      </c>
      <c r="H124" s="331">
        <v>1567189</v>
      </c>
      <c r="I124" s="331">
        <v>1805452</v>
      </c>
      <c r="J124" s="331">
        <v>1293675</v>
      </c>
      <c r="K124" s="331">
        <v>1399688</v>
      </c>
      <c r="L124" s="331">
        <v>1550000</v>
      </c>
      <c r="M124" s="331">
        <v>1550000</v>
      </c>
      <c r="N124" s="332">
        <f t="shared" si="13"/>
        <v>18986271</v>
      </c>
    </row>
    <row r="125" spans="1:14">
      <c r="A125" s="349" t="s">
        <v>135</v>
      </c>
      <c r="B125" s="331">
        <v>344</v>
      </c>
      <c r="C125" s="331">
        <v>5582</v>
      </c>
      <c r="D125" s="331"/>
      <c r="E125" s="331">
        <v>83951</v>
      </c>
      <c r="F125" s="331">
        <v>63952</v>
      </c>
      <c r="G125" s="331">
        <v>13182</v>
      </c>
      <c r="H125" s="331">
        <v>1836</v>
      </c>
      <c r="I125" s="331">
        <v>5256</v>
      </c>
      <c r="J125" s="331"/>
      <c r="K125" s="331"/>
      <c r="L125" s="331"/>
      <c r="M125" s="331"/>
      <c r="N125" s="332">
        <f t="shared" si="13"/>
        <v>174103</v>
      </c>
    </row>
    <row r="126" spans="1:14">
      <c r="A126" s="349" t="s">
        <v>157</v>
      </c>
      <c r="B126" s="331">
        <v>200000</v>
      </c>
      <c r="C126" s="331"/>
      <c r="D126" s="331"/>
      <c r="E126" s="331"/>
      <c r="F126" s="331"/>
      <c r="G126" s="331"/>
      <c r="H126" s="331"/>
      <c r="I126" s="331"/>
      <c r="J126" s="331"/>
      <c r="K126" s="331"/>
      <c r="L126" s="331"/>
      <c r="M126" s="331"/>
      <c r="N126" s="332">
        <f t="shared" si="13"/>
        <v>200000</v>
      </c>
    </row>
    <row r="127" spans="1:14">
      <c r="A127" s="349" t="s">
        <v>263</v>
      </c>
      <c r="B127" s="331">
        <v>5106</v>
      </c>
      <c r="C127" s="331">
        <v>5106</v>
      </c>
      <c r="D127" s="331">
        <v>5106</v>
      </c>
      <c r="E127" s="331">
        <v>5106</v>
      </c>
      <c r="F127" s="331">
        <v>5106</v>
      </c>
      <c r="G127" s="331">
        <v>5106</v>
      </c>
      <c r="H127" s="331">
        <v>5106</v>
      </c>
      <c r="I127" s="331">
        <v>5106</v>
      </c>
      <c r="J127" s="331">
        <v>5106</v>
      </c>
      <c r="K127" s="331">
        <v>5106</v>
      </c>
      <c r="L127" s="331">
        <v>5106</v>
      </c>
      <c r="M127" s="331">
        <v>5106</v>
      </c>
      <c r="N127" s="332">
        <f t="shared" si="13"/>
        <v>61272</v>
      </c>
    </row>
    <row r="128" spans="1:14" ht="13.5" thickBot="1">
      <c r="A128" s="349" t="s">
        <v>264</v>
      </c>
      <c r="B128" s="331">
        <v>1550</v>
      </c>
      <c r="C128" s="331">
        <v>18755</v>
      </c>
      <c r="D128" s="331">
        <v>11938</v>
      </c>
      <c r="E128" s="331">
        <v>34262</v>
      </c>
      <c r="F128" s="331">
        <v>14421</v>
      </c>
      <c r="G128" s="331">
        <v>8039</v>
      </c>
      <c r="H128" s="331">
        <v>1200</v>
      </c>
      <c r="I128" s="331">
        <v>5098</v>
      </c>
      <c r="J128" s="331">
        <v>21208</v>
      </c>
      <c r="K128" s="331">
        <v>13220</v>
      </c>
      <c r="L128" s="331">
        <v>15000</v>
      </c>
      <c r="M128" s="331">
        <v>15000</v>
      </c>
      <c r="N128" s="332">
        <f t="shared" si="13"/>
        <v>159691</v>
      </c>
    </row>
    <row r="129" spans="1:14" ht="13.5" thickBot="1">
      <c r="A129" s="350" t="s">
        <v>146</v>
      </c>
      <c r="B129" s="351" t="e">
        <f t="shared" ref="B129:M129" si="18">B123-SUM(B124:B128)</f>
        <v>#REF!</v>
      </c>
      <c r="C129" s="351" t="e">
        <f t="shared" si="18"/>
        <v>#REF!</v>
      </c>
      <c r="D129" s="351" t="e">
        <f t="shared" si="18"/>
        <v>#REF!</v>
      </c>
      <c r="E129" s="351" t="e">
        <f t="shared" si="18"/>
        <v>#REF!</v>
      </c>
      <c r="F129" s="351" t="e">
        <f t="shared" si="18"/>
        <v>#REF!</v>
      </c>
      <c r="G129" s="351" t="e">
        <f t="shared" si="18"/>
        <v>#REF!</v>
      </c>
      <c r="H129" s="351" t="e">
        <f t="shared" si="18"/>
        <v>#REF!</v>
      </c>
      <c r="I129" s="351" t="e">
        <f t="shared" si="18"/>
        <v>#REF!</v>
      </c>
      <c r="J129" s="351" t="e">
        <f t="shared" si="18"/>
        <v>#REF!</v>
      </c>
      <c r="K129" s="351" t="e">
        <f t="shared" si="18"/>
        <v>#REF!</v>
      </c>
      <c r="L129" s="351" t="e">
        <f t="shared" si="18"/>
        <v>#REF!</v>
      </c>
      <c r="M129" s="351" t="e">
        <f t="shared" si="18"/>
        <v>#REF!</v>
      </c>
      <c r="N129" s="351" t="e">
        <f>SUM(N123-N124-N125-N126-N128)</f>
        <v>#REF!</v>
      </c>
    </row>
    <row r="130" spans="1:14" ht="13.5" thickBot="1">
      <c r="A130" s="352"/>
      <c r="B130" s="353"/>
      <c r="C130" s="353"/>
      <c r="D130" s="353"/>
      <c r="E130" s="353"/>
      <c r="F130" s="353"/>
      <c r="G130" s="353"/>
      <c r="H130" s="353"/>
      <c r="I130" s="353"/>
      <c r="J130" s="353"/>
      <c r="K130" s="353"/>
      <c r="L130" s="353"/>
      <c r="M130" s="353"/>
      <c r="N130" s="353"/>
    </row>
    <row r="131" spans="1:14" ht="20.25">
      <c r="A131" s="825" t="s">
        <v>290</v>
      </c>
      <c r="B131" s="825"/>
      <c r="C131" s="825"/>
      <c r="D131" s="825"/>
      <c r="E131" s="825"/>
      <c r="F131" s="825"/>
      <c r="G131" s="825"/>
      <c r="H131" s="825"/>
      <c r="I131" s="825"/>
      <c r="J131" s="825"/>
      <c r="K131" s="825"/>
      <c r="L131" s="825"/>
      <c r="M131" s="825"/>
      <c r="N131" s="825"/>
    </row>
    <row r="132" spans="1:14">
      <c r="A132" s="227"/>
      <c r="B132" s="227"/>
      <c r="C132" s="227"/>
      <c r="D132" s="227"/>
      <c r="E132" s="227"/>
      <c r="F132" s="227"/>
      <c r="G132" s="227"/>
      <c r="H132" s="227"/>
      <c r="I132" s="227"/>
      <c r="J132" s="227"/>
      <c r="K132" s="227"/>
      <c r="L132" s="227"/>
      <c r="M132" s="227"/>
    </row>
    <row r="133" spans="1:14">
      <c r="A133" s="228"/>
      <c r="B133" s="229" t="s">
        <v>44</v>
      </c>
      <c r="C133" s="229" t="s">
        <v>45</v>
      </c>
      <c r="D133" s="230" t="s">
        <v>46</v>
      </c>
      <c r="E133" s="229" t="s">
        <v>47</v>
      </c>
      <c r="F133" s="229" t="s">
        <v>48</v>
      </c>
      <c r="G133" s="230" t="s">
        <v>49</v>
      </c>
      <c r="H133" s="229" t="s">
        <v>38</v>
      </c>
      <c r="I133" s="229" t="s">
        <v>39</v>
      </c>
      <c r="J133" s="229" t="s">
        <v>40</v>
      </c>
      <c r="K133" s="229" t="s">
        <v>41</v>
      </c>
      <c r="L133" s="229" t="s">
        <v>42</v>
      </c>
      <c r="M133" s="229" t="s">
        <v>43</v>
      </c>
      <c r="N133" s="228" t="s">
        <v>64</v>
      </c>
    </row>
    <row r="134" spans="1:14">
      <c r="A134" s="231" t="s">
        <v>65</v>
      </c>
      <c r="B134" s="232">
        <v>2565</v>
      </c>
      <c r="C134" s="232">
        <v>2565</v>
      </c>
      <c r="D134" s="232">
        <v>2565</v>
      </c>
      <c r="E134" s="232">
        <v>2565</v>
      </c>
      <c r="F134" s="232">
        <v>2565</v>
      </c>
      <c r="G134" s="232">
        <v>2565</v>
      </c>
      <c r="H134" s="232">
        <v>2565</v>
      </c>
      <c r="I134" s="232">
        <v>2565</v>
      </c>
      <c r="J134" s="232">
        <v>2565</v>
      </c>
      <c r="K134" s="232">
        <v>2565</v>
      </c>
      <c r="L134" s="232">
        <v>2565</v>
      </c>
      <c r="M134" s="232">
        <v>2565</v>
      </c>
      <c r="N134" s="232">
        <f t="shared" ref="N134:N145" si="19">SUM(B134:M134)</f>
        <v>30780</v>
      </c>
    </row>
    <row r="135" spans="1:14">
      <c r="A135" s="231" t="s">
        <v>66</v>
      </c>
      <c r="B135" s="232"/>
      <c r="C135" s="232"/>
      <c r="D135" s="232"/>
      <c r="E135" s="232"/>
      <c r="F135" s="232"/>
      <c r="G135" s="233"/>
      <c r="H135" s="232"/>
      <c r="I135" s="232">
        <v>22.5</v>
      </c>
      <c r="J135" s="234"/>
      <c r="K135" s="232"/>
      <c r="L135" s="232"/>
      <c r="M135" s="232"/>
      <c r="N135" s="232">
        <f t="shared" si="19"/>
        <v>22.5</v>
      </c>
    </row>
    <row r="136" spans="1:14">
      <c r="A136" s="231" t="s">
        <v>148</v>
      </c>
      <c r="B136" s="232"/>
      <c r="C136" s="232"/>
      <c r="D136" s="232"/>
      <c r="E136" s="232"/>
      <c r="F136" s="232"/>
      <c r="G136" s="233"/>
      <c r="H136" s="232"/>
      <c r="I136" s="232"/>
      <c r="J136" s="232"/>
      <c r="K136" s="232"/>
      <c r="L136" s="232"/>
      <c r="M136" s="228"/>
      <c r="N136" s="232">
        <f t="shared" si="19"/>
        <v>0</v>
      </c>
    </row>
    <row r="137" spans="1:14">
      <c r="A137" s="231" t="s">
        <v>69</v>
      </c>
      <c r="B137" s="232">
        <v>115.25</v>
      </c>
      <c r="C137" s="232">
        <v>210</v>
      </c>
      <c r="D137" s="232">
        <v>205.75</v>
      </c>
      <c r="E137" s="232">
        <v>253</v>
      </c>
      <c r="F137" s="232">
        <v>27.5</v>
      </c>
      <c r="G137" s="233">
        <v>278.5</v>
      </c>
      <c r="H137" s="232">
        <v>1282</v>
      </c>
      <c r="I137" s="232">
        <v>290.75</v>
      </c>
      <c r="J137" s="232">
        <v>161.75</v>
      </c>
      <c r="K137" s="232">
        <v>123</v>
      </c>
      <c r="L137" s="232">
        <v>86</v>
      </c>
      <c r="M137" s="232"/>
      <c r="N137" s="232">
        <f t="shared" si="19"/>
        <v>3033.5</v>
      </c>
    </row>
    <row r="138" spans="1:14">
      <c r="A138" s="231" t="s">
        <v>70</v>
      </c>
      <c r="B138" s="232"/>
      <c r="C138" s="232">
        <v>6</v>
      </c>
      <c r="D138" s="232">
        <v>60.25</v>
      </c>
      <c r="E138" s="232">
        <v>91.25</v>
      </c>
      <c r="F138" s="232">
        <v>37</v>
      </c>
      <c r="G138" s="233"/>
      <c r="H138" s="232"/>
      <c r="I138" s="232"/>
      <c r="J138" s="232"/>
      <c r="K138" s="232"/>
      <c r="L138" s="232">
        <v>6</v>
      </c>
      <c r="M138" s="232"/>
      <c r="N138" s="232">
        <f t="shared" si="19"/>
        <v>200.5</v>
      </c>
    </row>
    <row r="139" spans="1:14">
      <c r="A139" s="231" t="s">
        <v>71</v>
      </c>
      <c r="B139" s="232">
        <v>62</v>
      </c>
      <c r="C139" s="232">
        <v>89.5</v>
      </c>
      <c r="D139" s="232">
        <v>149.75</v>
      </c>
      <c r="E139" s="232">
        <v>66.25</v>
      </c>
      <c r="F139" s="232">
        <v>44.75</v>
      </c>
      <c r="G139" s="233">
        <v>38.75</v>
      </c>
      <c r="H139" s="232">
        <v>7.75</v>
      </c>
      <c r="I139" s="232">
        <v>23.25</v>
      </c>
      <c r="J139" s="232">
        <v>44.75</v>
      </c>
      <c r="K139" s="232">
        <v>81.75</v>
      </c>
      <c r="L139" s="232">
        <v>64.5</v>
      </c>
      <c r="M139" s="232"/>
      <c r="N139" s="232">
        <f t="shared" si="19"/>
        <v>673</v>
      </c>
    </row>
    <row r="140" spans="1:14">
      <c r="A140" s="231" t="s">
        <v>72</v>
      </c>
      <c r="B140" s="232">
        <v>7.75</v>
      </c>
      <c r="C140" s="232"/>
      <c r="D140" s="232"/>
      <c r="E140" s="232"/>
      <c r="F140" s="232"/>
      <c r="G140" s="233"/>
      <c r="H140" s="232"/>
      <c r="I140" s="232"/>
      <c r="J140" s="232"/>
      <c r="K140" s="232"/>
      <c r="L140" s="232"/>
      <c r="M140" s="232"/>
      <c r="N140" s="232">
        <f t="shared" si="19"/>
        <v>7.75</v>
      </c>
    </row>
    <row r="141" spans="1:14">
      <c r="A141" s="231" t="s">
        <v>73</v>
      </c>
      <c r="B141" s="232">
        <v>31.5</v>
      </c>
      <c r="C141" s="232">
        <v>53.25</v>
      </c>
      <c r="D141" s="232">
        <v>33.5</v>
      </c>
      <c r="E141" s="232">
        <v>50.75</v>
      </c>
      <c r="F141" s="232">
        <v>36</v>
      </c>
      <c r="G141" s="233">
        <v>113.5</v>
      </c>
      <c r="H141" s="232">
        <v>125.5</v>
      </c>
      <c r="I141" s="232">
        <v>55</v>
      </c>
      <c r="J141" s="232">
        <v>86</v>
      </c>
      <c r="K141" s="232">
        <v>172.75</v>
      </c>
      <c r="L141" s="232">
        <v>13.75</v>
      </c>
      <c r="M141" s="232"/>
      <c r="N141" s="232">
        <f t="shared" si="19"/>
        <v>771.5</v>
      </c>
    </row>
    <row r="142" spans="1:14">
      <c r="A142" s="231" t="s">
        <v>74</v>
      </c>
      <c r="B142" s="232"/>
      <c r="C142" s="232"/>
      <c r="D142" s="232"/>
      <c r="E142" s="232">
        <v>21.5</v>
      </c>
      <c r="F142" s="232"/>
      <c r="G142" s="233"/>
      <c r="H142" s="232"/>
      <c r="I142" s="232"/>
      <c r="J142" s="232"/>
      <c r="K142" s="232"/>
      <c r="L142" s="232"/>
      <c r="M142" s="232"/>
      <c r="N142" s="232">
        <f t="shared" si="19"/>
        <v>21.5</v>
      </c>
    </row>
    <row r="143" spans="1:14">
      <c r="A143" s="231" t="s">
        <v>75</v>
      </c>
      <c r="B143" s="232">
        <v>54.75</v>
      </c>
      <c r="C143" s="232">
        <v>104</v>
      </c>
      <c r="D143" s="232"/>
      <c r="E143" s="232">
        <v>62</v>
      </c>
      <c r="F143" s="232">
        <v>151.5</v>
      </c>
      <c r="G143" s="233">
        <v>54.25</v>
      </c>
      <c r="H143" s="232"/>
      <c r="I143" s="232"/>
      <c r="J143" s="232">
        <v>21</v>
      </c>
      <c r="K143" s="232">
        <v>45</v>
      </c>
      <c r="L143" s="232">
        <v>160.5</v>
      </c>
      <c r="M143" s="232"/>
      <c r="N143" s="232">
        <f t="shared" si="19"/>
        <v>653</v>
      </c>
    </row>
    <row r="144" spans="1:14" ht="13.5" thickBot="1">
      <c r="A144" s="235" t="s">
        <v>76</v>
      </c>
      <c r="B144" s="236"/>
      <c r="C144" s="236">
        <v>7.75</v>
      </c>
      <c r="D144" s="236"/>
      <c r="E144" s="236"/>
      <c r="F144" s="236"/>
      <c r="G144" s="237">
        <v>37</v>
      </c>
      <c r="H144" s="236"/>
      <c r="I144" s="236"/>
      <c r="J144" s="236">
        <v>37</v>
      </c>
      <c r="K144" s="236"/>
      <c r="L144" s="236"/>
      <c r="M144" s="236"/>
      <c r="N144" s="238">
        <f t="shared" si="19"/>
        <v>81.75</v>
      </c>
    </row>
    <row r="145" spans="1:14" ht="13.5" thickBot="1">
      <c r="A145" s="239" t="s">
        <v>77</v>
      </c>
      <c r="B145" s="240">
        <f t="shared" ref="B145:M145" si="20">SUM(B134+B135+B136-B137-B138-B139-B141-B142-B143-B144)</f>
        <v>2301.5</v>
      </c>
      <c r="C145" s="240">
        <f t="shared" si="20"/>
        <v>2094.5</v>
      </c>
      <c r="D145" s="240">
        <f t="shared" si="20"/>
        <v>2115.75</v>
      </c>
      <c r="E145" s="240">
        <f t="shared" si="20"/>
        <v>2020.25</v>
      </c>
      <c r="F145" s="240">
        <f t="shared" si="20"/>
        <v>2268.25</v>
      </c>
      <c r="G145" s="354">
        <f t="shared" si="20"/>
        <v>2043</v>
      </c>
      <c r="H145" s="240">
        <f t="shared" si="20"/>
        <v>1149.75</v>
      </c>
      <c r="I145" s="240">
        <f t="shared" si="20"/>
        <v>2218.5</v>
      </c>
      <c r="J145" s="240">
        <f t="shared" si="20"/>
        <v>2214.5</v>
      </c>
      <c r="K145" s="240">
        <f t="shared" si="20"/>
        <v>2142.5</v>
      </c>
      <c r="L145" s="240">
        <f t="shared" si="20"/>
        <v>2234.25</v>
      </c>
      <c r="M145" s="241">
        <f t="shared" si="20"/>
        <v>2565</v>
      </c>
      <c r="N145" s="242">
        <f t="shared" si="19"/>
        <v>25367.75</v>
      </c>
    </row>
    <row r="146" spans="1:14">
      <c r="A146" s="243"/>
      <c r="B146" s="244"/>
      <c r="C146" s="244"/>
      <c r="D146" s="244"/>
      <c r="E146" s="244"/>
      <c r="F146" s="244"/>
      <c r="G146" s="244"/>
      <c r="H146" s="244"/>
      <c r="I146" s="244"/>
      <c r="J146" s="244"/>
      <c r="K146" s="244"/>
      <c r="L146" s="244"/>
      <c r="M146" s="244"/>
      <c r="N146" s="244"/>
    </row>
    <row r="147" spans="1:14">
      <c r="A147" s="243"/>
      <c r="B147" s="244"/>
      <c r="C147" s="244"/>
      <c r="D147" s="244"/>
      <c r="E147" s="244"/>
      <c r="F147" s="244"/>
      <c r="G147" s="244"/>
      <c r="H147" s="244"/>
      <c r="I147" s="244"/>
      <c r="J147" s="244"/>
      <c r="K147" s="244"/>
      <c r="L147" s="244"/>
      <c r="M147" s="244"/>
      <c r="N147" s="245" t="s">
        <v>78</v>
      </c>
    </row>
    <row r="148" spans="1:14">
      <c r="A148" s="231" t="s">
        <v>79</v>
      </c>
      <c r="B148" s="232">
        <f t="shared" ref="B148:M148" si="21">SUM(B135*100/B145)</f>
        <v>0</v>
      </c>
      <c r="C148" s="232">
        <f t="shared" si="21"/>
        <v>0</v>
      </c>
      <c r="D148" s="232">
        <f t="shared" si="21"/>
        <v>0</v>
      </c>
      <c r="E148" s="232">
        <f t="shared" si="21"/>
        <v>0</v>
      </c>
      <c r="F148" s="232">
        <f t="shared" si="21"/>
        <v>0</v>
      </c>
      <c r="G148" s="232">
        <f t="shared" si="21"/>
        <v>0</v>
      </c>
      <c r="H148" s="232">
        <f t="shared" si="21"/>
        <v>0</v>
      </c>
      <c r="I148" s="232">
        <f t="shared" si="21"/>
        <v>1.0141987829614605</v>
      </c>
      <c r="J148" s="232">
        <f t="shared" si="21"/>
        <v>0</v>
      </c>
      <c r="K148" s="232">
        <f t="shared" si="21"/>
        <v>0</v>
      </c>
      <c r="L148" s="232">
        <f t="shared" si="21"/>
        <v>0</v>
      </c>
      <c r="M148" s="232">
        <f t="shared" si="21"/>
        <v>0</v>
      </c>
      <c r="N148" s="246">
        <f>SUM(B148:M148)/12</f>
        <v>8.4516565246788369E-2</v>
      </c>
    </row>
    <row r="149" spans="1:14">
      <c r="A149" s="243"/>
      <c r="B149" s="244"/>
      <c r="C149" s="244"/>
      <c r="D149" s="244"/>
      <c r="E149" s="244"/>
      <c r="F149" s="244"/>
      <c r="G149" s="244"/>
      <c r="H149" s="244"/>
      <c r="I149" s="244"/>
      <c r="J149" s="244"/>
      <c r="K149" s="244"/>
      <c r="L149" s="244"/>
      <c r="M149" s="244"/>
      <c r="N149" s="227"/>
    </row>
    <row r="150" spans="1:14">
      <c r="A150" s="231" t="s">
        <v>80</v>
      </c>
      <c r="B150" s="232">
        <f t="shared" ref="B150:M150" si="22">SUM(B139*100/B145)</f>
        <v>2.6938952856832499</v>
      </c>
      <c r="C150" s="232">
        <f t="shared" si="22"/>
        <v>4.2730962043447125</v>
      </c>
      <c r="D150" s="232">
        <f t="shared" si="22"/>
        <v>7.0778683681909484</v>
      </c>
      <c r="E150" s="232">
        <f t="shared" si="22"/>
        <v>3.2792971166934786</v>
      </c>
      <c r="F150" s="232">
        <f t="shared" si="22"/>
        <v>1.9728865865755538</v>
      </c>
      <c r="G150" s="232">
        <f t="shared" si="22"/>
        <v>1.8967205090553108</v>
      </c>
      <c r="H150" s="232">
        <f t="shared" si="22"/>
        <v>0.67405957816916717</v>
      </c>
      <c r="I150" s="232">
        <f t="shared" si="22"/>
        <v>1.0480054090601758</v>
      </c>
      <c r="J150" s="232">
        <f t="shared" si="22"/>
        <v>2.0207721833370966</v>
      </c>
      <c r="K150" s="232">
        <f t="shared" si="22"/>
        <v>3.8156359393232204</v>
      </c>
      <c r="L150" s="232">
        <f t="shared" si="22"/>
        <v>2.8868747901980529</v>
      </c>
      <c r="M150" s="232">
        <f t="shared" si="22"/>
        <v>0</v>
      </c>
      <c r="N150" s="246">
        <f>SUM(B150:M150)/12</f>
        <v>2.6365926642192474</v>
      </c>
    </row>
    <row r="151" spans="1:14" ht="13.5" thickBot="1">
      <c r="A151" s="247" t="s">
        <v>81</v>
      </c>
      <c r="B151" s="238">
        <f t="shared" ref="B151:M151" si="23">SUM(B140*100/B145)</f>
        <v>0.33673691071040623</v>
      </c>
      <c r="C151" s="238">
        <f t="shared" si="23"/>
        <v>0</v>
      </c>
      <c r="D151" s="238">
        <f t="shared" si="23"/>
        <v>0</v>
      </c>
      <c r="E151" s="238">
        <f t="shared" si="23"/>
        <v>0</v>
      </c>
      <c r="F151" s="238">
        <f t="shared" si="23"/>
        <v>0</v>
      </c>
      <c r="G151" s="238">
        <f t="shared" si="23"/>
        <v>0</v>
      </c>
      <c r="H151" s="238">
        <f t="shared" si="23"/>
        <v>0</v>
      </c>
      <c r="I151" s="238">
        <f t="shared" si="23"/>
        <v>0</v>
      </c>
      <c r="J151" s="238">
        <f t="shared" si="23"/>
        <v>0</v>
      </c>
      <c r="K151" s="238">
        <f t="shared" si="23"/>
        <v>0</v>
      </c>
      <c r="L151" s="238">
        <f t="shared" si="23"/>
        <v>0</v>
      </c>
      <c r="M151" s="238">
        <f t="shared" si="23"/>
        <v>0</v>
      </c>
      <c r="N151" s="248">
        <f>SUM(B151:M151)/12</f>
        <v>2.8061409225867185E-2</v>
      </c>
    </row>
    <row r="152" spans="1:14" ht="13.5" thickBot="1">
      <c r="A152" s="249" t="s">
        <v>82</v>
      </c>
      <c r="B152" s="250">
        <f t="shared" ref="B152:M152" si="24">SUM(B150:B150)</f>
        <v>2.6938952856832499</v>
      </c>
      <c r="C152" s="250">
        <f t="shared" si="24"/>
        <v>4.2730962043447125</v>
      </c>
      <c r="D152" s="250">
        <f t="shared" si="24"/>
        <v>7.0778683681909484</v>
      </c>
      <c r="E152" s="250">
        <f t="shared" si="24"/>
        <v>3.2792971166934786</v>
      </c>
      <c r="F152" s="250">
        <f t="shared" si="24"/>
        <v>1.9728865865755538</v>
      </c>
      <c r="G152" s="250">
        <f t="shared" si="24"/>
        <v>1.8967205090553108</v>
      </c>
      <c r="H152" s="250">
        <f t="shared" si="24"/>
        <v>0.67405957816916717</v>
      </c>
      <c r="I152" s="250">
        <f t="shared" si="24"/>
        <v>1.0480054090601758</v>
      </c>
      <c r="J152" s="250">
        <f t="shared" si="24"/>
        <v>2.0207721833370966</v>
      </c>
      <c r="K152" s="250">
        <f t="shared" si="24"/>
        <v>3.8156359393232204</v>
      </c>
      <c r="L152" s="250">
        <f t="shared" si="24"/>
        <v>2.8868747901980529</v>
      </c>
      <c r="M152" s="250">
        <f t="shared" si="24"/>
        <v>0</v>
      </c>
      <c r="N152" s="251">
        <f>SUM(N150:N151)</f>
        <v>2.6646540734451145</v>
      </c>
    </row>
    <row r="153" spans="1:14">
      <c r="A153" s="243" t="s">
        <v>83</v>
      </c>
      <c r="B153" s="244"/>
      <c r="C153" s="244"/>
      <c r="D153" s="252">
        <f>SUM(B152:D152)/3</f>
        <v>4.6816199527396369</v>
      </c>
      <c r="E153" s="244"/>
      <c r="F153" s="244"/>
      <c r="G153" s="252">
        <f>SUM(E152,F152,G152)/3</f>
        <v>2.3829680707747811</v>
      </c>
      <c r="H153" s="244"/>
      <c r="I153" s="244"/>
      <c r="J153" s="252">
        <f>SUM(H152,I152,J152)/3</f>
        <v>1.2476123901888132</v>
      </c>
      <c r="K153" s="244"/>
      <c r="L153" s="244"/>
      <c r="M153" s="252">
        <f>SUM(K152,L152,M152)/3</f>
        <v>2.2341702431737578</v>
      </c>
      <c r="N153" s="253">
        <f>SUM(D153:M153)/4</f>
        <v>2.636592664219247</v>
      </c>
    </row>
    <row r="154" spans="1:14">
      <c r="A154" s="243" t="s">
        <v>84</v>
      </c>
      <c r="B154" s="244"/>
      <c r="C154" s="244"/>
      <c r="D154" s="254"/>
      <c r="E154" s="244"/>
      <c r="F154" s="244"/>
      <c r="G154" s="254"/>
      <c r="H154" s="244"/>
      <c r="I154" s="244"/>
      <c r="J154" s="254"/>
      <c r="K154" s="244"/>
      <c r="L154" s="244"/>
      <c r="M154" s="254"/>
      <c r="N154" s="246">
        <f>SUM(D154:G154,J154,M154)/4</f>
        <v>0</v>
      </c>
    </row>
    <row r="155" spans="1:14">
      <c r="A155" s="243"/>
      <c r="B155" s="244"/>
      <c r="C155" s="244"/>
      <c r="D155" s="244"/>
      <c r="E155" s="244"/>
      <c r="F155" s="244"/>
      <c r="G155" s="244"/>
      <c r="H155" s="244"/>
      <c r="I155" s="244"/>
      <c r="J155" s="244"/>
      <c r="K155" s="244"/>
      <c r="L155" s="244"/>
      <c r="M155" s="244"/>
      <c r="N155" s="244"/>
    </row>
    <row r="156" spans="1:14">
      <c r="A156" s="231" t="s">
        <v>85</v>
      </c>
      <c r="B156" s="232">
        <f t="shared" ref="B156:M156" si="25">B143*100/B145</f>
        <v>2.3788833369541602</v>
      </c>
      <c r="C156" s="232">
        <f t="shared" si="25"/>
        <v>4.9653855335402248</v>
      </c>
      <c r="D156" s="232">
        <f t="shared" si="25"/>
        <v>0</v>
      </c>
      <c r="E156" s="232">
        <f t="shared" si="25"/>
        <v>3.0689271129810667</v>
      </c>
      <c r="F156" s="232">
        <f t="shared" si="25"/>
        <v>6.6791579411440534</v>
      </c>
      <c r="G156" s="232">
        <f t="shared" si="25"/>
        <v>2.6554087126774353</v>
      </c>
      <c r="H156" s="232">
        <f t="shared" si="25"/>
        <v>0</v>
      </c>
      <c r="I156" s="232">
        <f t="shared" si="25"/>
        <v>0</v>
      </c>
      <c r="J156" s="232">
        <f t="shared" si="25"/>
        <v>0.94829532625874913</v>
      </c>
      <c r="K156" s="232">
        <f t="shared" si="25"/>
        <v>2.1003500583430572</v>
      </c>
      <c r="L156" s="232">
        <f t="shared" si="25"/>
        <v>7.1836186639812016</v>
      </c>
      <c r="M156" s="232">
        <f t="shared" si="25"/>
        <v>0</v>
      </c>
      <c r="N156" s="246">
        <f>SUM(B156:M156)/12</f>
        <v>2.4983355571566626</v>
      </c>
    </row>
    <row r="157" spans="1:14">
      <c r="A157" s="231" t="s">
        <v>86</v>
      </c>
      <c r="B157" s="232">
        <f t="shared" ref="B157:M157" si="26">B141*100/B145</f>
        <v>1.3686726048229416</v>
      </c>
      <c r="C157" s="232">
        <f t="shared" si="26"/>
        <v>2.5423728813559321</v>
      </c>
      <c r="D157" s="232">
        <f t="shared" si="26"/>
        <v>1.5833628736854544</v>
      </c>
      <c r="E157" s="232">
        <f t="shared" si="26"/>
        <v>2.5120653384482119</v>
      </c>
      <c r="F157" s="232">
        <f t="shared" si="26"/>
        <v>1.5871266394797752</v>
      </c>
      <c r="G157" s="232">
        <f t="shared" si="26"/>
        <v>5.5555555555555554</v>
      </c>
      <c r="H157" s="232">
        <f t="shared" si="26"/>
        <v>10.91541639486845</v>
      </c>
      <c r="I157" s="232">
        <f t="shared" si="26"/>
        <v>2.479152580572459</v>
      </c>
      <c r="J157" s="232">
        <f t="shared" si="26"/>
        <v>3.883495145631068</v>
      </c>
      <c r="K157" s="232">
        <f t="shared" si="26"/>
        <v>8.0630105017502913</v>
      </c>
      <c r="L157" s="232">
        <f t="shared" si="26"/>
        <v>0.61541904442206552</v>
      </c>
      <c r="M157" s="232">
        <f t="shared" si="26"/>
        <v>0</v>
      </c>
      <c r="N157" s="246">
        <f>SUM(B157:M157)/12</f>
        <v>3.425470796716017</v>
      </c>
    </row>
    <row r="158" spans="1:14" ht="13.5" thickBot="1">
      <c r="A158" s="231" t="s">
        <v>87</v>
      </c>
      <c r="B158" s="232">
        <f t="shared" ref="B158:M158" si="27">B137*100/B145</f>
        <v>5.0076037366934605</v>
      </c>
      <c r="C158" s="232">
        <f t="shared" si="27"/>
        <v>10.026259250417761</v>
      </c>
      <c r="D158" s="232">
        <f t="shared" si="27"/>
        <v>9.724683918232305</v>
      </c>
      <c r="E158" s="232">
        <f t="shared" si="27"/>
        <v>12.523202573938869</v>
      </c>
      <c r="F158" s="232">
        <f t="shared" si="27"/>
        <v>1.2123884051581615</v>
      </c>
      <c r="G158" s="232">
        <f t="shared" si="27"/>
        <v>13.631913852178169</v>
      </c>
      <c r="H158" s="232">
        <f t="shared" si="27"/>
        <v>111.50250054359644</v>
      </c>
      <c r="I158" s="232">
        <f t="shared" si="27"/>
        <v>13.105702050935317</v>
      </c>
      <c r="J158" s="232">
        <f t="shared" si="27"/>
        <v>7.3041318582072705</v>
      </c>
      <c r="K158" s="232">
        <f t="shared" si="27"/>
        <v>5.7409568261376895</v>
      </c>
      <c r="L158" s="232">
        <f t="shared" si="27"/>
        <v>3.8491663869307375</v>
      </c>
      <c r="M158" s="232">
        <f t="shared" si="27"/>
        <v>0</v>
      </c>
      <c r="N158" s="246">
        <f>SUM(B158:M158)/12</f>
        <v>16.135709116868849</v>
      </c>
    </row>
    <row r="159" spans="1:14" ht="13.5" thickBot="1">
      <c r="A159" s="255" t="s">
        <v>88</v>
      </c>
      <c r="B159" s="256">
        <f t="shared" ref="B159:M159" si="28">SUM(B134-B145)*100/B145</f>
        <v>11.449054964153813</v>
      </c>
      <c r="C159" s="256">
        <f t="shared" si="28"/>
        <v>22.46359513010265</v>
      </c>
      <c r="D159" s="256">
        <f t="shared" si="28"/>
        <v>21.233605104572845</v>
      </c>
      <c r="E159" s="256">
        <f t="shared" si="28"/>
        <v>26.964484593490905</v>
      </c>
      <c r="F159" s="256">
        <f t="shared" si="28"/>
        <v>13.082773062933979</v>
      </c>
      <c r="G159" s="256">
        <f t="shared" si="28"/>
        <v>25.550660792951543</v>
      </c>
      <c r="H159" s="256">
        <f t="shared" si="28"/>
        <v>123.09197651663405</v>
      </c>
      <c r="I159" s="256">
        <f t="shared" si="28"/>
        <v>15.61866125760649</v>
      </c>
      <c r="J159" s="256">
        <f t="shared" si="28"/>
        <v>15.827500564461504</v>
      </c>
      <c r="K159" s="256">
        <f t="shared" si="28"/>
        <v>19.719953325554258</v>
      </c>
      <c r="L159" s="256">
        <f t="shared" si="28"/>
        <v>14.803625377643504</v>
      </c>
      <c r="M159" s="256">
        <f t="shared" si="28"/>
        <v>0</v>
      </c>
      <c r="N159" s="257">
        <f>SUM(B159:M159)/12</f>
        <v>25.817157557508803</v>
      </c>
    </row>
    <row r="160" spans="1:14">
      <c r="A160" s="243"/>
      <c r="B160" s="244"/>
      <c r="C160" s="244"/>
      <c r="D160" s="244"/>
      <c r="E160" s="244"/>
      <c r="F160" s="244"/>
      <c r="G160" s="244"/>
      <c r="H160" s="244"/>
      <c r="I160" s="244"/>
      <c r="J160" s="244"/>
      <c r="K160" s="244"/>
      <c r="L160" s="244"/>
      <c r="M160" s="244"/>
      <c r="N160" s="227"/>
    </row>
    <row r="161" spans="1:14">
      <c r="A161" s="258" t="s">
        <v>89</v>
      </c>
      <c r="B161" s="244"/>
      <c r="C161" s="244"/>
      <c r="D161" s="244"/>
      <c r="E161" s="244"/>
      <c r="F161" s="244"/>
      <c r="G161" s="244"/>
      <c r="H161" s="244"/>
      <c r="I161" s="244"/>
      <c r="J161" s="244"/>
      <c r="K161" s="244"/>
      <c r="L161" s="244"/>
      <c r="M161" s="244"/>
      <c r="N161" s="227"/>
    </row>
    <row r="162" spans="1:14">
      <c r="A162" s="231" t="s">
        <v>90</v>
      </c>
      <c r="B162" s="259">
        <v>16</v>
      </c>
      <c r="C162" s="259">
        <v>16</v>
      </c>
      <c r="D162" s="259">
        <v>16</v>
      </c>
      <c r="E162" s="259">
        <v>16</v>
      </c>
      <c r="F162" s="259">
        <v>16</v>
      </c>
      <c r="G162" s="259">
        <v>16</v>
      </c>
      <c r="H162" s="259">
        <v>16</v>
      </c>
      <c r="I162" s="259">
        <f t="shared" ref="I162:N162" si="29">H165</f>
        <v>16</v>
      </c>
      <c r="J162" s="259">
        <f t="shared" si="29"/>
        <v>16</v>
      </c>
      <c r="K162" s="259">
        <f t="shared" si="29"/>
        <v>16</v>
      </c>
      <c r="L162" s="259">
        <f t="shared" si="29"/>
        <v>16</v>
      </c>
      <c r="M162" s="259">
        <f t="shared" si="29"/>
        <v>16</v>
      </c>
      <c r="N162" s="259">
        <f t="shared" si="29"/>
        <v>16</v>
      </c>
    </row>
    <row r="163" spans="1:14">
      <c r="A163" s="231" t="s">
        <v>91</v>
      </c>
      <c r="B163" s="259"/>
      <c r="C163" s="259"/>
      <c r="D163" s="259"/>
      <c r="E163" s="259"/>
      <c r="F163" s="259"/>
      <c r="G163" s="259"/>
      <c r="H163" s="259"/>
      <c r="I163" s="259"/>
      <c r="J163" s="259"/>
      <c r="K163" s="259"/>
      <c r="L163" s="259"/>
      <c r="M163" s="259"/>
      <c r="N163" s="259">
        <f>SUM(B163:M163)/12</f>
        <v>0</v>
      </c>
    </row>
    <row r="164" spans="1:14">
      <c r="A164" s="231" t="s">
        <v>92</v>
      </c>
      <c r="B164" s="259"/>
      <c r="C164" s="259"/>
      <c r="D164" s="259"/>
      <c r="E164" s="259"/>
      <c r="F164" s="259"/>
      <c r="G164" s="259"/>
      <c r="H164" s="259"/>
      <c r="I164" s="259"/>
      <c r="J164" s="259"/>
      <c r="K164" s="259"/>
      <c r="L164" s="259"/>
      <c r="M164" s="259"/>
      <c r="N164" s="259">
        <f>SUM(B163:M163)/12</f>
        <v>0</v>
      </c>
    </row>
    <row r="165" spans="1:14">
      <c r="A165" s="231" t="s">
        <v>89</v>
      </c>
      <c r="B165" s="259">
        <f t="shared" ref="B165:M165" si="30">SUM(B162+B163-B164)</f>
        <v>16</v>
      </c>
      <c r="C165" s="259">
        <f t="shared" si="30"/>
        <v>16</v>
      </c>
      <c r="D165" s="259">
        <f t="shared" si="30"/>
        <v>16</v>
      </c>
      <c r="E165" s="259">
        <f t="shared" si="30"/>
        <v>16</v>
      </c>
      <c r="F165" s="259">
        <f t="shared" si="30"/>
        <v>16</v>
      </c>
      <c r="G165" s="259">
        <f t="shared" si="30"/>
        <v>16</v>
      </c>
      <c r="H165" s="259">
        <f t="shared" si="30"/>
        <v>16</v>
      </c>
      <c r="I165" s="259">
        <f t="shared" si="30"/>
        <v>16</v>
      </c>
      <c r="J165" s="259">
        <f t="shared" si="30"/>
        <v>16</v>
      </c>
      <c r="K165" s="259">
        <f t="shared" si="30"/>
        <v>16</v>
      </c>
      <c r="L165" s="259">
        <f t="shared" si="30"/>
        <v>16</v>
      </c>
      <c r="M165" s="259">
        <f t="shared" si="30"/>
        <v>16</v>
      </c>
      <c r="N165" s="259">
        <f>SUM(B164:M164)/12</f>
        <v>0</v>
      </c>
    </row>
    <row r="166" spans="1:14">
      <c r="A166" s="231" t="s">
        <v>93</v>
      </c>
      <c r="B166" s="260">
        <f t="shared" ref="B166:M166" si="31">SUM(B165*100)/B162-100</f>
        <v>0</v>
      </c>
      <c r="C166" s="260">
        <f t="shared" si="31"/>
        <v>0</v>
      </c>
      <c r="D166" s="260">
        <f t="shared" si="31"/>
        <v>0</v>
      </c>
      <c r="E166" s="260">
        <f t="shared" si="31"/>
        <v>0</v>
      </c>
      <c r="F166" s="260">
        <f t="shared" si="31"/>
        <v>0</v>
      </c>
      <c r="G166" s="260">
        <f t="shared" si="31"/>
        <v>0</v>
      </c>
      <c r="H166" s="260">
        <f t="shared" si="31"/>
        <v>0</v>
      </c>
      <c r="I166" s="260">
        <f t="shared" si="31"/>
        <v>0</v>
      </c>
      <c r="J166" s="260">
        <f t="shared" si="31"/>
        <v>0</v>
      </c>
      <c r="K166" s="260">
        <f t="shared" si="31"/>
        <v>0</v>
      </c>
      <c r="L166" s="260">
        <f t="shared" si="31"/>
        <v>0</v>
      </c>
      <c r="M166" s="260">
        <f t="shared" si="31"/>
        <v>0</v>
      </c>
      <c r="N166" s="259"/>
    </row>
    <row r="167" spans="1:14">
      <c r="A167" s="243" t="s">
        <v>94</v>
      </c>
      <c r="B167" s="261"/>
      <c r="C167" s="261"/>
      <c r="D167" s="262">
        <f>SUM(B166:D166/3)</f>
        <v>0</v>
      </c>
      <c r="E167" s="261"/>
      <c r="F167" s="261"/>
      <c r="G167" s="262">
        <f>SUM(E166:G166)/3</f>
        <v>0</v>
      </c>
      <c r="H167" s="261"/>
      <c r="I167" s="261"/>
      <c r="J167" s="262">
        <f>SUM(H166:J166)/3</f>
        <v>0</v>
      </c>
      <c r="K167" s="261"/>
      <c r="L167" s="261"/>
      <c r="M167" s="262">
        <f>SUM(K166:M166)/3</f>
        <v>0</v>
      </c>
      <c r="N167" s="261"/>
    </row>
    <row r="168" spans="1:14">
      <c r="A168" s="243"/>
      <c r="B168" s="244"/>
      <c r="C168" s="244"/>
      <c r="D168" s="244"/>
      <c r="E168" s="244"/>
      <c r="F168" s="244"/>
      <c r="G168" s="244"/>
      <c r="H168" s="244"/>
      <c r="I168" s="244"/>
      <c r="J168" s="244"/>
      <c r="K168" s="244"/>
      <c r="L168" s="244"/>
      <c r="M168" s="244"/>
      <c r="N168" s="227"/>
    </row>
    <row r="169" spans="1:14" ht="15.75">
      <c r="A169" s="258"/>
      <c r="B169" s="326"/>
      <c r="C169" s="326"/>
      <c r="D169" s="326"/>
      <c r="E169" s="326"/>
      <c r="F169" s="326"/>
      <c r="G169" s="355"/>
      <c r="H169" s="326"/>
      <c r="I169" s="326"/>
      <c r="J169" s="326"/>
      <c r="K169" s="326"/>
      <c r="L169" s="326"/>
      <c r="M169" s="326"/>
      <c r="N169" s="227"/>
    </row>
    <row r="170" spans="1:14">
      <c r="A170" s="328" t="s">
        <v>150</v>
      </c>
      <c r="B170" s="232" t="s">
        <v>44</v>
      </c>
      <c r="C170" s="232" t="s">
        <v>45</v>
      </c>
      <c r="D170" s="232" t="s">
        <v>46</v>
      </c>
      <c r="E170" s="232" t="s">
        <v>47</v>
      </c>
      <c r="F170" s="232" t="s">
        <v>48</v>
      </c>
      <c r="G170" s="232" t="s">
        <v>49</v>
      </c>
      <c r="H170" s="232" t="s">
        <v>38</v>
      </c>
      <c r="I170" s="232" t="s">
        <v>39</v>
      </c>
      <c r="J170" s="232" t="s">
        <v>40</v>
      </c>
      <c r="K170" s="232" t="s">
        <v>41</v>
      </c>
      <c r="L170" s="232" t="s">
        <v>42</v>
      </c>
      <c r="M170" s="232" t="s">
        <v>43</v>
      </c>
      <c r="N170" s="228" t="s">
        <v>64</v>
      </c>
    </row>
    <row r="171" spans="1:14">
      <c r="A171" s="231" t="s">
        <v>238</v>
      </c>
      <c r="B171" s="529">
        <v>309000</v>
      </c>
      <c r="C171" s="529">
        <v>309000</v>
      </c>
      <c r="D171" s="529">
        <v>309000</v>
      </c>
      <c r="E171" s="529">
        <v>309000</v>
      </c>
      <c r="F171" s="529">
        <v>309000</v>
      </c>
      <c r="G171" s="529">
        <v>309000</v>
      </c>
      <c r="H171" s="529">
        <v>309000</v>
      </c>
      <c r="I171" s="529">
        <v>309000</v>
      </c>
      <c r="J171" s="529">
        <v>309000</v>
      </c>
      <c r="K171" s="529">
        <v>309000</v>
      </c>
      <c r="L171" s="529">
        <v>309000</v>
      </c>
      <c r="M171" s="529">
        <v>309000</v>
      </c>
      <c r="N171" s="529">
        <f t="shared" ref="N171:N186" si="32">SUM(B171:M171)</f>
        <v>3708000</v>
      </c>
    </row>
    <row r="172" spans="1:14">
      <c r="A172" s="231" t="s">
        <v>239</v>
      </c>
      <c r="B172" s="329">
        <v>81500</v>
      </c>
      <c r="C172" s="329">
        <v>81500</v>
      </c>
      <c r="D172" s="329">
        <v>81500</v>
      </c>
      <c r="E172" s="329">
        <v>81500</v>
      </c>
      <c r="F172" s="329">
        <v>81500</v>
      </c>
      <c r="G172" s="329">
        <v>81500</v>
      </c>
      <c r="H172" s="329">
        <v>81500</v>
      </c>
      <c r="I172" s="329">
        <v>81500</v>
      </c>
      <c r="J172" s="329">
        <v>81500</v>
      </c>
      <c r="K172" s="329">
        <v>81500</v>
      </c>
      <c r="L172" s="329">
        <v>81500</v>
      </c>
      <c r="M172" s="329">
        <v>81500</v>
      </c>
      <c r="N172" s="329">
        <f t="shared" si="32"/>
        <v>978000</v>
      </c>
    </row>
    <row r="173" spans="1:14">
      <c r="A173" s="231"/>
      <c r="B173" s="329"/>
      <c r="C173" s="329">
        <v>0</v>
      </c>
      <c r="D173" s="329">
        <v>0</v>
      </c>
      <c r="E173" s="329">
        <v>0</v>
      </c>
      <c r="F173" s="329">
        <v>0</v>
      </c>
      <c r="G173" s="329">
        <v>0</v>
      </c>
      <c r="H173" s="329">
        <v>0</v>
      </c>
      <c r="I173" s="329">
        <v>0</v>
      </c>
      <c r="J173" s="329">
        <v>0</v>
      </c>
      <c r="K173" s="329">
        <v>0</v>
      </c>
      <c r="L173" s="329">
        <v>0</v>
      </c>
      <c r="M173" s="329">
        <v>0</v>
      </c>
      <c r="N173" s="329">
        <f t="shared" si="32"/>
        <v>0</v>
      </c>
    </row>
    <row r="174" spans="1:14" ht="13.5" thickBot="1">
      <c r="A174" s="356"/>
      <c r="B174" s="357"/>
      <c r="C174" s="357"/>
      <c r="D174" s="357"/>
      <c r="E174" s="357"/>
      <c r="F174" s="357"/>
      <c r="G174" s="357"/>
      <c r="H174" s="357"/>
      <c r="I174" s="357"/>
      <c r="J174" s="357"/>
      <c r="K174" s="357"/>
      <c r="L174" s="357"/>
      <c r="M174" s="357"/>
      <c r="N174" s="329">
        <f t="shared" si="32"/>
        <v>0</v>
      </c>
    </row>
    <row r="175" spans="1:14" ht="13.5" thickBot="1">
      <c r="A175" s="333" t="s">
        <v>151</v>
      </c>
      <c r="B175" s="334">
        <f t="shared" ref="B175:M175" si="33">SUM(B171:B174)</f>
        <v>390500</v>
      </c>
      <c r="C175" s="334">
        <f t="shared" si="33"/>
        <v>390500</v>
      </c>
      <c r="D175" s="334">
        <f t="shared" si="33"/>
        <v>390500</v>
      </c>
      <c r="E175" s="334">
        <f t="shared" si="33"/>
        <v>390500</v>
      </c>
      <c r="F175" s="334">
        <f t="shared" si="33"/>
        <v>390500</v>
      </c>
      <c r="G175" s="334">
        <f t="shared" si="33"/>
        <v>390500</v>
      </c>
      <c r="H175" s="334">
        <f t="shared" si="33"/>
        <v>390500</v>
      </c>
      <c r="I175" s="334">
        <f t="shared" si="33"/>
        <v>390500</v>
      </c>
      <c r="J175" s="334">
        <f t="shared" si="33"/>
        <v>390500</v>
      </c>
      <c r="K175" s="334">
        <f t="shared" si="33"/>
        <v>390500</v>
      </c>
      <c r="L175" s="334">
        <f t="shared" si="33"/>
        <v>390500</v>
      </c>
      <c r="M175" s="334">
        <f t="shared" si="33"/>
        <v>390500</v>
      </c>
      <c r="N175" s="334">
        <f t="shared" si="32"/>
        <v>4686000</v>
      </c>
    </row>
    <row r="176" spans="1:14">
      <c r="A176" s="228" t="s">
        <v>152</v>
      </c>
      <c r="B176" s="329">
        <v>3675</v>
      </c>
      <c r="C176" s="329">
        <v>8525</v>
      </c>
      <c r="D176" s="329">
        <v>5425</v>
      </c>
      <c r="E176" s="329">
        <v>5050</v>
      </c>
      <c r="F176" s="329">
        <v>5400</v>
      </c>
      <c r="G176" s="329">
        <v>11550</v>
      </c>
      <c r="H176" s="329">
        <v>0</v>
      </c>
      <c r="I176" s="329">
        <v>9387.5</v>
      </c>
      <c r="J176" s="329">
        <v>7950</v>
      </c>
      <c r="K176" s="329">
        <v>5950</v>
      </c>
      <c r="L176" s="329">
        <v>7575</v>
      </c>
      <c r="M176" s="329">
        <v>7875</v>
      </c>
      <c r="N176" s="329">
        <f t="shared" si="32"/>
        <v>78362.5</v>
      </c>
    </row>
    <row r="177" spans="1:15">
      <c r="A177" s="231" t="s">
        <v>153</v>
      </c>
      <c r="B177" s="329">
        <v>3820</v>
      </c>
      <c r="C177" s="329"/>
      <c r="D177" s="329"/>
      <c r="E177" s="329"/>
      <c r="F177" s="329"/>
      <c r="G177" s="358"/>
      <c r="H177" s="329"/>
      <c r="I177" s="329"/>
      <c r="J177" s="329"/>
      <c r="K177" s="329"/>
      <c r="L177" s="329"/>
      <c r="M177" s="329"/>
      <c r="N177" s="329">
        <f t="shared" si="32"/>
        <v>3820</v>
      </c>
    </row>
    <row r="178" spans="1:15">
      <c r="A178" s="356" t="s">
        <v>154</v>
      </c>
      <c r="B178" s="329">
        <v>90000</v>
      </c>
      <c r="C178" s="329">
        <v>90000</v>
      </c>
      <c r="D178" s="329">
        <v>90000</v>
      </c>
      <c r="E178" s="329">
        <v>90000</v>
      </c>
      <c r="F178" s="329">
        <v>90000</v>
      </c>
      <c r="G178" s="329">
        <v>90000</v>
      </c>
      <c r="H178" s="329">
        <v>90000</v>
      </c>
      <c r="I178" s="329">
        <v>90000</v>
      </c>
      <c r="J178" s="329">
        <v>90000</v>
      </c>
      <c r="K178" s="329">
        <v>90000</v>
      </c>
      <c r="L178" s="329">
        <v>90000</v>
      </c>
      <c r="M178" s="329">
        <v>90000</v>
      </c>
      <c r="N178" s="329">
        <f t="shared" si="32"/>
        <v>1080000</v>
      </c>
    </row>
    <row r="179" spans="1:15">
      <c r="A179" s="228" t="s">
        <v>211</v>
      </c>
      <c r="B179" s="329">
        <v>257182.5</v>
      </c>
      <c r="C179" s="329">
        <v>54037.5</v>
      </c>
      <c r="D179" s="329">
        <v>101556.76</v>
      </c>
      <c r="E179" s="329">
        <v>109550</v>
      </c>
      <c r="F179" s="329">
        <v>106362.5</v>
      </c>
      <c r="G179" s="329">
        <v>137925</v>
      </c>
      <c r="H179" s="329">
        <v>29775</v>
      </c>
      <c r="I179" s="329">
        <v>168387.5</v>
      </c>
      <c r="J179" s="329">
        <v>137330</v>
      </c>
      <c r="K179" s="329">
        <v>241814.5</v>
      </c>
      <c r="L179" s="329">
        <v>50475</v>
      </c>
      <c r="M179" s="329">
        <v>110675</v>
      </c>
      <c r="N179" s="329">
        <f t="shared" si="32"/>
        <v>1505071.26</v>
      </c>
    </row>
    <row r="180" spans="1:15" ht="13.5" thickBot="1">
      <c r="A180" s="359" t="s">
        <v>156</v>
      </c>
      <c r="B180" s="357">
        <v>35391.5</v>
      </c>
      <c r="C180" s="357">
        <v>8370.5</v>
      </c>
      <c r="D180" s="357">
        <v>17636.5</v>
      </c>
      <c r="E180" s="357">
        <v>14229.75</v>
      </c>
      <c r="F180" s="357">
        <v>23034.25</v>
      </c>
      <c r="G180" s="357">
        <v>27277.75</v>
      </c>
      <c r="H180" s="357">
        <v>4676.5</v>
      </c>
      <c r="I180" s="357">
        <v>36578</v>
      </c>
      <c r="J180" s="357">
        <v>29605.25</v>
      </c>
      <c r="K180" s="357">
        <v>27215</v>
      </c>
      <c r="L180" s="357">
        <v>8272.5</v>
      </c>
      <c r="M180" s="329">
        <v>19100.5</v>
      </c>
      <c r="N180" s="329">
        <f t="shared" si="32"/>
        <v>251388</v>
      </c>
    </row>
    <row r="181" spans="1:15" ht="13.5" thickBot="1">
      <c r="A181" s="360" t="s">
        <v>126</v>
      </c>
      <c r="B181" s="361">
        <f t="shared" ref="B181:M181" si="34">SUM(B176:B180)</f>
        <v>390069</v>
      </c>
      <c r="C181" s="361">
        <f t="shared" si="34"/>
        <v>160933</v>
      </c>
      <c r="D181" s="361">
        <f t="shared" si="34"/>
        <v>214618.26</v>
      </c>
      <c r="E181" s="361">
        <f t="shared" si="34"/>
        <v>218829.75</v>
      </c>
      <c r="F181" s="361">
        <f t="shared" si="34"/>
        <v>224796.75</v>
      </c>
      <c r="G181" s="361">
        <f t="shared" si="34"/>
        <v>266752.75</v>
      </c>
      <c r="H181" s="361">
        <f t="shared" si="34"/>
        <v>124451.5</v>
      </c>
      <c r="I181" s="361">
        <f t="shared" si="34"/>
        <v>304353</v>
      </c>
      <c r="J181" s="361">
        <f t="shared" si="34"/>
        <v>264885.25</v>
      </c>
      <c r="K181" s="361">
        <f t="shared" si="34"/>
        <v>364979.5</v>
      </c>
      <c r="L181" s="361">
        <f t="shared" si="34"/>
        <v>156322.5</v>
      </c>
      <c r="M181" s="361">
        <f t="shared" si="34"/>
        <v>227650.5</v>
      </c>
      <c r="N181" s="361">
        <f t="shared" si="32"/>
        <v>2918641.76</v>
      </c>
    </row>
    <row r="182" spans="1:15" ht="13.5" thickBot="1">
      <c r="A182" s="228" t="s">
        <v>127</v>
      </c>
      <c r="B182" s="331">
        <v>89832</v>
      </c>
      <c r="C182" s="331">
        <v>0</v>
      </c>
      <c r="D182" s="331">
        <v>0</v>
      </c>
      <c r="E182" s="331">
        <v>1576</v>
      </c>
      <c r="F182" s="331">
        <v>17622</v>
      </c>
      <c r="G182" s="331">
        <v>34708</v>
      </c>
      <c r="H182" s="331">
        <v>0</v>
      </c>
      <c r="I182" s="331">
        <v>0</v>
      </c>
      <c r="J182" s="331">
        <v>0</v>
      </c>
      <c r="K182" s="331">
        <v>0</v>
      </c>
      <c r="L182" s="331">
        <v>94560</v>
      </c>
      <c r="M182" s="357">
        <v>0</v>
      </c>
      <c r="N182" s="329">
        <f t="shared" si="32"/>
        <v>238298</v>
      </c>
      <c r="O182" s="291"/>
    </row>
    <row r="183" spans="1:15" ht="13.5" thickBot="1">
      <c r="A183" s="363" t="s">
        <v>129</v>
      </c>
      <c r="B183" s="364">
        <f t="shared" ref="B183:M183" si="35">SUM(B175,B181,B182)</f>
        <v>870401</v>
      </c>
      <c r="C183" s="364">
        <f t="shared" si="35"/>
        <v>551433</v>
      </c>
      <c r="D183" s="364">
        <f t="shared" si="35"/>
        <v>605118.26</v>
      </c>
      <c r="E183" s="364">
        <f t="shared" si="35"/>
        <v>610905.75</v>
      </c>
      <c r="F183" s="364">
        <f t="shared" si="35"/>
        <v>632918.75</v>
      </c>
      <c r="G183" s="364">
        <f t="shared" si="35"/>
        <v>691960.75</v>
      </c>
      <c r="H183" s="364">
        <f t="shared" si="35"/>
        <v>514951.5</v>
      </c>
      <c r="I183" s="364">
        <f t="shared" si="35"/>
        <v>694853</v>
      </c>
      <c r="J183" s="364">
        <f t="shared" si="35"/>
        <v>655385.25</v>
      </c>
      <c r="K183" s="364">
        <f t="shared" si="35"/>
        <v>755479.5</v>
      </c>
      <c r="L183" s="364">
        <f t="shared" si="35"/>
        <v>641382.5</v>
      </c>
      <c r="M183" s="361">
        <f t="shared" si="35"/>
        <v>618150.5</v>
      </c>
      <c r="N183" s="361">
        <f t="shared" si="32"/>
        <v>7842939.7599999998</v>
      </c>
    </row>
    <row r="184" spans="1:15">
      <c r="A184" s="336" t="s">
        <v>131</v>
      </c>
      <c r="B184" s="365">
        <v>554373</v>
      </c>
      <c r="C184" s="365">
        <v>562354</v>
      </c>
      <c r="D184" s="365">
        <v>541397</v>
      </c>
      <c r="E184" s="365">
        <v>552613</v>
      </c>
      <c r="F184" s="365">
        <v>740576</v>
      </c>
      <c r="G184" s="365">
        <v>543245</v>
      </c>
      <c r="H184" s="365">
        <v>454194</v>
      </c>
      <c r="I184" s="365">
        <v>296421</v>
      </c>
      <c r="J184" s="365">
        <v>503272</v>
      </c>
      <c r="K184" s="365">
        <v>412440</v>
      </c>
      <c r="L184" s="365">
        <v>510000</v>
      </c>
      <c r="M184" s="365">
        <v>510000</v>
      </c>
      <c r="N184" s="329">
        <f t="shared" si="32"/>
        <v>6180885</v>
      </c>
    </row>
    <row r="185" spans="1:15">
      <c r="A185" s="336" t="s">
        <v>157</v>
      </c>
      <c r="B185" s="365"/>
      <c r="C185" s="365"/>
      <c r="D185" s="365"/>
      <c r="E185" s="365"/>
      <c r="F185" s="365"/>
      <c r="G185" s="365"/>
      <c r="H185" s="365"/>
      <c r="I185" s="365"/>
      <c r="J185" s="365"/>
      <c r="K185" s="365"/>
      <c r="L185" s="365"/>
      <c r="M185" s="365"/>
      <c r="N185" s="329">
        <f t="shared" si="32"/>
        <v>0</v>
      </c>
    </row>
    <row r="186" spans="1:15">
      <c r="A186" s="336" t="s">
        <v>158</v>
      </c>
      <c r="B186" s="365"/>
      <c r="C186" s="365"/>
      <c r="D186" s="365"/>
      <c r="E186" s="365"/>
      <c r="F186" s="365"/>
      <c r="G186" s="365"/>
      <c r="H186" s="365"/>
      <c r="I186" s="365"/>
      <c r="J186" s="365"/>
      <c r="K186" s="365"/>
      <c r="L186" s="365"/>
      <c r="M186" s="365"/>
      <c r="N186" s="329">
        <f t="shared" si="32"/>
        <v>0</v>
      </c>
    </row>
    <row r="187" spans="1:15">
      <c r="A187" s="367" t="s">
        <v>146</v>
      </c>
      <c r="B187" s="368">
        <f t="shared" ref="B187:M187" si="36">B183-SUM(B184:B186)</f>
        <v>316028</v>
      </c>
      <c r="C187" s="368">
        <f t="shared" si="36"/>
        <v>-10921</v>
      </c>
      <c r="D187" s="368">
        <f t="shared" si="36"/>
        <v>63721.260000000009</v>
      </c>
      <c r="E187" s="368">
        <f t="shared" si="36"/>
        <v>58292.75</v>
      </c>
      <c r="F187" s="368">
        <f t="shared" si="36"/>
        <v>-107657.25</v>
      </c>
      <c r="G187" s="368">
        <f t="shared" si="36"/>
        <v>148715.75</v>
      </c>
      <c r="H187" s="368">
        <f t="shared" si="36"/>
        <v>60757.5</v>
      </c>
      <c r="I187" s="368">
        <f t="shared" si="36"/>
        <v>398432</v>
      </c>
      <c r="J187" s="368">
        <f t="shared" si="36"/>
        <v>152113.25</v>
      </c>
      <c r="K187" s="368">
        <f t="shared" si="36"/>
        <v>343039.5</v>
      </c>
      <c r="L187" s="368">
        <f t="shared" si="36"/>
        <v>131382.5</v>
      </c>
      <c r="M187" s="368">
        <f t="shared" si="36"/>
        <v>108150.5</v>
      </c>
      <c r="N187" s="368">
        <f>SUM(N183-N184-N185)</f>
        <v>1662054.7599999998</v>
      </c>
    </row>
    <row r="188" spans="1:15" ht="13.5" thickBot="1">
      <c r="A188" s="369">
        <v>206552</v>
      </c>
      <c r="B188" s="369"/>
      <c r="C188" s="369"/>
      <c r="D188" s="369"/>
      <c r="E188" s="369"/>
      <c r="F188" s="369"/>
      <c r="G188" s="369"/>
      <c r="H188" s="369"/>
      <c r="I188" s="369"/>
      <c r="J188" s="369"/>
      <c r="K188" s="369"/>
      <c r="L188" s="369"/>
      <c r="M188" s="369"/>
      <c r="N188" s="369"/>
    </row>
    <row r="189" spans="1:15" ht="13.5" thickBot="1"/>
    <row r="190" spans="1:15" ht="20.25">
      <c r="A190" s="826" t="s">
        <v>291</v>
      </c>
      <c r="B190" s="826"/>
      <c r="C190" s="826"/>
      <c r="D190" s="826"/>
      <c r="E190" s="826"/>
      <c r="F190" s="826"/>
      <c r="G190" s="826"/>
      <c r="H190" s="826"/>
      <c r="I190" s="826"/>
      <c r="J190" s="826"/>
      <c r="K190" s="826"/>
      <c r="L190" s="826"/>
      <c r="M190" s="826"/>
      <c r="N190" s="826"/>
    </row>
    <row r="191" spans="1:15">
      <c r="A191" s="227"/>
      <c r="B191" s="227"/>
      <c r="C191" s="227"/>
      <c r="D191" s="227"/>
      <c r="E191" s="227"/>
      <c r="F191" s="227"/>
      <c r="G191" s="227"/>
      <c r="H191" s="227"/>
      <c r="I191" s="227"/>
      <c r="J191" s="227"/>
      <c r="K191" s="227"/>
      <c r="L191" s="227"/>
      <c r="M191" s="227"/>
    </row>
    <row r="192" spans="1:15">
      <c r="A192" s="228"/>
      <c r="B192" s="229" t="s">
        <v>44</v>
      </c>
      <c r="C192" s="229" t="s">
        <v>45</v>
      </c>
      <c r="D192" s="230" t="s">
        <v>46</v>
      </c>
      <c r="E192" s="229" t="s">
        <v>47</v>
      </c>
      <c r="F192" s="229" t="s">
        <v>48</v>
      </c>
      <c r="G192" s="230" t="s">
        <v>49</v>
      </c>
      <c r="H192" s="229" t="s">
        <v>38</v>
      </c>
      <c r="I192" s="229" t="s">
        <v>39</v>
      </c>
      <c r="J192" s="229" t="s">
        <v>40</v>
      </c>
      <c r="K192" s="229" t="s">
        <v>41</v>
      </c>
      <c r="L192" s="229" t="s">
        <v>42</v>
      </c>
      <c r="M192" s="229" t="s">
        <v>43</v>
      </c>
      <c r="N192" s="228" t="s">
        <v>64</v>
      </c>
    </row>
    <row r="193" spans="1:14">
      <c r="A193" s="231" t="s">
        <v>65</v>
      </c>
      <c r="B193" s="232">
        <v>1924</v>
      </c>
      <c r="C193" s="232">
        <v>1924</v>
      </c>
      <c r="D193" s="232">
        <v>1924</v>
      </c>
      <c r="E193" s="232">
        <v>1924</v>
      </c>
      <c r="F193" s="232">
        <v>1924</v>
      </c>
      <c r="G193" s="232">
        <v>1924</v>
      </c>
      <c r="H193" s="232">
        <v>1924</v>
      </c>
      <c r="I193" s="232">
        <v>1924</v>
      </c>
      <c r="J193" s="232">
        <v>1924</v>
      </c>
      <c r="K193" s="232">
        <v>1924</v>
      </c>
      <c r="L193" s="232">
        <v>1924</v>
      </c>
      <c r="M193" s="232">
        <v>1924</v>
      </c>
      <c r="N193" s="232">
        <f t="shared" ref="N193:N204" si="37">SUM(B193:M193)</f>
        <v>23088</v>
      </c>
    </row>
    <row r="194" spans="1:14">
      <c r="A194" s="231" t="s">
        <v>66</v>
      </c>
      <c r="B194" s="232"/>
      <c r="C194" s="232"/>
      <c r="D194" s="232"/>
      <c r="E194" s="232"/>
      <c r="F194" s="232"/>
      <c r="G194" s="233"/>
      <c r="H194" s="232"/>
      <c r="I194" s="232"/>
      <c r="J194" s="234"/>
      <c r="K194" s="232"/>
      <c r="L194" s="232"/>
      <c r="M194" s="232"/>
      <c r="N194" s="232">
        <f t="shared" si="37"/>
        <v>0</v>
      </c>
    </row>
    <row r="195" spans="1:14">
      <c r="A195" s="231" t="s">
        <v>67</v>
      </c>
      <c r="B195" s="232"/>
      <c r="C195" s="232"/>
      <c r="D195" s="232"/>
      <c r="E195" s="232"/>
      <c r="F195" s="232"/>
      <c r="G195" s="233"/>
      <c r="H195" s="232"/>
      <c r="I195" s="232"/>
      <c r="J195" s="232"/>
      <c r="K195" s="232"/>
      <c r="L195" s="232"/>
      <c r="M195" s="228"/>
      <c r="N195" s="232">
        <f t="shared" si="37"/>
        <v>0</v>
      </c>
    </row>
    <row r="196" spans="1:14">
      <c r="A196" s="231" t="s">
        <v>69</v>
      </c>
      <c r="B196" s="232">
        <v>154.5</v>
      </c>
      <c r="C196" s="232">
        <v>126.25</v>
      </c>
      <c r="D196" s="232">
        <v>96.5</v>
      </c>
      <c r="E196" s="232">
        <v>178</v>
      </c>
      <c r="F196" s="232">
        <v>50</v>
      </c>
      <c r="G196" s="233">
        <v>155.75</v>
      </c>
      <c r="H196" s="232">
        <v>353.25</v>
      </c>
      <c r="I196" s="232">
        <v>482.25</v>
      </c>
      <c r="J196" s="232">
        <v>229.75</v>
      </c>
      <c r="K196" s="232">
        <v>75.5</v>
      </c>
      <c r="L196" s="232">
        <v>56.75</v>
      </c>
      <c r="M196" s="232"/>
      <c r="N196" s="232">
        <f t="shared" si="37"/>
        <v>1958.5</v>
      </c>
    </row>
    <row r="197" spans="1:14">
      <c r="A197" s="231" t="s">
        <v>70</v>
      </c>
      <c r="B197" s="232"/>
      <c r="C197" s="232"/>
      <c r="D197" s="232">
        <v>37</v>
      </c>
      <c r="E197" s="232">
        <v>119.75</v>
      </c>
      <c r="F197" s="232"/>
      <c r="G197" s="233"/>
      <c r="H197" s="232"/>
      <c r="I197" s="232"/>
      <c r="J197" s="232"/>
      <c r="K197" s="232"/>
      <c r="L197" s="232">
        <v>14.5</v>
      </c>
      <c r="M197" s="232"/>
      <c r="N197" s="232">
        <f t="shared" si="37"/>
        <v>171.25</v>
      </c>
    </row>
    <row r="198" spans="1:14">
      <c r="A198" s="231" t="s">
        <v>71</v>
      </c>
      <c r="B198" s="232">
        <v>75.75</v>
      </c>
      <c r="C198" s="232">
        <v>116.75</v>
      </c>
      <c r="D198" s="232">
        <v>146</v>
      </c>
      <c r="E198" s="232"/>
      <c r="F198" s="232">
        <v>31</v>
      </c>
      <c r="G198" s="233">
        <v>101.5</v>
      </c>
      <c r="H198" s="232">
        <v>154.5</v>
      </c>
      <c r="I198" s="232"/>
      <c r="J198" s="232">
        <v>22</v>
      </c>
      <c r="K198" s="232">
        <v>50.75</v>
      </c>
      <c r="L198" s="232">
        <v>145</v>
      </c>
      <c r="M198" s="232"/>
      <c r="N198" s="232">
        <f t="shared" si="37"/>
        <v>843.25</v>
      </c>
    </row>
    <row r="199" spans="1:14">
      <c r="A199" s="231" t="s">
        <v>72</v>
      </c>
      <c r="B199" s="232">
        <v>23.5</v>
      </c>
      <c r="C199" s="232"/>
      <c r="D199" s="232"/>
      <c r="E199" s="232"/>
      <c r="F199" s="232"/>
      <c r="G199" s="233"/>
      <c r="H199" s="232"/>
      <c r="I199" s="232"/>
      <c r="J199" s="232"/>
      <c r="K199" s="232">
        <v>7</v>
      </c>
      <c r="L199" s="232">
        <v>7.75</v>
      </c>
      <c r="M199" s="232"/>
      <c r="N199" s="232">
        <f t="shared" si="37"/>
        <v>38.25</v>
      </c>
    </row>
    <row r="200" spans="1:14">
      <c r="A200" s="231" t="s">
        <v>73</v>
      </c>
      <c r="B200" s="232"/>
      <c r="C200" s="232">
        <v>18.5</v>
      </c>
      <c r="D200" s="232">
        <v>15.5</v>
      </c>
      <c r="E200" s="232">
        <v>23.25</v>
      </c>
      <c r="F200" s="232">
        <v>35</v>
      </c>
      <c r="G200" s="233">
        <v>6</v>
      </c>
      <c r="H200" s="232">
        <v>15.5</v>
      </c>
      <c r="I200" s="232">
        <v>54.25</v>
      </c>
      <c r="J200" s="232">
        <v>6</v>
      </c>
      <c r="K200" s="232">
        <v>13.75</v>
      </c>
      <c r="L200" s="232">
        <v>14</v>
      </c>
      <c r="M200" s="232"/>
      <c r="N200" s="232">
        <f t="shared" si="37"/>
        <v>201.75</v>
      </c>
    </row>
    <row r="201" spans="1:14">
      <c r="A201" s="231" t="s">
        <v>74</v>
      </c>
      <c r="B201" s="232"/>
      <c r="C201" s="232"/>
      <c r="D201" s="232"/>
      <c r="E201" s="232"/>
      <c r="F201" s="232"/>
      <c r="G201" s="233"/>
      <c r="H201" s="232"/>
      <c r="I201" s="232"/>
      <c r="J201" s="232"/>
      <c r="K201" s="232"/>
      <c r="L201" s="232"/>
      <c r="M201" s="232"/>
      <c r="N201" s="232">
        <f t="shared" si="37"/>
        <v>0</v>
      </c>
    </row>
    <row r="202" spans="1:14">
      <c r="A202" s="231" t="s">
        <v>75</v>
      </c>
      <c r="B202" s="232"/>
      <c r="C202" s="232"/>
      <c r="D202" s="232">
        <v>111</v>
      </c>
      <c r="E202" s="232"/>
      <c r="F202" s="232">
        <v>136.25</v>
      </c>
      <c r="G202" s="233"/>
      <c r="H202" s="232"/>
      <c r="I202" s="232"/>
      <c r="J202" s="232">
        <v>21</v>
      </c>
      <c r="K202" s="232">
        <v>7</v>
      </c>
      <c r="L202" s="232">
        <v>52.75</v>
      </c>
      <c r="M202" s="232"/>
      <c r="N202" s="232">
        <f t="shared" si="37"/>
        <v>328</v>
      </c>
    </row>
    <row r="203" spans="1:14" ht="13.5" thickBot="1">
      <c r="A203" s="235" t="s">
        <v>76</v>
      </c>
      <c r="B203" s="236"/>
      <c r="C203" s="236"/>
      <c r="D203" s="236"/>
      <c r="E203" s="236"/>
      <c r="F203" s="236"/>
      <c r="G203" s="237"/>
      <c r="H203" s="236"/>
      <c r="I203" s="236"/>
      <c r="J203" s="236"/>
      <c r="K203" s="236"/>
      <c r="L203" s="236">
        <v>7.5</v>
      </c>
      <c r="M203" s="236"/>
      <c r="N203" s="238">
        <f t="shared" si="37"/>
        <v>7.5</v>
      </c>
    </row>
    <row r="204" spans="1:14" ht="13.5" thickBot="1">
      <c r="A204" s="239" t="s">
        <v>77</v>
      </c>
      <c r="B204" s="240">
        <f t="shared" ref="B204:M204" si="38">SUM(B193+B194+B195-B196-B197-B198-B200-B201-B202-B203)</f>
        <v>1693.75</v>
      </c>
      <c r="C204" s="240">
        <f t="shared" si="38"/>
        <v>1662.5</v>
      </c>
      <c r="D204" s="240">
        <f t="shared" si="38"/>
        <v>1518</v>
      </c>
      <c r="E204" s="240">
        <f t="shared" si="38"/>
        <v>1603</v>
      </c>
      <c r="F204" s="240">
        <f t="shared" si="38"/>
        <v>1671.75</v>
      </c>
      <c r="G204" s="354">
        <f t="shared" si="38"/>
        <v>1660.75</v>
      </c>
      <c r="H204" s="240">
        <f t="shared" si="38"/>
        <v>1400.75</v>
      </c>
      <c r="I204" s="240">
        <f t="shared" si="38"/>
        <v>1387.5</v>
      </c>
      <c r="J204" s="240">
        <f t="shared" si="38"/>
        <v>1645.25</v>
      </c>
      <c r="K204" s="240">
        <f t="shared" si="38"/>
        <v>1777</v>
      </c>
      <c r="L204" s="240">
        <f t="shared" si="38"/>
        <v>1633.5</v>
      </c>
      <c r="M204" s="241">
        <f t="shared" si="38"/>
        <v>1924</v>
      </c>
      <c r="N204" s="242">
        <f t="shared" si="37"/>
        <v>19577.75</v>
      </c>
    </row>
    <row r="205" spans="1:14">
      <c r="A205" s="243"/>
      <c r="B205" s="244"/>
      <c r="C205" s="244"/>
      <c r="D205" s="244"/>
      <c r="E205" s="244"/>
      <c r="F205" s="244"/>
      <c r="G205" s="244"/>
      <c r="H205" s="244"/>
      <c r="I205" s="244"/>
      <c r="J205" s="244"/>
      <c r="K205" s="244"/>
      <c r="L205" s="244"/>
      <c r="M205" s="244"/>
      <c r="N205" s="244"/>
    </row>
    <row r="206" spans="1:14">
      <c r="A206" s="243"/>
      <c r="B206" s="244"/>
      <c r="C206" s="244"/>
      <c r="D206" s="244"/>
      <c r="E206" s="244"/>
      <c r="F206" s="244"/>
      <c r="G206" s="244"/>
      <c r="H206" s="244"/>
      <c r="I206" s="244"/>
      <c r="J206" s="244"/>
      <c r="K206" s="244"/>
      <c r="L206" s="244"/>
      <c r="M206" s="244"/>
      <c r="N206" s="245" t="s">
        <v>78</v>
      </c>
    </row>
    <row r="207" spans="1:14">
      <c r="A207" s="231" t="s">
        <v>79</v>
      </c>
      <c r="B207" s="232">
        <f t="shared" ref="B207:M207" si="39">SUM(B194*100/B204)</f>
        <v>0</v>
      </c>
      <c r="C207" s="232">
        <f t="shared" si="39"/>
        <v>0</v>
      </c>
      <c r="D207" s="232">
        <f t="shared" si="39"/>
        <v>0</v>
      </c>
      <c r="E207" s="232">
        <f t="shared" si="39"/>
        <v>0</v>
      </c>
      <c r="F207" s="232">
        <f t="shared" si="39"/>
        <v>0</v>
      </c>
      <c r="G207" s="232">
        <f t="shared" si="39"/>
        <v>0</v>
      </c>
      <c r="H207" s="232">
        <f t="shared" si="39"/>
        <v>0</v>
      </c>
      <c r="I207" s="232">
        <f t="shared" si="39"/>
        <v>0</v>
      </c>
      <c r="J207" s="232">
        <f t="shared" si="39"/>
        <v>0</v>
      </c>
      <c r="K207" s="232">
        <f t="shared" si="39"/>
        <v>0</v>
      </c>
      <c r="L207" s="232">
        <f t="shared" si="39"/>
        <v>0</v>
      </c>
      <c r="M207" s="232">
        <f t="shared" si="39"/>
        <v>0</v>
      </c>
      <c r="N207" s="246">
        <f>SUM(B207:M207)/12</f>
        <v>0</v>
      </c>
    </row>
    <row r="208" spans="1:14">
      <c r="A208" s="243"/>
      <c r="B208" s="244"/>
      <c r="C208" s="244"/>
      <c r="D208" s="244"/>
      <c r="E208" s="244"/>
      <c r="F208" s="244"/>
      <c r="G208" s="244"/>
      <c r="H208" s="244"/>
      <c r="I208" s="244"/>
      <c r="J208" s="244"/>
      <c r="K208" s="244"/>
      <c r="L208" s="244"/>
      <c r="M208" s="244"/>
      <c r="N208" s="227"/>
    </row>
    <row r="209" spans="1:14">
      <c r="A209" s="231" t="s">
        <v>80</v>
      </c>
      <c r="B209" s="232">
        <f t="shared" ref="B209:M209" si="40">SUM(B198*100/B204)</f>
        <v>4.4723247232472323</v>
      </c>
      <c r="C209" s="232">
        <f t="shared" si="40"/>
        <v>7.022556390977444</v>
      </c>
      <c r="D209" s="232">
        <f t="shared" si="40"/>
        <v>9.6179183135704882</v>
      </c>
      <c r="E209" s="232">
        <f t="shared" si="40"/>
        <v>0</v>
      </c>
      <c r="F209" s="232">
        <f t="shared" si="40"/>
        <v>1.8543442500373859</v>
      </c>
      <c r="G209" s="232">
        <f t="shared" si="40"/>
        <v>6.1116965226554267</v>
      </c>
      <c r="H209" s="232">
        <f t="shared" si="40"/>
        <v>11.029805461359986</v>
      </c>
      <c r="I209" s="232">
        <f t="shared" si="40"/>
        <v>0</v>
      </c>
      <c r="J209" s="232">
        <f t="shared" si="40"/>
        <v>1.3371827989667224</v>
      </c>
      <c r="K209" s="232">
        <f t="shared" si="40"/>
        <v>2.855936972425436</v>
      </c>
      <c r="L209" s="232">
        <f t="shared" si="40"/>
        <v>8.8766452402816043</v>
      </c>
      <c r="M209" s="232">
        <f t="shared" si="40"/>
        <v>0</v>
      </c>
      <c r="N209" s="246">
        <f>SUM(B209:M209)/12</f>
        <v>4.4315342227934771</v>
      </c>
    </row>
    <row r="210" spans="1:14" ht="13.5" thickBot="1">
      <c r="A210" s="247" t="s">
        <v>81</v>
      </c>
      <c r="B210" s="238">
        <f t="shared" ref="B210:M210" si="41">SUM(B199*100/B204)</f>
        <v>1.3874538745387455</v>
      </c>
      <c r="C210" s="238">
        <f t="shared" si="41"/>
        <v>0</v>
      </c>
      <c r="D210" s="238">
        <f t="shared" si="41"/>
        <v>0</v>
      </c>
      <c r="E210" s="238">
        <f t="shared" si="41"/>
        <v>0</v>
      </c>
      <c r="F210" s="238">
        <f t="shared" si="41"/>
        <v>0</v>
      </c>
      <c r="G210" s="238">
        <f t="shared" si="41"/>
        <v>0</v>
      </c>
      <c r="H210" s="238">
        <f t="shared" si="41"/>
        <v>0</v>
      </c>
      <c r="I210" s="238">
        <f t="shared" si="41"/>
        <v>0</v>
      </c>
      <c r="J210" s="238">
        <f t="shared" si="41"/>
        <v>0</v>
      </c>
      <c r="K210" s="238">
        <f t="shared" si="41"/>
        <v>0.3939223410241981</v>
      </c>
      <c r="L210" s="238">
        <f t="shared" si="41"/>
        <v>0.47444138353229265</v>
      </c>
      <c r="M210" s="238">
        <f t="shared" si="41"/>
        <v>0</v>
      </c>
      <c r="N210" s="246">
        <f>SUM(B210:M210)/12</f>
        <v>0.18798479992460301</v>
      </c>
    </row>
    <row r="211" spans="1:14" ht="13.5" thickBot="1">
      <c r="A211" s="249" t="s">
        <v>82</v>
      </c>
      <c r="B211" s="250">
        <f t="shared" ref="B211:M211" si="42">SUM(B209:B209)</f>
        <v>4.4723247232472323</v>
      </c>
      <c r="C211" s="250">
        <f t="shared" si="42"/>
        <v>7.022556390977444</v>
      </c>
      <c r="D211" s="250">
        <f t="shared" si="42"/>
        <v>9.6179183135704882</v>
      </c>
      <c r="E211" s="250">
        <f t="shared" si="42"/>
        <v>0</v>
      </c>
      <c r="F211" s="250">
        <f t="shared" si="42"/>
        <v>1.8543442500373859</v>
      </c>
      <c r="G211" s="250">
        <f t="shared" si="42"/>
        <v>6.1116965226554267</v>
      </c>
      <c r="H211" s="250">
        <f t="shared" si="42"/>
        <v>11.029805461359986</v>
      </c>
      <c r="I211" s="250">
        <f t="shared" si="42"/>
        <v>0</v>
      </c>
      <c r="J211" s="250">
        <f t="shared" si="42"/>
        <v>1.3371827989667224</v>
      </c>
      <c r="K211" s="250">
        <f t="shared" si="42"/>
        <v>2.855936972425436</v>
      </c>
      <c r="L211" s="250">
        <f t="shared" si="42"/>
        <v>8.8766452402816043</v>
      </c>
      <c r="M211" s="250">
        <f t="shared" si="42"/>
        <v>0</v>
      </c>
      <c r="N211" s="251">
        <f>SUM(N209:N210)</f>
        <v>4.6195190227180802</v>
      </c>
    </row>
    <row r="212" spans="1:14">
      <c r="A212" s="243" t="s">
        <v>83</v>
      </c>
      <c r="B212" s="244"/>
      <c r="C212" s="244"/>
      <c r="D212" s="252">
        <f>SUM(B211:D211)/3</f>
        <v>7.0375998092650542</v>
      </c>
      <c r="E212" s="244"/>
      <c r="F212" s="244"/>
      <c r="G212" s="252">
        <f>SUM(E211,F211,G211)/3</f>
        <v>2.6553469242309373</v>
      </c>
      <c r="H212" s="244"/>
      <c r="I212" s="244"/>
      <c r="J212" s="252">
        <f>SUM(H211,I211,J211)/3</f>
        <v>4.1223294201089029</v>
      </c>
      <c r="K212" s="244"/>
      <c r="L212" s="244"/>
      <c r="M212" s="252">
        <f>SUM(K211,L211,M211)/3</f>
        <v>3.9108607375690134</v>
      </c>
      <c r="N212" s="253">
        <f>SUM(D212:M212)/4</f>
        <v>4.4315342227934771</v>
      </c>
    </row>
    <row r="213" spans="1:14">
      <c r="A213" s="243" t="s">
        <v>84</v>
      </c>
      <c r="B213" s="244"/>
      <c r="C213" s="244"/>
      <c r="D213" s="254"/>
      <c r="E213" s="244"/>
      <c r="F213" s="244"/>
      <c r="G213" s="254"/>
      <c r="H213" s="244"/>
      <c r="I213" s="244"/>
      <c r="J213" s="254"/>
      <c r="K213" s="244"/>
      <c r="L213" s="244"/>
      <c r="M213" s="254"/>
      <c r="N213" s="246">
        <f>SUM(D213:G213,J213,M213)/4</f>
        <v>0</v>
      </c>
    </row>
    <row r="214" spans="1:14">
      <c r="A214" s="243"/>
      <c r="B214" s="244"/>
      <c r="C214" s="244"/>
      <c r="D214" s="244"/>
      <c r="E214" s="244"/>
      <c r="F214" s="244"/>
      <c r="G214" s="244"/>
      <c r="H214" s="244"/>
      <c r="I214" s="244"/>
      <c r="J214" s="244"/>
      <c r="K214" s="244"/>
      <c r="L214" s="244"/>
      <c r="M214" s="244"/>
      <c r="N214" s="244"/>
    </row>
    <row r="215" spans="1:14">
      <c r="A215" s="231" t="s">
        <v>85</v>
      </c>
      <c r="B215" s="232">
        <f t="shared" ref="B215:M215" si="43">B202*100/B204</f>
        <v>0</v>
      </c>
      <c r="C215" s="232">
        <f t="shared" si="43"/>
        <v>0</v>
      </c>
      <c r="D215" s="232">
        <f t="shared" si="43"/>
        <v>7.3122529644268779</v>
      </c>
      <c r="E215" s="232">
        <f t="shared" si="43"/>
        <v>0</v>
      </c>
      <c r="F215" s="232">
        <f t="shared" si="43"/>
        <v>8.150142066696576</v>
      </c>
      <c r="G215" s="232">
        <f t="shared" si="43"/>
        <v>0</v>
      </c>
      <c r="H215" s="232">
        <f t="shared" si="43"/>
        <v>0</v>
      </c>
      <c r="I215" s="232">
        <f t="shared" si="43"/>
        <v>0</v>
      </c>
      <c r="J215" s="232">
        <f t="shared" si="43"/>
        <v>1.2764017626500532</v>
      </c>
      <c r="K215" s="232">
        <f t="shared" si="43"/>
        <v>0.3939223410241981</v>
      </c>
      <c r="L215" s="232">
        <f t="shared" si="43"/>
        <v>3.229262320171411</v>
      </c>
      <c r="M215" s="232">
        <f t="shared" si="43"/>
        <v>0</v>
      </c>
      <c r="N215" s="246">
        <f>SUM(B215:M215)/12</f>
        <v>1.6968317879140928</v>
      </c>
    </row>
    <row r="216" spans="1:14">
      <c r="A216" s="231" t="s">
        <v>86</v>
      </c>
      <c r="B216" s="232">
        <f t="shared" ref="B216:M216" si="44">B200*100/B204</f>
        <v>0</v>
      </c>
      <c r="C216" s="232">
        <f t="shared" si="44"/>
        <v>1.112781954887218</v>
      </c>
      <c r="D216" s="232">
        <f t="shared" si="44"/>
        <v>1.0210803689064558</v>
      </c>
      <c r="E216" s="232">
        <f t="shared" si="44"/>
        <v>1.4504054897067997</v>
      </c>
      <c r="F216" s="232">
        <f t="shared" si="44"/>
        <v>2.0936144758486614</v>
      </c>
      <c r="G216" s="232">
        <f t="shared" si="44"/>
        <v>0.36128255306337498</v>
      </c>
      <c r="H216" s="232">
        <f t="shared" si="44"/>
        <v>1.1065500624665359</v>
      </c>
      <c r="I216" s="232">
        <f t="shared" si="44"/>
        <v>3.9099099099099099</v>
      </c>
      <c r="J216" s="232">
        <f t="shared" si="44"/>
        <v>0.36468621790001521</v>
      </c>
      <c r="K216" s="232">
        <f t="shared" si="44"/>
        <v>0.77377602701181769</v>
      </c>
      <c r="L216" s="232">
        <f t="shared" si="44"/>
        <v>0.85705540250994794</v>
      </c>
      <c r="M216" s="232">
        <f t="shared" si="44"/>
        <v>0</v>
      </c>
      <c r="N216" s="246">
        <f>SUM(B216:M216)/12</f>
        <v>1.0875952051842281</v>
      </c>
    </row>
    <row r="217" spans="1:14" ht="13.5" thickBot="1">
      <c r="A217" s="231" t="s">
        <v>87</v>
      </c>
      <c r="B217" s="232">
        <f t="shared" ref="B217:M217" si="45">B196*100/B204</f>
        <v>9.1217712177121779</v>
      </c>
      <c r="C217" s="232">
        <f t="shared" si="45"/>
        <v>7.5939849624060152</v>
      </c>
      <c r="D217" s="232">
        <f t="shared" si="45"/>
        <v>6.3570487483530957</v>
      </c>
      <c r="E217" s="232">
        <f t="shared" si="45"/>
        <v>11.104179663131628</v>
      </c>
      <c r="F217" s="232">
        <f t="shared" si="45"/>
        <v>2.9908778226409449</v>
      </c>
      <c r="G217" s="232">
        <f t="shared" si="45"/>
        <v>9.3782929399367756</v>
      </c>
      <c r="H217" s="232">
        <f t="shared" si="45"/>
        <v>25.218632875245405</v>
      </c>
      <c r="I217" s="232">
        <f t="shared" si="45"/>
        <v>34.756756756756758</v>
      </c>
      <c r="J217" s="232">
        <f t="shared" si="45"/>
        <v>13.964443093754749</v>
      </c>
      <c r="K217" s="232">
        <f t="shared" si="45"/>
        <v>4.2487338210467076</v>
      </c>
      <c r="L217" s="232">
        <f t="shared" si="45"/>
        <v>3.4741352923171105</v>
      </c>
      <c r="M217" s="232">
        <f t="shared" si="45"/>
        <v>0</v>
      </c>
      <c r="N217" s="248">
        <f>SUM(B217:M217)/12</f>
        <v>10.684071432775115</v>
      </c>
    </row>
    <row r="218" spans="1:14" ht="13.5" thickBot="1">
      <c r="A218" s="255" t="s">
        <v>88</v>
      </c>
      <c r="B218" s="256">
        <f t="shared" ref="B218:M218" si="46">SUM(B193-B204)*100/B204</f>
        <v>13.594095940959409</v>
      </c>
      <c r="C218" s="256">
        <f t="shared" si="46"/>
        <v>15.729323308270677</v>
      </c>
      <c r="D218" s="256">
        <f t="shared" si="46"/>
        <v>26.745718050065875</v>
      </c>
      <c r="E218" s="256">
        <f t="shared" si="46"/>
        <v>20.024953212726139</v>
      </c>
      <c r="F218" s="256">
        <f t="shared" si="46"/>
        <v>15.088978615223569</v>
      </c>
      <c r="G218" s="256">
        <f t="shared" si="46"/>
        <v>15.851272015655578</v>
      </c>
      <c r="H218" s="256">
        <f t="shared" si="46"/>
        <v>37.354988399071928</v>
      </c>
      <c r="I218" s="256">
        <f t="shared" si="46"/>
        <v>38.666666666666664</v>
      </c>
      <c r="J218" s="256">
        <f t="shared" si="46"/>
        <v>16.94271387327154</v>
      </c>
      <c r="K218" s="256">
        <f t="shared" si="46"/>
        <v>8.2723691615081592</v>
      </c>
      <c r="L218" s="256">
        <f t="shared" si="46"/>
        <v>17.783899602081419</v>
      </c>
      <c r="M218" s="370">
        <f t="shared" si="46"/>
        <v>0</v>
      </c>
      <c r="N218" s="371">
        <f>SUM(B218:M218)/12</f>
        <v>18.837914903791745</v>
      </c>
    </row>
    <row r="219" spans="1:14">
      <c r="A219" s="243"/>
      <c r="B219" s="244"/>
      <c r="C219" s="244"/>
      <c r="D219" s="244"/>
      <c r="E219" s="244"/>
      <c r="F219" s="244"/>
      <c r="G219" s="244"/>
      <c r="H219" s="244"/>
      <c r="I219" s="244"/>
      <c r="J219" s="244"/>
      <c r="K219" s="244"/>
      <c r="L219" s="244"/>
      <c r="M219" s="244"/>
      <c r="N219" s="227"/>
    </row>
    <row r="220" spans="1:14">
      <c r="A220" s="258" t="s">
        <v>89</v>
      </c>
      <c r="B220" s="244"/>
      <c r="C220" s="244"/>
      <c r="D220" s="244"/>
      <c r="E220" s="244"/>
      <c r="F220" s="244"/>
      <c r="G220" s="244"/>
      <c r="H220" s="244"/>
      <c r="I220" s="244"/>
      <c r="J220" s="244"/>
      <c r="K220" s="244"/>
      <c r="L220" s="244"/>
      <c r="M220" s="244"/>
      <c r="N220" s="227"/>
    </row>
    <row r="221" spans="1:14">
      <c r="A221" s="231" t="s">
        <v>90</v>
      </c>
      <c r="B221" s="259">
        <v>12</v>
      </c>
      <c r="C221" s="259">
        <v>12</v>
      </c>
      <c r="D221" s="259">
        <v>12</v>
      </c>
      <c r="E221" s="259">
        <v>12</v>
      </c>
      <c r="F221" s="259">
        <f t="shared" ref="F221:N221" si="47">E224</f>
        <v>12</v>
      </c>
      <c r="G221" s="259">
        <f t="shared" si="47"/>
        <v>12</v>
      </c>
      <c r="H221" s="259">
        <f t="shared" si="47"/>
        <v>12</v>
      </c>
      <c r="I221" s="259">
        <f t="shared" si="47"/>
        <v>12</v>
      </c>
      <c r="J221" s="259">
        <f t="shared" si="47"/>
        <v>12</v>
      </c>
      <c r="K221" s="259">
        <f t="shared" si="47"/>
        <v>12</v>
      </c>
      <c r="L221" s="259">
        <f t="shared" si="47"/>
        <v>12</v>
      </c>
      <c r="M221" s="259">
        <f t="shared" si="47"/>
        <v>12</v>
      </c>
      <c r="N221" s="259">
        <f t="shared" si="47"/>
        <v>12</v>
      </c>
    </row>
    <row r="222" spans="1:14">
      <c r="A222" s="231" t="s">
        <v>91</v>
      </c>
      <c r="B222" s="259"/>
      <c r="C222" s="259"/>
      <c r="D222" s="259"/>
      <c r="E222" s="259"/>
      <c r="F222" s="259"/>
      <c r="G222" s="259"/>
      <c r="H222" s="259"/>
      <c r="I222" s="259"/>
      <c r="J222" s="259"/>
      <c r="K222" s="259"/>
      <c r="L222" s="259"/>
      <c r="M222" s="259"/>
      <c r="N222" s="259">
        <f>SUM(B222:M222)/12</f>
        <v>0</v>
      </c>
    </row>
    <row r="223" spans="1:14">
      <c r="A223" s="231" t="s">
        <v>92</v>
      </c>
      <c r="B223" s="259"/>
      <c r="C223" s="259"/>
      <c r="D223" s="259"/>
      <c r="E223" s="259"/>
      <c r="F223" s="259"/>
      <c r="G223" s="259"/>
      <c r="H223" s="259"/>
      <c r="I223" s="259"/>
      <c r="J223" s="259"/>
      <c r="K223" s="259"/>
      <c r="L223" s="259"/>
      <c r="M223" s="259"/>
      <c r="N223" s="259">
        <f>SUM(B222:M222)/12</f>
        <v>0</v>
      </c>
    </row>
    <row r="224" spans="1:14">
      <c r="A224" s="231" t="s">
        <v>89</v>
      </c>
      <c r="B224" s="259">
        <f t="shared" ref="B224:M224" si="48">SUM(B221+B222-B223)</f>
        <v>12</v>
      </c>
      <c r="C224" s="259">
        <f t="shared" si="48"/>
        <v>12</v>
      </c>
      <c r="D224" s="259">
        <f t="shared" si="48"/>
        <v>12</v>
      </c>
      <c r="E224" s="259">
        <f t="shared" si="48"/>
        <v>12</v>
      </c>
      <c r="F224" s="259">
        <f t="shared" si="48"/>
        <v>12</v>
      </c>
      <c r="G224" s="259">
        <f t="shared" si="48"/>
        <v>12</v>
      </c>
      <c r="H224" s="259">
        <f t="shared" si="48"/>
        <v>12</v>
      </c>
      <c r="I224" s="259">
        <f t="shared" si="48"/>
        <v>12</v>
      </c>
      <c r="J224" s="259">
        <f t="shared" si="48"/>
        <v>12</v>
      </c>
      <c r="K224" s="259">
        <f t="shared" si="48"/>
        <v>12</v>
      </c>
      <c r="L224" s="259">
        <f t="shared" si="48"/>
        <v>12</v>
      </c>
      <c r="M224" s="259">
        <f t="shared" si="48"/>
        <v>12</v>
      </c>
      <c r="N224" s="259">
        <f>SUM(B223:M223)/12</f>
        <v>0</v>
      </c>
    </row>
    <row r="225" spans="1:14">
      <c r="A225" s="231" t="s">
        <v>93</v>
      </c>
      <c r="B225" s="260">
        <f t="shared" ref="B225:M225" si="49">SUM(B224*100)/B221-100</f>
        <v>0</v>
      </c>
      <c r="C225" s="260">
        <f t="shared" si="49"/>
        <v>0</v>
      </c>
      <c r="D225" s="260">
        <f t="shared" si="49"/>
        <v>0</v>
      </c>
      <c r="E225" s="260">
        <f t="shared" si="49"/>
        <v>0</v>
      </c>
      <c r="F225" s="260">
        <f t="shared" si="49"/>
        <v>0</v>
      </c>
      <c r="G225" s="260">
        <f t="shared" si="49"/>
        <v>0</v>
      </c>
      <c r="H225" s="260">
        <f t="shared" si="49"/>
        <v>0</v>
      </c>
      <c r="I225" s="260">
        <f t="shared" si="49"/>
        <v>0</v>
      </c>
      <c r="J225" s="260">
        <f t="shared" si="49"/>
        <v>0</v>
      </c>
      <c r="K225" s="260">
        <f t="shared" si="49"/>
        <v>0</v>
      </c>
      <c r="L225" s="260">
        <f t="shared" si="49"/>
        <v>0</v>
      </c>
      <c r="M225" s="260">
        <f t="shared" si="49"/>
        <v>0</v>
      </c>
      <c r="N225" s="259"/>
    </row>
    <row r="226" spans="1:14">
      <c r="A226" s="243" t="s">
        <v>94</v>
      </c>
      <c r="B226" s="261"/>
      <c r="C226" s="261"/>
      <c r="D226" s="262">
        <f>SUM(B225:D225/3)</f>
        <v>0</v>
      </c>
      <c r="E226" s="261"/>
      <c r="F226" s="261"/>
      <c r="G226" s="262">
        <f>SUM(E225:G225)/3</f>
        <v>0</v>
      </c>
      <c r="H226" s="261"/>
      <c r="I226" s="261"/>
      <c r="J226" s="262">
        <f>SUM(H225:J225)/3</f>
        <v>0</v>
      </c>
      <c r="K226" s="261"/>
      <c r="L226" s="261"/>
      <c r="M226" s="262">
        <f>SUM(K225:M225)/3</f>
        <v>0</v>
      </c>
      <c r="N226" s="261"/>
    </row>
    <row r="227" spans="1:14" ht="13.5" thickBot="1">
      <c r="A227" s="372"/>
      <c r="B227" s="373"/>
      <c r="C227" s="373"/>
      <c r="D227" s="373"/>
      <c r="E227" s="373"/>
      <c r="F227" s="373"/>
      <c r="G227" s="373"/>
      <c r="H227" s="373"/>
      <c r="I227" s="373"/>
      <c r="J227" s="373"/>
      <c r="K227" s="373"/>
      <c r="L227" s="373"/>
      <c r="M227" s="373"/>
      <c r="N227" s="374"/>
    </row>
    <row r="228" spans="1:14" ht="15.75">
      <c r="A228" s="375" t="s">
        <v>267</v>
      </c>
      <c r="B228" s="375"/>
      <c r="C228" s="375"/>
      <c r="D228" s="375"/>
      <c r="E228" s="375"/>
      <c r="F228" s="375"/>
      <c r="G228" s="375"/>
      <c r="H228" s="375"/>
      <c r="I228" s="375"/>
      <c r="J228" s="375"/>
      <c r="K228" s="375"/>
      <c r="L228" s="375"/>
      <c r="M228" s="375"/>
      <c r="N228" s="375"/>
    </row>
    <row r="229" spans="1:14" ht="15.75">
      <c r="E229" s="282"/>
      <c r="M229" s="244"/>
      <c r="N229" s="227"/>
    </row>
    <row r="230" spans="1:14">
      <c r="A230" s="376" t="s">
        <v>185</v>
      </c>
      <c r="B230" s="377"/>
      <c r="C230" s="378"/>
      <c r="D230" s="292" t="s">
        <v>186</v>
      </c>
      <c r="I230" s="283" t="s">
        <v>160</v>
      </c>
      <c r="J230" s="377"/>
      <c r="K230" s="377"/>
      <c r="L230" s="377"/>
      <c r="M230" s="287"/>
      <c r="N230" s="509"/>
    </row>
    <row r="231" spans="1:14">
      <c r="A231" s="379" t="s">
        <v>268</v>
      </c>
      <c r="B231" s="380"/>
      <c r="C231" s="381"/>
      <c r="D231" s="290">
        <v>281198</v>
      </c>
      <c r="E231" s="291"/>
      <c r="I231" s="455"/>
      <c r="J231" s="455" t="s">
        <v>161</v>
      </c>
      <c r="K231" s="510"/>
      <c r="L231" s="270" t="s">
        <v>162</v>
      </c>
      <c r="M231" s="510" t="s">
        <v>163</v>
      </c>
      <c r="N231" s="387"/>
    </row>
    <row r="232" spans="1:14">
      <c r="A232" s="379" t="s">
        <v>292</v>
      </c>
      <c r="B232" s="380"/>
      <c r="C232" s="289"/>
      <c r="D232" s="290">
        <v>384908</v>
      </c>
      <c r="E232" s="291"/>
      <c r="I232" s="286" t="s">
        <v>270</v>
      </c>
      <c r="J232" s="303"/>
      <c r="K232" s="289"/>
      <c r="L232" s="292"/>
      <c r="M232" s="511">
        <v>424920</v>
      </c>
      <c r="N232" s="509"/>
    </row>
    <row r="233" spans="1:14">
      <c r="A233" s="379" t="s">
        <v>189</v>
      </c>
      <c r="B233" s="380"/>
      <c r="C233" s="289"/>
      <c r="D233" s="290">
        <v>336949</v>
      </c>
      <c r="E233" s="291"/>
      <c r="I233" s="286"/>
      <c r="J233" s="303"/>
      <c r="K233" s="289"/>
      <c r="L233" s="292"/>
      <c r="M233" s="512"/>
      <c r="N233" s="509"/>
    </row>
    <row r="234" spans="1:14" ht="13.5" thickBot="1">
      <c r="A234" s="379" t="s">
        <v>191</v>
      </c>
      <c r="B234" s="284"/>
      <c r="C234" s="289" t="s">
        <v>271</v>
      </c>
      <c r="D234" s="290">
        <v>0</v>
      </c>
      <c r="E234" s="291"/>
      <c r="I234" s="309" t="s">
        <v>165</v>
      </c>
      <c r="J234" s="528" t="s">
        <v>293</v>
      </c>
      <c r="K234" s="314"/>
      <c r="L234" s="312"/>
      <c r="M234" s="513">
        <f>'[14]Øvrige Kontrakter 2013'!$K$44</f>
        <v>2986291</v>
      </c>
      <c r="N234" s="514"/>
    </row>
    <row r="235" spans="1:14" ht="13.5" thickBot="1">
      <c r="A235" s="379"/>
      <c r="B235" s="284"/>
      <c r="C235" s="289"/>
      <c r="D235" s="290"/>
      <c r="E235" s="291"/>
      <c r="I235" s="382" t="s">
        <v>167</v>
      </c>
      <c r="J235" s="383"/>
      <c r="K235" s="384"/>
      <c r="L235" s="385"/>
      <c r="M235" s="515">
        <f>SUM(M232:M234)</f>
        <v>3411211</v>
      </c>
      <c r="N235" s="509"/>
    </row>
    <row r="236" spans="1:14">
      <c r="A236" s="379" t="s">
        <v>193</v>
      </c>
      <c r="B236" s="284"/>
      <c r="C236" s="289"/>
      <c r="D236" s="290">
        <v>379751</v>
      </c>
      <c r="E236" s="291"/>
      <c r="I236" s="286" t="s">
        <v>168</v>
      </c>
      <c r="J236" s="284"/>
      <c r="K236" s="284"/>
      <c r="L236" s="386"/>
      <c r="M236" s="516">
        <f>M235/12</f>
        <v>284267.58333333331</v>
      </c>
      <c r="N236" s="509"/>
    </row>
    <row r="237" spans="1:14">
      <c r="A237" s="283" t="s">
        <v>294</v>
      </c>
      <c r="B237" s="284"/>
      <c r="C237" s="289"/>
      <c r="D237" s="290">
        <v>260400</v>
      </c>
      <c r="E237" s="291"/>
      <c r="G237" s="244"/>
      <c r="H237" s="244"/>
      <c r="I237" s="244"/>
      <c r="J237" s="244"/>
      <c r="K237" s="244"/>
      <c r="L237" s="320"/>
      <c r="M237" s="244"/>
      <c r="N237" s="227"/>
    </row>
    <row r="238" spans="1:14">
      <c r="A238" s="527" t="s">
        <v>195</v>
      </c>
      <c r="B238" s="286"/>
      <c r="C238" s="289"/>
      <c r="D238" s="290">
        <v>54560</v>
      </c>
      <c r="E238" s="291"/>
      <c r="G238" s="244"/>
      <c r="H238" s="244"/>
      <c r="I238" s="244"/>
      <c r="J238" s="244"/>
      <c r="K238" s="244"/>
      <c r="L238" s="320"/>
      <c r="M238" s="244"/>
      <c r="N238" s="227"/>
    </row>
    <row r="239" spans="1:14" ht="13.5" thickBot="1">
      <c r="A239" s="526" t="s">
        <v>196</v>
      </c>
      <c r="C239" s="388"/>
      <c r="D239" s="290">
        <v>26500</v>
      </c>
      <c r="E239" s="291"/>
      <c r="G239" s="244"/>
      <c r="H239" s="244"/>
      <c r="I239" s="244"/>
      <c r="J239" s="244"/>
      <c r="K239" s="244"/>
      <c r="L239" s="320"/>
      <c r="M239" s="244"/>
      <c r="N239" s="227"/>
    </row>
    <row r="240" spans="1:14" ht="13.5" thickBot="1">
      <c r="A240" s="294" t="s">
        <v>167</v>
      </c>
      <c r="B240" s="296"/>
      <c r="C240" s="389"/>
      <c r="D240" s="488">
        <f>SUM(D231:D239)</f>
        <v>1724266</v>
      </c>
      <c r="E240" s="291"/>
      <c r="G240" s="244"/>
      <c r="H240" s="244"/>
      <c r="I240" s="244"/>
      <c r="J240" s="244"/>
      <c r="K240" s="244"/>
      <c r="L240" s="517"/>
      <c r="M240" s="244"/>
      <c r="N240" s="227"/>
    </row>
    <row r="241" spans="1:14">
      <c r="A241" s="390" t="s">
        <v>168</v>
      </c>
      <c r="B241" s="391"/>
      <c r="C241" s="392"/>
      <c r="D241" s="393">
        <f>D240/12</f>
        <v>143688.83333333334</v>
      </c>
      <c r="E241" s="291"/>
      <c r="G241" s="244"/>
      <c r="H241" s="244"/>
      <c r="I241" s="244"/>
      <c r="J241" s="244"/>
      <c r="K241" s="244"/>
      <c r="L241" s="517"/>
      <c r="M241" s="244"/>
      <c r="N241" s="227"/>
    </row>
    <row r="242" spans="1:14">
      <c r="C242" s="394"/>
      <c r="E242" s="291"/>
      <c r="G242" s="244"/>
      <c r="H242" s="244"/>
      <c r="I242" s="244"/>
      <c r="J242" s="244"/>
      <c r="K242" s="244"/>
      <c r="L242" s="517"/>
      <c r="M242" s="244"/>
      <c r="N242" s="227"/>
    </row>
    <row r="243" spans="1:14">
      <c r="C243" s="394"/>
      <c r="E243" s="291"/>
      <c r="G243" s="244"/>
      <c r="H243" s="244"/>
      <c r="I243" s="244"/>
      <c r="J243" s="244"/>
      <c r="K243" s="244"/>
      <c r="L243" s="517"/>
      <c r="M243" s="244"/>
      <c r="N243" s="227"/>
    </row>
    <row r="244" spans="1:14">
      <c r="C244" s="394"/>
      <c r="E244" s="291"/>
      <c r="G244" s="244"/>
      <c r="H244" s="244"/>
      <c r="I244" s="244"/>
      <c r="J244" s="244"/>
      <c r="K244" s="244"/>
      <c r="L244" s="517"/>
      <c r="M244" s="244"/>
      <c r="N244" s="227"/>
    </row>
    <row r="245" spans="1:14">
      <c r="C245" s="394"/>
      <c r="E245" s="291"/>
      <c r="G245" s="244"/>
      <c r="H245" s="244"/>
      <c r="I245" s="244"/>
      <c r="J245" s="244"/>
      <c r="K245" s="244"/>
      <c r="L245" s="517"/>
      <c r="M245" s="244"/>
      <c r="N245" s="227"/>
    </row>
    <row r="246" spans="1:14">
      <c r="A246" s="258" t="s">
        <v>113</v>
      </c>
      <c r="B246" s="244"/>
      <c r="C246" s="244"/>
      <c r="D246" s="244"/>
      <c r="E246" s="244"/>
      <c r="F246" s="244"/>
      <c r="G246" s="244"/>
      <c r="H246" s="244"/>
      <c r="I246" s="244"/>
      <c r="J246" s="244"/>
      <c r="K246" s="244"/>
      <c r="L246" s="244"/>
      <c r="M246" s="244"/>
      <c r="N246" s="227"/>
    </row>
    <row r="247" spans="1:14">
      <c r="A247" s="328"/>
      <c r="B247" s="232" t="s">
        <v>44</v>
      </c>
      <c r="C247" s="232" t="s">
        <v>45</v>
      </c>
      <c r="D247" s="232" t="s">
        <v>46</v>
      </c>
      <c r="E247" s="232" t="s">
        <v>47</v>
      </c>
      <c r="F247" s="232" t="s">
        <v>48</v>
      </c>
      <c r="G247" s="232" t="s">
        <v>49</v>
      </c>
      <c r="H247" s="232" t="s">
        <v>38</v>
      </c>
      <c r="I247" s="232" t="s">
        <v>39</v>
      </c>
      <c r="J247" s="232" t="s">
        <v>40</v>
      </c>
      <c r="K247" s="232" t="s">
        <v>41</v>
      </c>
      <c r="L247" s="232" t="s">
        <v>42</v>
      </c>
      <c r="M247" s="232" t="s">
        <v>43</v>
      </c>
      <c r="N247" s="228"/>
    </row>
    <row r="248" spans="1:14">
      <c r="A248" s="231" t="s">
        <v>115</v>
      </c>
      <c r="B248" s="329">
        <f t="shared" ref="B248:M248" si="50">$D$241</f>
        <v>143688.83333333334</v>
      </c>
      <c r="C248" s="329">
        <f t="shared" si="50"/>
        <v>143688.83333333334</v>
      </c>
      <c r="D248" s="329">
        <f t="shared" si="50"/>
        <v>143688.83333333334</v>
      </c>
      <c r="E248" s="329">
        <f t="shared" si="50"/>
        <v>143688.83333333334</v>
      </c>
      <c r="F248" s="329">
        <f t="shared" si="50"/>
        <v>143688.83333333334</v>
      </c>
      <c r="G248" s="329">
        <f t="shared" si="50"/>
        <v>143688.83333333334</v>
      </c>
      <c r="H248" s="329">
        <f t="shared" si="50"/>
        <v>143688.83333333334</v>
      </c>
      <c r="I248" s="329">
        <f t="shared" si="50"/>
        <v>143688.83333333334</v>
      </c>
      <c r="J248" s="329">
        <f t="shared" si="50"/>
        <v>143688.83333333334</v>
      </c>
      <c r="K248" s="329">
        <f t="shared" si="50"/>
        <v>143688.83333333334</v>
      </c>
      <c r="L248" s="329">
        <f t="shared" si="50"/>
        <v>143688.83333333334</v>
      </c>
      <c r="M248" s="329">
        <f t="shared" si="50"/>
        <v>143688.83333333334</v>
      </c>
      <c r="N248" s="332">
        <f t="shared" ref="N248:N269" si="51">SUM(B248:M248)</f>
        <v>1724265.9999999998</v>
      </c>
    </row>
    <row r="249" spans="1:14" ht="13.5" thickBot="1">
      <c r="A249" s="247" t="s">
        <v>116</v>
      </c>
      <c r="B249" s="331">
        <f t="shared" ref="B249:M249" si="52">$M$236</f>
        <v>284267.58333333331</v>
      </c>
      <c r="C249" s="331">
        <f t="shared" si="52"/>
        <v>284267.58333333331</v>
      </c>
      <c r="D249" s="331">
        <f t="shared" si="52"/>
        <v>284267.58333333331</v>
      </c>
      <c r="E249" s="331">
        <f t="shared" si="52"/>
        <v>284267.58333333331</v>
      </c>
      <c r="F249" s="331">
        <f t="shared" si="52"/>
        <v>284267.58333333331</v>
      </c>
      <c r="G249" s="331">
        <f t="shared" si="52"/>
        <v>284267.58333333331</v>
      </c>
      <c r="H249" s="331">
        <f t="shared" si="52"/>
        <v>284267.58333333331</v>
      </c>
      <c r="I249" s="331">
        <f t="shared" si="52"/>
        <v>284267.58333333331</v>
      </c>
      <c r="J249" s="331">
        <f t="shared" si="52"/>
        <v>284267.58333333331</v>
      </c>
      <c r="K249" s="331">
        <f t="shared" si="52"/>
        <v>284267.58333333331</v>
      </c>
      <c r="L249" s="331">
        <f t="shared" si="52"/>
        <v>284267.58333333331</v>
      </c>
      <c r="M249" s="331">
        <f t="shared" si="52"/>
        <v>284267.58333333331</v>
      </c>
      <c r="N249" s="332">
        <f t="shared" si="51"/>
        <v>3411211.0000000005</v>
      </c>
    </row>
    <row r="250" spans="1:14" ht="13.5" thickBot="1">
      <c r="A250" s="333" t="s">
        <v>169</v>
      </c>
      <c r="B250" s="395">
        <f t="shared" ref="B250:M250" si="53">SUM(B248,B249)</f>
        <v>427956.41666666663</v>
      </c>
      <c r="C250" s="395">
        <f t="shared" si="53"/>
        <v>427956.41666666663</v>
      </c>
      <c r="D250" s="395">
        <f t="shared" si="53"/>
        <v>427956.41666666663</v>
      </c>
      <c r="E250" s="395">
        <f t="shared" si="53"/>
        <v>427956.41666666663</v>
      </c>
      <c r="F250" s="395">
        <f t="shared" si="53"/>
        <v>427956.41666666663</v>
      </c>
      <c r="G250" s="395">
        <f t="shared" si="53"/>
        <v>427956.41666666663</v>
      </c>
      <c r="H250" s="395">
        <f t="shared" si="53"/>
        <v>427956.41666666663</v>
      </c>
      <c r="I250" s="395">
        <f t="shared" si="53"/>
        <v>427956.41666666663</v>
      </c>
      <c r="J250" s="395">
        <f t="shared" si="53"/>
        <v>427956.41666666663</v>
      </c>
      <c r="K250" s="395">
        <f t="shared" si="53"/>
        <v>427956.41666666663</v>
      </c>
      <c r="L250" s="395">
        <f t="shared" si="53"/>
        <v>427956.41666666663</v>
      </c>
      <c r="M250" s="395">
        <f t="shared" si="53"/>
        <v>427956.41666666663</v>
      </c>
      <c r="N250" s="395">
        <f t="shared" si="51"/>
        <v>5135477</v>
      </c>
    </row>
    <row r="251" spans="1:14">
      <c r="A251" s="336" t="s">
        <v>170</v>
      </c>
      <c r="B251" s="337">
        <v>193437</v>
      </c>
      <c r="C251" s="337">
        <v>190221</v>
      </c>
      <c r="D251" s="337">
        <v>160676</v>
      </c>
      <c r="E251" s="337">
        <v>166261</v>
      </c>
      <c r="F251" s="337">
        <v>172314</v>
      </c>
      <c r="G251" s="338">
        <v>270305</v>
      </c>
      <c r="H251" s="337">
        <v>191396</v>
      </c>
      <c r="I251" s="337">
        <v>182880</v>
      </c>
      <c r="J251" s="337">
        <v>209641</v>
      </c>
      <c r="K251" s="337">
        <v>267496</v>
      </c>
      <c r="L251" s="337"/>
      <c r="M251" s="337">
        <v>216142</v>
      </c>
      <c r="N251" s="337">
        <f t="shared" si="51"/>
        <v>2220769</v>
      </c>
    </row>
    <row r="252" spans="1:14">
      <c r="A252" s="336" t="s">
        <v>274</v>
      </c>
      <c r="B252" s="337">
        <v>5833</v>
      </c>
      <c r="C252" s="337">
        <v>3199</v>
      </c>
      <c r="D252" s="337">
        <v>3263</v>
      </c>
      <c r="E252" s="337">
        <v>4678</v>
      </c>
      <c r="F252" s="337">
        <v>2503</v>
      </c>
      <c r="G252" s="338">
        <v>4064</v>
      </c>
      <c r="H252" s="337"/>
      <c r="I252" s="337"/>
      <c r="J252" s="337"/>
      <c r="K252" s="337"/>
      <c r="L252" s="337"/>
      <c r="M252" s="337"/>
      <c r="N252" s="337">
        <f t="shared" si="51"/>
        <v>23540</v>
      </c>
    </row>
    <row r="253" spans="1:14">
      <c r="A253" s="228" t="s">
        <v>275</v>
      </c>
      <c r="B253" s="330">
        <v>77375</v>
      </c>
      <c r="C253" s="330">
        <v>375</v>
      </c>
      <c r="D253" s="330">
        <v>250</v>
      </c>
      <c r="E253" s="330">
        <v>3250</v>
      </c>
      <c r="F253" s="330">
        <v>1150</v>
      </c>
      <c r="G253" s="339">
        <v>4250</v>
      </c>
      <c r="H253" s="330">
        <v>1175</v>
      </c>
      <c r="I253" s="330">
        <v>1075</v>
      </c>
      <c r="J253" s="330"/>
      <c r="K253" s="330">
        <v>10625</v>
      </c>
      <c r="L253" s="330">
        <v>8350</v>
      </c>
      <c r="M253" s="330">
        <v>1125</v>
      </c>
      <c r="N253" s="337">
        <f t="shared" si="51"/>
        <v>109000</v>
      </c>
    </row>
    <row r="254" spans="1:14">
      <c r="A254" s="349" t="s">
        <v>211</v>
      </c>
      <c r="B254" s="330">
        <v>18750</v>
      </c>
      <c r="C254" s="330">
        <v>11550</v>
      </c>
      <c r="D254" s="330">
        <v>2100</v>
      </c>
      <c r="E254" s="330">
        <v>9450</v>
      </c>
      <c r="F254" s="330">
        <v>7050</v>
      </c>
      <c r="G254" s="339">
        <v>22450</v>
      </c>
      <c r="H254" s="330">
        <v>0</v>
      </c>
      <c r="I254" s="330"/>
      <c r="J254" s="330">
        <v>5425</v>
      </c>
      <c r="K254" s="330">
        <v>46975</v>
      </c>
      <c r="L254" s="330"/>
      <c r="M254" s="330">
        <v>4987.5</v>
      </c>
      <c r="N254" s="337">
        <f t="shared" si="51"/>
        <v>128737.5</v>
      </c>
    </row>
    <row r="255" spans="1:14" ht="13.5" thickBot="1">
      <c r="A255" s="228" t="s">
        <v>276</v>
      </c>
      <c r="B255" s="344"/>
      <c r="C255" s="344"/>
      <c r="D255" s="344"/>
      <c r="E255" s="344"/>
      <c r="F255" s="344"/>
      <c r="G255" s="518"/>
      <c r="H255" s="344"/>
      <c r="I255" s="344"/>
      <c r="J255" s="330">
        <v>518250</v>
      </c>
      <c r="K255" s="344"/>
      <c r="L255" s="344">
        <v>70000</v>
      </c>
      <c r="M255" s="344"/>
      <c r="N255" s="337">
        <f t="shared" si="51"/>
        <v>588250</v>
      </c>
    </row>
    <row r="256" spans="1:14" ht="13.5" thickBot="1">
      <c r="A256" s="341" t="s">
        <v>129</v>
      </c>
      <c r="B256" s="361">
        <f t="shared" ref="B256:M256" si="54">SUM(B251:B255)</f>
        <v>295395</v>
      </c>
      <c r="C256" s="361">
        <f t="shared" si="54"/>
        <v>205345</v>
      </c>
      <c r="D256" s="361">
        <f t="shared" si="54"/>
        <v>166289</v>
      </c>
      <c r="E256" s="361">
        <f t="shared" si="54"/>
        <v>183639</v>
      </c>
      <c r="F256" s="361">
        <f t="shared" si="54"/>
        <v>183017</v>
      </c>
      <c r="G256" s="361">
        <f t="shared" si="54"/>
        <v>301069</v>
      </c>
      <c r="H256" s="361">
        <f t="shared" si="54"/>
        <v>192571</v>
      </c>
      <c r="I256" s="361">
        <f t="shared" si="54"/>
        <v>183955</v>
      </c>
      <c r="J256" s="361">
        <f t="shared" si="54"/>
        <v>733316</v>
      </c>
      <c r="K256" s="361">
        <f t="shared" si="54"/>
        <v>325096</v>
      </c>
      <c r="L256" s="361">
        <f t="shared" si="54"/>
        <v>78350</v>
      </c>
      <c r="M256" s="361">
        <f t="shared" si="54"/>
        <v>222254.5</v>
      </c>
      <c r="N256" s="530">
        <f t="shared" si="51"/>
        <v>3070296.5</v>
      </c>
    </row>
    <row r="257" spans="1:14">
      <c r="A257" s="228" t="s">
        <v>127</v>
      </c>
      <c r="B257" s="332"/>
      <c r="C257" s="332"/>
      <c r="D257" s="332"/>
      <c r="E257" s="332"/>
      <c r="F257" s="332"/>
      <c r="G257" s="398"/>
      <c r="H257" s="332"/>
      <c r="I257" s="332"/>
      <c r="J257" s="332"/>
      <c r="K257" s="332"/>
      <c r="L257" s="332"/>
      <c r="M257" s="332"/>
      <c r="N257" s="332">
        <f t="shared" si="51"/>
        <v>0</v>
      </c>
    </row>
    <row r="258" spans="1:14">
      <c r="A258" s="363" t="s">
        <v>129</v>
      </c>
      <c r="B258" s="399">
        <f t="shared" ref="B258:M258" si="55">SUM(B250,B256,B257)</f>
        <v>723351.41666666663</v>
      </c>
      <c r="C258" s="399">
        <f t="shared" si="55"/>
        <v>633301.41666666663</v>
      </c>
      <c r="D258" s="399">
        <f t="shared" si="55"/>
        <v>594245.41666666663</v>
      </c>
      <c r="E258" s="399">
        <f t="shared" si="55"/>
        <v>611595.41666666663</v>
      </c>
      <c r="F258" s="399">
        <f t="shared" si="55"/>
        <v>610973.41666666663</v>
      </c>
      <c r="G258" s="399">
        <f t="shared" si="55"/>
        <v>729025.41666666663</v>
      </c>
      <c r="H258" s="399">
        <f t="shared" si="55"/>
        <v>620527.41666666663</v>
      </c>
      <c r="I258" s="399">
        <f t="shared" si="55"/>
        <v>611911.41666666663</v>
      </c>
      <c r="J258" s="399">
        <f t="shared" si="55"/>
        <v>1161272.4166666665</v>
      </c>
      <c r="K258" s="399">
        <f t="shared" si="55"/>
        <v>753052.41666666663</v>
      </c>
      <c r="L258" s="399">
        <f t="shared" si="55"/>
        <v>506306.41666666663</v>
      </c>
      <c r="M258" s="399">
        <f t="shared" si="55"/>
        <v>650210.91666666663</v>
      </c>
      <c r="N258" s="399">
        <f t="shared" si="51"/>
        <v>8205773.5000000009</v>
      </c>
    </row>
    <row r="259" spans="1:14">
      <c r="A259" s="400" t="s">
        <v>172</v>
      </c>
      <c r="B259" s="331">
        <v>306257</v>
      </c>
      <c r="C259" s="331">
        <v>359817</v>
      </c>
      <c r="D259" s="331">
        <v>317869</v>
      </c>
      <c r="E259" s="331">
        <v>352857</v>
      </c>
      <c r="F259" s="331">
        <v>356942</v>
      </c>
      <c r="G259" s="331">
        <v>316185</v>
      </c>
      <c r="H259" s="331">
        <v>304305</v>
      </c>
      <c r="I259" s="331">
        <v>341203</v>
      </c>
      <c r="J259" s="331">
        <v>276400</v>
      </c>
      <c r="K259" s="331">
        <v>280466</v>
      </c>
      <c r="L259" s="331">
        <v>340000</v>
      </c>
      <c r="M259" s="331">
        <v>340000</v>
      </c>
      <c r="N259" s="331">
        <f t="shared" si="51"/>
        <v>3892301</v>
      </c>
    </row>
    <row r="260" spans="1:14">
      <c r="A260" s="228" t="s">
        <v>278</v>
      </c>
      <c r="B260" s="331"/>
      <c r="C260" s="331"/>
      <c r="D260" s="331"/>
      <c r="E260" s="331"/>
      <c r="F260" s="331"/>
      <c r="G260" s="331"/>
      <c r="H260" s="331"/>
      <c r="I260" s="331"/>
      <c r="J260" s="331"/>
      <c r="K260" s="331"/>
      <c r="L260" s="331"/>
      <c r="M260" s="331"/>
      <c r="N260" s="331">
        <f t="shared" si="51"/>
        <v>0</v>
      </c>
    </row>
    <row r="261" spans="1:14">
      <c r="A261" s="228" t="s">
        <v>135</v>
      </c>
      <c r="B261" s="331"/>
      <c r="C261" s="331"/>
      <c r="D261" s="331"/>
      <c r="E261" s="331">
        <v>21313</v>
      </c>
      <c r="F261" s="331"/>
      <c r="G261" s="331"/>
      <c r="H261" s="331"/>
      <c r="I261" s="331"/>
      <c r="J261" s="331"/>
      <c r="K261" s="331"/>
      <c r="L261" s="331"/>
      <c r="M261" s="331"/>
      <c r="N261" s="331">
        <f t="shared" si="51"/>
        <v>21313</v>
      </c>
    </row>
    <row r="262" spans="1:14">
      <c r="A262" s="228" t="s">
        <v>279</v>
      </c>
      <c r="B262" s="331">
        <v>8464</v>
      </c>
      <c r="C262" s="331">
        <v>6426</v>
      </c>
      <c r="D262" s="331">
        <v>10507</v>
      </c>
      <c r="E262" s="331">
        <v>5556</v>
      </c>
      <c r="F262" s="331">
        <v>5837</v>
      </c>
      <c r="G262" s="331">
        <v>5579</v>
      </c>
      <c r="H262" s="331">
        <v>7128</v>
      </c>
      <c r="I262" s="331">
        <v>6855</v>
      </c>
      <c r="J262" s="331">
        <v>9051</v>
      </c>
      <c r="K262" s="331">
        <v>7431</v>
      </c>
      <c r="L262" s="331">
        <v>10000</v>
      </c>
      <c r="M262" s="331">
        <v>10000</v>
      </c>
      <c r="N262" s="331">
        <f t="shared" si="51"/>
        <v>92834</v>
      </c>
    </row>
    <row r="263" spans="1:14">
      <c r="A263" s="228" t="s">
        <v>178</v>
      </c>
      <c r="B263" s="331">
        <v>5105</v>
      </c>
      <c r="C263" s="331">
        <v>5105</v>
      </c>
      <c r="D263" s="331">
        <v>5105</v>
      </c>
      <c r="E263" s="331">
        <v>5105</v>
      </c>
      <c r="F263" s="331">
        <v>5105</v>
      </c>
      <c r="G263" s="331">
        <v>5105</v>
      </c>
      <c r="H263" s="331">
        <v>5105</v>
      </c>
      <c r="I263" s="331">
        <v>5105</v>
      </c>
      <c r="J263" s="331">
        <v>5105</v>
      </c>
      <c r="K263" s="331">
        <v>5105</v>
      </c>
      <c r="L263" s="331">
        <v>5105</v>
      </c>
      <c r="M263" s="331">
        <v>5105</v>
      </c>
      <c r="N263" s="331">
        <f t="shared" si="51"/>
        <v>61260</v>
      </c>
    </row>
    <row r="264" spans="1:14">
      <c r="A264" s="228" t="s">
        <v>280</v>
      </c>
      <c r="B264" s="331">
        <v>27214</v>
      </c>
      <c r="C264" s="331"/>
      <c r="D264" s="331"/>
      <c r="E264" s="331">
        <v>27214</v>
      </c>
      <c r="F264" s="331"/>
      <c r="G264" s="331"/>
      <c r="H264" s="331">
        <v>27214</v>
      </c>
      <c r="I264" s="331"/>
      <c r="J264" s="331"/>
      <c r="K264" s="331">
        <v>27214</v>
      </c>
      <c r="L264" s="331"/>
      <c r="M264" s="331"/>
      <c r="N264" s="331">
        <f t="shared" si="51"/>
        <v>108856</v>
      </c>
    </row>
    <row r="265" spans="1:14">
      <c r="A265" s="228" t="s">
        <v>281</v>
      </c>
      <c r="B265" s="331">
        <v>2429</v>
      </c>
      <c r="C265" s="331">
        <v>2429</v>
      </c>
      <c r="D265" s="331">
        <v>2429</v>
      </c>
      <c r="E265" s="331">
        <v>2429</v>
      </c>
      <c r="F265" s="331">
        <v>2429</v>
      </c>
      <c r="G265" s="331">
        <v>2429</v>
      </c>
      <c r="H265" s="331">
        <v>2429</v>
      </c>
      <c r="I265" s="331">
        <v>2429</v>
      </c>
      <c r="J265" s="331">
        <v>2429</v>
      </c>
      <c r="K265" s="331">
        <v>2429</v>
      </c>
      <c r="L265" s="331">
        <v>2429</v>
      </c>
      <c r="M265" s="331">
        <v>2429</v>
      </c>
      <c r="N265" s="331">
        <f t="shared" si="51"/>
        <v>29148</v>
      </c>
    </row>
    <row r="266" spans="1:14">
      <c r="A266" s="228" t="s">
        <v>282</v>
      </c>
      <c r="B266" s="331">
        <v>1063</v>
      </c>
      <c r="C266" s="331">
        <v>1636</v>
      </c>
      <c r="D266" s="331">
        <v>11010</v>
      </c>
      <c r="E266" s="331">
        <v>12704</v>
      </c>
      <c r="F266" s="331">
        <v>10701</v>
      </c>
      <c r="G266" s="331">
        <v>9457</v>
      </c>
      <c r="H266" s="331">
        <v>34129</v>
      </c>
      <c r="I266" s="331">
        <v>73142</v>
      </c>
      <c r="J266" s="331">
        <v>20750</v>
      </c>
      <c r="K266" s="331">
        <v>52808</v>
      </c>
      <c r="L266" s="331">
        <v>15000</v>
      </c>
      <c r="M266" s="331">
        <v>15000</v>
      </c>
      <c r="N266" s="331">
        <f t="shared" si="51"/>
        <v>257400</v>
      </c>
    </row>
    <row r="267" spans="1:14">
      <c r="A267" s="228" t="s">
        <v>283</v>
      </c>
      <c r="B267" s="331">
        <v>5680</v>
      </c>
      <c r="C267" s="331">
        <v>5680</v>
      </c>
      <c r="D267" s="331">
        <v>5680</v>
      </c>
      <c r="E267" s="331">
        <v>5680</v>
      </c>
      <c r="F267" s="331">
        <v>5680</v>
      </c>
      <c r="G267" s="331">
        <v>5680</v>
      </c>
      <c r="H267" s="331">
        <v>5680</v>
      </c>
      <c r="I267" s="331">
        <v>5680</v>
      </c>
      <c r="J267" s="331">
        <v>5680</v>
      </c>
      <c r="K267" s="331">
        <v>5680</v>
      </c>
      <c r="L267" s="331">
        <v>5680</v>
      </c>
      <c r="M267" s="331">
        <v>5680</v>
      </c>
      <c r="N267" s="331">
        <f t="shared" si="51"/>
        <v>68160</v>
      </c>
    </row>
    <row r="268" spans="1:14">
      <c r="A268" s="228" t="s">
        <v>182</v>
      </c>
      <c r="B268" s="329">
        <v>184908</v>
      </c>
      <c r="C268" s="329">
        <v>182011.05</v>
      </c>
      <c r="D268" s="329">
        <v>153904</v>
      </c>
      <c r="E268" s="329">
        <v>159721</v>
      </c>
      <c r="F268" s="329">
        <v>165278</v>
      </c>
      <c r="G268" s="329">
        <v>260166</v>
      </c>
      <c r="H268" s="329">
        <v>184011</v>
      </c>
      <c r="I268" s="329">
        <v>175593</v>
      </c>
      <c r="J268" s="329">
        <v>200765</v>
      </c>
      <c r="K268" s="329">
        <v>257369</v>
      </c>
      <c r="L268" s="329"/>
      <c r="M268" s="329">
        <v>207297</v>
      </c>
      <c r="N268" s="331">
        <f t="shared" si="51"/>
        <v>2131023.0499999998</v>
      </c>
    </row>
    <row r="269" spans="1:14">
      <c r="A269" s="228" t="s">
        <v>157</v>
      </c>
      <c r="B269" s="329">
        <v>69000</v>
      </c>
      <c r="C269" s="329"/>
      <c r="D269" s="329"/>
      <c r="E269" s="329"/>
      <c r="F269" s="329"/>
      <c r="G269" s="329"/>
      <c r="H269" s="329"/>
      <c r="I269" s="329"/>
      <c r="J269" s="329"/>
      <c r="K269" s="329"/>
      <c r="L269" s="329"/>
      <c r="M269" s="329"/>
      <c r="N269" s="331">
        <f t="shared" si="51"/>
        <v>69000</v>
      </c>
    </row>
    <row r="270" spans="1:14">
      <c r="A270" s="367" t="s">
        <v>146</v>
      </c>
      <c r="B270" s="368">
        <f>B258-SUM(B259:B269)</f>
        <v>113231.41666666663</v>
      </c>
      <c r="C270" s="368">
        <f t="shared" ref="C270:M270" si="56">C258-SUM(C259:C269)</f>
        <v>70197.366666666581</v>
      </c>
      <c r="D270" s="368">
        <f t="shared" si="56"/>
        <v>87741.416666666628</v>
      </c>
      <c r="E270" s="368">
        <f t="shared" si="56"/>
        <v>19016.416666666628</v>
      </c>
      <c r="F270" s="368">
        <f t="shared" si="56"/>
        <v>59001.416666666628</v>
      </c>
      <c r="G270" s="368">
        <f t="shared" si="56"/>
        <v>124424.41666666663</v>
      </c>
      <c r="H270" s="368">
        <f t="shared" si="56"/>
        <v>50526.416666666628</v>
      </c>
      <c r="I270" s="368">
        <f t="shared" si="56"/>
        <v>1904.4166666666279</v>
      </c>
      <c r="J270" s="368">
        <f t="shared" si="56"/>
        <v>641092.41666666651</v>
      </c>
      <c r="K270" s="368">
        <f t="shared" si="56"/>
        <v>114550.41666666663</v>
      </c>
      <c r="L270" s="368">
        <f t="shared" si="56"/>
        <v>128092.41666666663</v>
      </c>
      <c r="M270" s="368">
        <f t="shared" si="56"/>
        <v>64699.916666666628</v>
      </c>
      <c r="N270" s="368">
        <f>N258-SUM(N259:N269)</f>
        <v>1474478.4500000011</v>
      </c>
    </row>
    <row r="271" spans="1:14" ht="13.5" thickBot="1">
      <c r="A271" s="401"/>
      <c r="B271" s="402"/>
      <c r="C271" s="402"/>
      <c r="D271" s="402"/>
      <c r="E271" s="402"/>
      <c r="F271" s="402"/>
      <c r="G271" s="402"/>
      <c r="H271" s="402"/>
      <c r="I271" s="402"/>
      <c r="J271" s="402"/>
      <c r="K271" s="402"/>
      <c r="L271" s="402"/>
      <c r="M271" s="402"/>
      <c r="N271" s="402"/>
    </row>
    <row r="272" spans="1:14" ht="13.5" thickBot="1">
      <c r="A272" s="281"/>
      <c r="B272" s="281"/>
      <c r="C272" s="281"/>
      <c r="D272" s="281"/>
      <c r="E272" s="281"/>
      <c r="F272" s="281"/>
      <c r="G272" s="281"/>
      <c r="H272" s="281"/>
      <c r="I272" s="281"/>
      <c r="J272" s="281"/>
      <c r="K272" s="281"/>
      <c r="L272" s="281"/>
      <c r="M272" s="281"/>
      <c r="N272" s="281"/>
    </row>
    <row r="273" spans="1:14" ht="20.25">
      <c r="A273" s="820" t="s">
        <v>295</v>
      </c>
      <c r="B273" s="820"/>
      <c r="C273" s="820"/>
      <c r="D273" s="820"/>
      <c r="E273" s="820"/>
      <c r="F273" s="820"/>
      <c r="G273" s="820"/>
      <c r="H273" s="820"/>
      <c r="I273" s="820"/>
      <c r="J273" s="820"/>
      <c r="K273" s="820"/>
      <c r="L273" s="820"/>
      <c r="M273" s="820"/>
      <c r="N273" s="820"/>
    </row>
    <row r="274" spans="1:14">
      <c r="A274" s="227"/>
      <c r="B274" s="227"/>
      <c r="C274" s="227"/>
      <c r="D274" s="227"/>
      <c r="E274" s="227"/>
      <c r="F274" s="227"/>
      <c r="G274" s="227"/>
      <c r="H274" s="227"/>
      <c r="I274" s="227"/>
      <c r="J274" s="227"/>
      <c r="K274" s="227"/>
      <c r="L274" s="227"/>
      <c r="M274" s="227"/>
    </row>
    <row r="275" spans="1:14">
      <c r="A275" s="228"/>
      <c r="B275" s="229" t="s">
        <v>44</v>
      </c>
      <c r="C275" s="229" t="s">
        <v>45</v>
      </c>
      <c r="D275" s="230" t="s">
        <v>46</v>
      </c>
      <c r="E275" s="229" t="s">
        <v>47</v>
      </c>
      <c r="F275" s="229" t="s">
        <v>48</v>
      </c>
      <c r="G275" s="230" t="s">
        <v>49</v>
      </c>
      <c r="H275" s="229" t="s">
        <v>38</v>
      </c>
      <c r="I275" s="229" t="s">
        <v>39</v>
      </c>
      <c r="J275" s="229" t="s">
        <v>40</v>
      </c>
      <c r="K275" s="229" t="s">
        <v>41</v>
      </c>
      <c r="L275" s="229" t="s">
        <v>42</v>
      </c>
      <c r="M275" s="229" t="s">
        <v>43</v>
      </c>
      <c r="N275" s="228" t="s">
        <v>64</v>
      </c>
    </row>
    <row r="276" spans="1:14">
      <c r="A276" s="231" t="s">
        <v>65</v>
      </c>
      <c r="B276" s="232">
        <v>2083</v>
      </c>
      <c r="C276" s="232">
        <v>2083</v>
      </c>
      <c r="D276" s="232">
        <v>2083</v>
      </c>
      <c r="E276" s="232">
        <v>2083</v>
      </c>
      <c r="F276" s="232">
        <v>2083</v>
      </c>
      <c r="G276" s="232">
        <v>2083</v>
      </c>
      <c r="H276" s="232">
        <v>2083</v>
      </c>
      <c r="I276" s="232">
        <v>2083</v>
      </c>
      <c r="J276" s="232">
        <v>2083</v>
      </c>
      <c r="K276" s="232">
        <v>2083</v>
      </c>
      <c r="L276" s="232">
        <v>2083</v>
      </c>
      <c r="M276" s="232">
        <v>2083</v>
      </c>
      <c r="N276" s="232">
        <f t="shared" ref="N276:N287" si="57">SUM(B276:M276)</f>
        <v>24996</v>
      </c>
    </row>
    <row r="277" spans="1:14">
      <c r="A277" s="231" t="s">
        <v>66</v>
      </c>
      <c r="B277" s="232"/>
      <c r="C277" s="232"/>
      <c r="D277" s="232"/>
      <c r="E277" s="232"/>
      <c r="F277" s="232"/>
      <c r="G277" s="233"/>
      <c r="H277" s="232"/>
      <c r="I277" s="232"/>
      <c r="J277" s="234"/>
      <c r="K277" s="232"/>
      <c r="L277" s="232"/>
      <c r="M277" s="232"/>
      <c r="N277" s="232">
        <f t="shared" si="57"/>
        <v>0</v>
      </c>
    </row>
    <row r="278" spans="1:14">
      <c r="A278" s="231" t="s">
        <v>67</v>
      </c>
      <c r="B278" s="232"/>
      <c r="C278" s="232"/>
      <c r="D278" s="232"/>
      <c r="E278" s="232"/>
      <c r="F278" s="232"/>
      <c r="G278" s="233"/>
      <c r="H278" s="232"/>
      <c r="I278" s="232"/>
      <c r="J278" s="232"/>
      <c r="K278" s="232"/>
      <c r="L278" s="232"/>
      <c r="M278" s="228"/>
      <c r="N278" s="232">
        <f t="shared" si="57"/>
        <v>0</v>
      </c>
    </row>
    <row r="279" spans="1:14">
      <c r="A279" s="231" t="s">
        <v>69</v>
      </c>
      <c r="B279" s="232">
        <v>86</v>
      </c>
      <c r="C279" s="232">
        <v>134.25</v>
      </c>
      <c r="D279" s="232">
        <v>206.5</v>
      </c>
      <c r="E279" s="232">
        <v>413</v>
      </c>
      <c r="F279" s="232">
        <v>79.75</v>
      </c>
      <c r="G279" s="233">
        <v>81.75</v>
      </c>
      <c r="H279" s="232">
        <v>648</v>
      </c>
      <c r="I279" s="232">
        <v>617.75</v>
      </c>
      <c r="J279" s="232">
        <v>185</v>
      </c>
      <c r="K279" s="232">
        <v>111</v>
      </c>
      <c r="L279" s="232">
        <v>27.5</v>
      </c>
      <c r="M279" s="232"/>
      <c r="N279" s="232">
        <f t="shared" si="57"/>
        <v>2590.5</v>
      </c>
    </row>
    <row r="280" spans="1:14">
      <c r="A280" s="231" t="s">
        <v>70</v>
      </c>
      <c r="B280" s="232"/>
      <c r="C280" s="232">
        <v>15.5</v>
      </c>
      <c r="D280" s="232">
        <v>92</v>
      </c>
      <c r="E280" s="232">
        <v>171.25</v>
      </c>
      <c r="F280" s="232">
        <v>27.5</v>
      </c>
      <c r="G280" s="233">
        <v>6</v>
      </c>
      <c r="H280" s="232">
        <v>13.75</v>
      </c>
      <c r="I280" s="232">
        <v>37</v>
      </c>
      <c r="J280" s="232"/>
      <c r="K280" s="232"/>
      <c r="L280" s="232">
        <v>6</v>
      </c>
      <c r="M280" s="232"/>
      <c r="N280" s="232">
        <f t="shared" si="57"/>
        <v>369</v>
      </c>
    </row>
    <row r="281" spans="1:14">
      <c r="A281" s="231" t="s">
        <v>71</v>
      </c>
      <c r="B281" s="232">
        <v>447.5</v>
      </c>
      <c r="C281" s="232">
        <v>107.5</v>
      </c>
      <c r="D281" s="232">
        <v>43</v>
      </c>
      <c r="E281" s="232">
        <v>83.5</v>
      </c>
      <c r="F281" s="232">
        <v>23.25</v>
      </c>
      <c r="G281" s="233">
        <v>31</v>
      </c>
      <c r="H281" s="232">
        <v>23.25</v>
      </c>
      <c r="I281" s="232">
        <v>13.75</v>
      </c>
      <c r="J281" s="232">
        <v>134.25</v>
      </c>
      <c r="K281" s="232">
        <v>225.5</v>
      </c>
      <c r="L281" s="232">
        <v>126.5</v>
      </c>
      <c r="M281" s="232"/>
      <c r="N281" s="232">
        <f t="shared" si="57"/>
        <v>1259</v>
      </c>
    </row>
    <row r="282" spans="1:14">
      <c r="A282" s="231" t="s">
        <v>72</v>
      </c>
      <c r="B282" s="232"/>
      <c r="C282" s="232"/>
      <c r="D282" s="232"/>
      <c r="E282" s="232"/>
      <c r="F282" s="232"/>
      <c r="G282" s="233"/>
      <c r="H282" s="232"/>
      <c r="I282" s="232"/>
      <c r="J282" s="232"/>
      <c r="K282" s="232"/>
      <c r="L282" s="232"/>
      <c r="M282" s="232"/>
      <c r="N282" s="232">
        <f t="shared" si="57"/>
        <v>0</v>
      </c>
    </row>
    <row r="283" spans="1:14">
      <c r="A283" s="231" t="s">
        <v>73</v>
      </c>
      <c r="B283" s="232"/>
      <c r="C283" s="232">
        <v>8</v>
      </c>
      <c r="D283" s="232"/>
      <c r="E283" s="232">
        <v>35.25</v>
      </c>
      <c r="F283" s="232">
        <v>25.75</v>
      </c>
      <c r="G283" s="233">
        <v>19.75</v>
      </c>
      <c r="H283" s="232">
        <v>35.25</v>
      </c>
      <c r="I283" s="232">
        <v>37</v>
      </c>
      <c r="J283" s="232">
        <v>7.75</v>
      </c>
      <c r="K283" s="232">
        <v>37</v>
      </c>
      <c r="L283" s="232"/>
      <c r="M283" s="232"/>
      <c r="N283" s="232">
        <f t="shared" si="57"/>
        <v>205.75</v>
      </c>
    </row>
    <row r="284" spans="1:14">
      <c r="A284" s="231" t="s">
        <v>74</v>
      </c>
      <c r="B284" s="232"/>
      <c r="C284" s="232"/>
      <c r="D284" s="232"/>
      <c r="E284" s="232"/>
      <c r="F284" s="232"/>
      <c r="G284" s="233"/>
      <c r="H284" s="232"/>
      <c r="I284" s="232"/>
      <c r="J284" s="232"/>
      <c r="K284" s="232"/>
      <c r="L284" s="232"/>
      <c r="M284" s="232"/>
      <c r="N284" s="232">
        <f t="shared" si="57"/>
        <v>0</v>
      </c>
    </row>
    <row r="285" spans="1:14">
      <c r="A285" s="231" t="s">
        <v>75</v>
      </c>
      <c r="B285" s="232"/>
      <c r="C285" s="232">
        <v>88</v>
      </c>
      <c r="D285" s="232"/>
      <c r="E285" s="232"/>
      <c r="F285" s="232">
        <v>62</v>
      </c>
      <c r="G285" s="233"/>
      <c r="H285" s="232"/>
      <c r="I285" s="232"/>
      <c r="J285" s="232">
        <v>24.5</v>
      </c>
      <c r="K285" s="232">
        <v>14</v>
      </c>
      <c r="L285" s="232">
        <v>46.5</v>
      </c>
      <c r="M285" s="232"/>
      <c r="N285" s="232">
        <f t="shared" si="57"/>
        <v>235</v>
      </c>
    </row>
    <row r="286" spans="1:14" ht="13.5" thickBot="1">
      <c r="A286" s="235" t="s">
        <v>76</v>
      </c>
      <c r="B286" s="236"/>
      <c r="C286" s="236"/>
      <c r="D286" s="236">
        <v>13.75</v>
      </c>
      <c r="E286" s="236"/>
      <c r="F286" s="236">
        <v>74</v>
      </c>
      <c r="G286" s="237">
        <v>37</v>
      </c>
      <c r="H286" s="236"/>
      <c r="I286" s="236"/>
      <c r="J286" s="236">
        <v>50.75</v>
      </c>
      <c r="K286" s="236"/>
      <c r="L286" s="236">
        <v>44.75</v>
      </c>
      <c r="M286" s="236"/>
      <c r="N286" s="238">
        <f t="shared" si="57"/>
        <v>220.25</v>
      </c>
    </row>
    <row r="287" spans="1:14" ht="13.5" thickBot="1">
      <c r="A287" s="239" t="s">
        <v>77</v>
      </c>
      <c r="B287" s="240">
        <f t="shared" ref="B287:M287" si="58">SUM(B276+B277+B278-B279-B280-B281-B283-B284-B285-B286)</f>
        <v>1549.5</v>
      </c>
      <c r="C287" s="240">
        <f t="shared" si="58"/>
        <v>1729.75</v>
      </c>
      <c r="D287" s="240">
        <f t="shared" si="58"/>
        <v>1727.75</v>
      </c>
      <c r="E287" s="240">
        <f t="shared" si="58"/>
        <v>1380</v>
      </c>
      <c r="F287" s="240">
        <f t="shared" si="58"/>
        <v>1790.75</v>
      </c>
      <c r="G287" s="354">
        <f t="shared" si="58"/>
        <v>1907.5</v>
      </c>
      <c r="H287" s="240">
        <f t="shared" si="58"/>
        <v>1362.75</v>
      </c>
      <c r="I287" s="240">
        <f t="shared" si="58"/>
        <v>1377.5</v>
      </c>
      <c r="J287" s="240">
        <f t="shared" si="58"/>
        <v>1680.75</v>
      </c>
      <c r="K287" s="240">
        <f t="shared" si="58"/>
        <v>1695.5</v>
      </c>
      <c r="L287" s="240">
        <f t="shared" si="58"/>
        <v>1831.75</v>
      </c>
      <c r="M287" s="241">
        <f t="shared" si="58"/>
        <v>2083</v>
      </c>
      <c r="N287" s="242">
        <f t="shared" si="57"/>
        <v>20116.5</v>
      </c>
    </row>
    <row r="288" spans="1:14">
      <c r="A288" s="243"/>
      <c r="B288" s="244"/>
      <c r="C288" s="244"/>
      <c r="D288" s="244"/>
      <c r="E288" s="244"/>
      <c r="F288" s="244"/>
      <c r="G288" s="244"/>
      <c r="H288" s="244"/>
      <c r="I288" s="244"/>
      <c r="J288" s="244"/>
      <c r="K288" s="244"/>
      <c r="L288" s="244"/>
      <c r="M288" s="244"/>
      <c r="N288" s="244"/>
    </row>
    <row r="289" spans="1:14">
      <c r="A289" s="243"/>
      <c r="B289" s="244"/>
      <c r="C289" s="244"/>
      <c r="D289" s="244"/>
      <c r="E289" s="244"/>
      <c r="F289" s="244"/>
      <c r="G289" s="244"/>
      <c r="H289" s="244"/>
      <c r="I289" s="244"/>
      <c r="J289" s="244"/>
      <c r="K289" s="244"/>
      <c r="L289" s="244"/>
      <c r="M289" s="244"/>
      <c r="N289" s="245" t="s">
        <v>78</v>
      </c>
    </row>
    <row r="290" spans="1:14">
      <c r="A290" s="231" t="s">
        <v>79</v>
      </c>
      <c r="B290" s="232">
        <f t="shared" ref="B290:M290" si="59">SUM(B277*100/B287)</f>
        <v>0</v>
      </c>
      <c r="C290" s="232">
        <f t="shared" si="59"/>
        <v>0</v>
      </c>
      <c r="D290" s="232">
        <f t="shared" si="59"/>
        <v>0</v>
      </c>
      <c r="E290" s="232">
        <f t="shared" si="59"/>
        <v>0</v>
      </c>
      <c r="F290" s="232">
        <f t="shared" si="59"/>
        <v>0</v>
      </c>
      <c r="G290" s="232">
        <f t="shared" si="59"/>
        <v>0</v>
      </c>
      <c r="H290" s="232">
        <f t="shared" si="59"/>
        <v>0</v>
      </c>
      <c r="I290" s="232">
        <f t="shared" si="59"/>
        <v>0</v>
      </c>
      <c r="J290" s="232">
        <f t="shared" si="59"/>
        <v>0</v>
      </c>
      <c r="K290" s="232">
        <f t="shared" si="59"/>
        <v>0</v>
      </c>
      <c r="L290" s="232">
        <f t="shared" si="59"/>
        <v>0</v>
      </c>
      <c r="M290" s="232">
        <f t="shared" si="59"/>
        <v>0</v>
      </c>
      <c r="N290" s="246">
        <f>SUM(B290:M290)/12</f>
        <v>0</v>
      </c>
    </row>
    <row r="291" spans="1:14">
      <c r="A291" s="243"/>
      <c r="B291" s="244"/>
      <c r="C291" s="244"/>
      <c r="D291" s="244"/>
      <c r="E291" s="244"/>
      <c r="F291" s="244"/>
      <c r="G291" s="244"/>
      <c r="H291" s="244"/>
      <c r="I291" s="244"/>
      <c r="J291" s="244"/>
      <c r="K291" s="244"/>
      <c r="L291" s="244"/>
      <c r="M291" s="244"/>
      <c r="N291" s="227"/>
    </row>
    <row r="292" spans="1:14">
      <c r="A292" s="231" t="s">
        <v>80</v>
      </c>
      <c r="B292" s="232">
        <f t="shared" ref="B292:M292" si="60">SUM(B281*100/B287)</f>
        <v>28.880283962568569</v>
      </c>
      <c r="C292" s="232">
        <f t="shared" si="60"/>
        <v>6.2147709206532733</v>
      </c>
      <c r="D292" s="232">
        <f t="shared" si="60"/>
        <v>2.4887859933439445</v>
      </c>
      <c r="E292" s="232">
        <f t="shared" si="60"/>
        <v>6.0507246376811592</v>
      </c>
      <c r="F292" s="232">
        <f t="shared" si="60"/>
        <v>1.2983386849085579</v>
      </c>
      <c r="G292" s="232">
        <f t="shared" si="60"/>
        <v>1.6251638269986894</v>
      </c>
      <c r="H292" s="232">
        <f t="shared" si="60"/>
        <v>1.7061089708310402</v>
      </c>
      <c r="I292" s="232">
        <f t="shared" si="60"/>
        <v>0.99818511796733211</v>
      </c>
      <c r="J292" s="232">
        <f t="shared" si="60"/>
        <v>7.9875055778670241</v>
      </c>
      <c r="K292" s="232">
        <f t="shared" si="60"/>
        <v>13.299911530521969</v>
      </c>
      <c r="L292" s="232">
        <f t="shared" si="60"/>
        <v>6.9059642418452301</v>
      </c>
      <c r="M292" s="232">
        <f t="shared" si="60"/>
        <v>0</v>
      </c>
      <c r="N292" s="246">
        <f>SUM(B292:M292)/12</f>
        <v>6.4546452887655654</v>
      </c>
    </row>
    <row r="293" spans="1:14" ht="13.5" thickBot="1">
      <c r="A293" s="247" t="s">
        <v>81</v>
      </c>
      <c r="B293" s="238">
        <f t="shared" ref="B293:M293" si="61">SUM(B282*100/B287)</f>
        <v>0</v>
      </c>
      <c r="C293" s="238">
        <f t="shared" si="61"/>
        <v>0</v>
      </c>
      <c r="D293" s="238">
        <f t="shared" si="61"/>
        <v>0</v>
      </c>
      <c r="E293" s="238">
        <f t="shared" si="61"/>
        <v>0</v>
      </c>
      <c r="F293" s="238">
        <f t="shared" si="61"/>
        <v>0</v>
      </c>
      <c r="G293" s="238">
        <f t="shared" si="61"/>
        <v>0</v>
      </c>
      <c r="H293" s="238">
        <f t="shared" si="61"/>
        <v>0</v>
      </c>
      <c r="I293" s="238">
        <f t="shared" si="61"/>
        <v>0</v>
      </c>
      <c r="J293" s="238">
        <f t="shared" si="61"/>
        <v>0</v>
      </c>
      <c r="K293" s="238">
        <f t="shared" si="61"/>
        <v>0</v>
      </c>
      <c r="L293" s="238">
        <f t="shared" si="61"/>
        <v>0</v>
      </c>
      <c r="M293" s="238">
        <f t="shared" si="61"/>
        <v>0</v>
      </c>
      <c r="N293" s="248">
        <f>SUM(B293:M293)/12</f>
        <v>0</v>
      </c>
    </row>
    <row r="294" spans="1:14" ht="13.5" thickBot="1">
      <c r="A294" s="249" t="s">
        <v>82</v>
      </c>
      <c r="B294" s="250">
        <f t="shared" ref="B294:M294" si="62">SUM(B292:B292)</f>
        <v>28.880283962568569</v>
      </c>
      <c r="C294" s="250">
        <f t="shared" si="62"/>
        <v>6.2147709206532733</v>
      </c>
      <c r="D294" s="250">
        <f t="shared" si="62"/>
        <v>2.4887859933439445</v>
      </c>
      <c r="E294" s="250">
        <f t="shared" si="62"/>
        <v>6.0507246376811592</v>
      </c>
      <c r="F294" s="250">
        <f t="shared" si="62"/>
        <v>1.2983386849085579</v>
      </c>
      <c r="G294" s="250">
        <f t="shared" si="62"/>
        <v>1.6251638269986894</v>
      </c>
      <c r="H294" s="250">
        <f t="shared" si="62"/>
        <v>1.7061089708310402</v>
      </c>
      <c r="I294" s="250">
        <f t="shared" si="62"/>
        <v>0.99818511796733211</v>
      </c>
      <c r="J294" s="250">
        <f t="shared" si="62"/>
        <v>7.9875055778670241</v>
      </c>
      <c r="K294" s="250">
        <f t="shared" si="62"/>
        <v>13.299911530521969</v>
      </c>
      <c r="L294" s="250">
        <f t="shared" si="62"/>
        <v>6.9059642418452301</v>
      </c>
      <c r="M294" s="250">
        <f t="shared" si="62"/>
        <v>0</v>
      </c>
      <c r="N294" s="251">
        <f>SUM(N292:N293)</f>
        <v>6.4546452887655654</v>
      </c>
    </row>
    <row r="295" spans="1:14">
      <c r="A295" s="243" t="s">
        <v>83</v>
      </c>
      <c r="B295" s="244"/>
      <c r="C295" s="244"/>
      <c r="D295" s="252">
        <f>SUM(B294:D294)/4</f>
        <v>9.3959602191414469</v>
      </c>
      <c r="E295" s="244"/>
      <c r="F295" s="244"/>
      <c r="G295" s="252">
        <f>SUM(E294,F294,G294)/4</f>
        <v>2.2435567873971016</v>
      </c>
      <c r="H295" s="244"/>
      <c r="I295" s="244"/>
      <c r="J295" s="252">
        <f>SUM(H294,I294,J294)/3</f>
        <v>3.5639332222217988</v>
      </c>
      <c r="K295" s="244"/>
      <c r="L295" s="244"/>
      <c r="M295" s="252">
        <f>SUM(K294,L294,M294)/3</f>
        <v>6.7352919241224001</v>
      </c>
      <c r="N295" s="253">
        <f>SUM(D295:M295)/4</f>
        <v>5.4846855382206865</v>
      </c>
    </row>
    <row r="296" spans="1:14">
      <c r="A296" s="243" t="s">
        <v>84</v>
      </c>
      <c r="B296" s="244"/>
      <c r="C296" s="244"/>
      <c r="D296" s="254"/>
      <c r="E296" s="244"/>
      <c r="F296" s="244"/>
      <c r="G296" s="254"/>
      <c r="H296" s="244"/>
      <c r="I296" s="244"/>
      <c r="J296" s="254"/>
      <c r="K296" s="244"/>
      <c r="L296" s="244"/>
      <c r="M296" s="254"/>
      <c r="N296" s="246">
        <f>SUM(D296:G296,J296,M296)/4</f>
        <v>0</v>
      </c>
    </row>
    <row r="297" spans="1:14">
      <c r="A297" s="243"/>
      <c r="B297" s="244"/>
      <c r="C297" s="244"/>
      <c r="D297" s="244"/>
      <c r="E297" s="244"/>
      <c r="F297" s="244"/>
      <c r="G297" s="244"/>
      <c r="H297" s="244"/>
      <c r="I297" s="244"/>
      <c r="J297" s="244"/>
      <c r="K297" s="244"/>
      <c r="L297" s="244"/>
      <c r="M297" s="244"/>
      <c r="N297" s="244"/>
    </row>
    <row r="298" spans="1:14">
      <c r="A298" s="231" t="s">
        <v>85</v>
      </c>
      <c r="B298" s="232">
        <f t="shared" ref="B298:M298" si="63">B285*100/B287</f>
        <v>0</v>
      </c>
      <c r="C298" s="232">
        <f t="shared" si="63"/>
        <v>5.0874403815580287</v>
      </c>
      <c r="D298" s="232">
        <f t="shared" si="63"/>
        <v>0</v>
      </c>
      <c r="E298" s="232">
        <f t="shared" si="63"/>
        <v>0</v>
      </c>
      <c r="F298" s="232">
        <f t="shared" si="63"/>
        <v>3.4622364930894878</v>
      </c>
      <c r="G298" s="232">
        <f t="shared" si="63"/>
        <v>0</v>
      </c>
      <c r="H298" s="232">
        <f t="shared" si="63"/>
        <v>0</v>
      </c>
      <c r="I298" s="232">
        <f t="shared" si="63"/>
        <v>0</v>
      </c>
      <c r="J298" s="232">
        <f t="shared" si="63"/>
        <v>1.4576825821805741</v>
      </c>
      <c r="K298" s="232">
        <f t="shared" si="63"/>
        <v>0.82571512828074312</v>
      </c>
      <c r="L298" s="232">
        <f t="shared" si="63"/>
        <v>2.5385560256585231</v>
      </c>
      <c r="M298" s="232">
        <f t="shared" si="63"/>
        <v>0</v>
      </c>
      <c r="N298" s="246">
        <f>SUM(B298:M298)/12</f>
        <v>1.1143025508972799</v>
      </c>
    </row>
    <row r="299" spans="1:14">
      <c r="A299" s="231" t="s">
        <v>86</v>
      </c>
      <c r="B299" s="232">
        <f t="shared" ref="B299:M299" si="64">B283*100/B287</f>
        <v>0</v>
      </c>
      <c r="C299" s="232">
        <f t="shared" si="64"/>
        <v>0.46249458014163897</v>
      </c>
      <c r="D299" s="232">
        <f t="shared" si="64"/>
        <v>0</v>
      </c>
      <c r="E299" s="232">
        <f t="shared" si="64"/>
        <v>2.5543478260869565</v>
      </c>
      <c r="F299" s="232">
        <f t="shared" si="64"/>
        <v>1.437944995113779</v>
      </c>
      <c r="G299" s="232">
        <f t="shared" si="64"/>
        <v>1.0353866317169069</v>
      </c>
      <c r="H299" s="232">
        <f t="shared" si="64"/>
        <v>2.5866813428728674</v>
      </c>
      <c r="I299" s="232">
        <f t="shared" si="64"/>
        <v>2.6860254083484572</v>
      </c>
      <c r="J299" s="232">
        <f t="shared" si="64"/>
        <v>0.46110367395507956</v>
      </c>
      <c r="K299" s="232">
        <f t="shared" si="64"/>
        <v>2.1822471247419641</v>
      </c>
      <c r="L299" s="232">
        <f t="shared" si="64"/>
        <v>0</v>
      </c>
      <c r="M299" s="232">
        <f t="shared" si="64"/>
        <v>0</v>
      </c>
      <c r="N299" s="246">
        <f>SUM(B299:M299)/12</f>
        <v>1.1171859652481377</v>
      </c>
    </row>
    <row r="300" spans="1:14" ht="13.5" thickBot="1">
      <c r="A300" s="231" t="s">
        <v>87</v>
      </c>
      <c r="B300" s="232">
        <f t="shared" ref="B300:M300" si="65">B279*100/B287</f>
        <v>5.5501774766053567</v>
      </c>
      <c r="C300" s="232">
        <f t="shared" si="65"/>
        <v>7.761237173001879</v>
      </c>
      <c r="D300" s="232">
        <f t="shared" si="65"/>
        <v>11.951960642454059</v>
      </c>
      <c r="E300" s="232">
        <f t="shared" si="65"/>
        <v>29.927536231884059</v>
      </c>
      <c r="F300" s="232">
        <f t="shared" si="65"/>
        <v>4.4534412955465585</v>
      </c>
      <c r="G300" s="232">
        <f t="shared" si="65"/>
        <v>4.2857142857142856</v>
      </c>
      <c r="H300" s="232">
        <f t="shared" si="65"/>
        <v>47.550908090258666</v>
      </c>
      <c r="I300" s="232">
        <f t="shared" si="65"/>
        <v>44.845735027223228</v>
      </c>
      <c r="J300" s="232">
        <f t="shared" si="65"/>
        <v>11.006990926669642</v>
      </c>
      <c r="K300" s="232">
        <f t="shared" si="65"/>
        <v>6.546741374225892</v>
      </c>
      <c r="L300" s="232">
        <f t="shared" si="65"/>
        <v>1.5012965743141804</v>
      </c>
      <c r="M300" s="232">
        <f t="shared" si="65"/>
        <v>0</v>
      </c>
      <c r="N300" s="246">
        <f>SUM(B300:M300)/12</f>
        <v>14.615144924824818</v>
      </c>
    </row>
    <row r="301" spans="1:14" ht="13.5" thickBot="1">
      <c r="A301" s="255" t="s">
        <v>88</v>
      </c>
      <c r="B301" s="256">
        <f t="shared" ref="B301:M301" si="66">SUM(B276-B287)*100/B287</f>
        <v>34.430461439173925</v>
      </c>
      <c r="C301" s="256">
        <f t="shared" si="66"/>
        <v>20.422026304379244</v>
      </c>
      <c r="D301" s="256">
        <f t="shared" si="66"/>
        <v>20.561423817103169</v>
      </c>
      <c r="E301" s="256">
        <f t="shared" si="66"/>
        <v>50.94202898550725</v>
      </c>
      <c r="F301" s="256">
        <f t="shared" si="66"/>
        <v>16.319977662990368</v>
      </c>
      <c r="G301" s="256">
        <f t="shared" si="66"/>
        <v>9.2005242463958066</v>
      </c>
      <c r="H301" s="256">
        <f t="shared" si="66"/>
        <v>52.852687580260501</v>
      </c>
      <c r="I301" s="256">
        <f t="shared" si="66"/>
        <v>51.215970961887479</v>
      </c>
      <c r="J301" s="256">
        <f t="shared" si="66"/>
        <v>23.932768109474935</v>
      </c>
      <c r="K301" s="256">
        <f t="shared" si="66"/>
        <v>22.854615157770571</v>
      </c>
      <c r="L301" s="256">
        <f t="shared" si="66"/>
        <v>13.716391428961376</v>
      </c>
      <c r="M301" s="256">
        <f t="shared" si="66"/>
        <v>0</v>
      </c>
      <c r="N301" s="257">
        <f>SUM(B301:M301)/12</f>
        <v>26.370739641158721</v>
      </c>
    </row>
    <row r="302" spans="1:14">
      <c r="A302" s="243"/>
      <c r="B302" s="244"/>
      <c r="C302" s="244"/>
      <c r="D302" s="244"/>
      <c r="E302" s="244"/>
      <c r="F302" s="244"/>
      <c r="G302" s="244"/>
      <c r="H302" s="244"/>
      <c r="I302" s="244"/>
      <c r="J302" s="244"/>
      <c r="K302" s="244"/>
      <c r="L302" s="244"/>
      <c r="M302" s="244"/>
      <c r="N302" s="227"/>
    </row>
    <row r="303" spans="1:14">
      <c r="A303" s="258" t="s">
        <v>89</v>
      </c>
      <c r="B303" s="244"/>
      <c r="C303" s="244"/>
      <c r="D303" s="244"/>
      <c r="E303" s="244"/>
      <c r="F303" s="244"/>
      <c r="G303" s="244"/>
      <c r="H303" s="244"/>
      <c r="I303" s="244"/>
      <c r="J303" s="244"/>
      <c r="K303" s="244"/>
      <c r="L303" s="244"/>
      <c r="M303" s="244"/>
      <c r="N303" s="227"/>
    </row>
    <row r="304" spans="1:14">
      <c r="A304" s="231" t="s">
        <v>90</v>
      </c>
      <c r="B304" s="259">
        <v>13</v>
      </c>
      <c r="C304" s="259">
        <v>13</v>
      </c>
      <c r="D304" s="259">
        <v>13</v>
      </c>
      <c r="E304" s="259">
        <v>13</v>
      </c>
      <c r="F304" s="259">
        <v>13</v>
      </c>
      <c r="G304" s="259">
        <v>13</v>
      </c>
      <c r="H304" s="259">
        <v>13</v>
      </c>
      <c r="I304" s="259">
        <v>13</v>
      </c>
      <c r="J304" s="259">
        <f>I307</f>
        <v>13</v>
      </c>
      <c r="K304" s="259">
        <f>J307</f>
        <v>13</v>
      </c>
      <c r="L304" s="259">
        <f>K307</f>
        <v>13</v>
      </c>
      <c r="M304" s="259">
        <f>L307</f>
        <v>13</v>
      </c>
      <c r="N304" s="259">
        <f>M307</f>
        <v>13</v>
      </c>
    </row>
    <row r="305" spans="1:14">
      <c r="A305" s="231" t="s">
        <v>91</v>
      </c>
      <c r="B305" s="259"/>
      <c r="C305" s="259"/>
      <c r="D305" s="259"/>
      <c r="E305" s="259"/>
      <c r="F305" s="259"/>
      <c r="G305" s="259"/>
      <c r="H305" s="259"/>
      <c r="I305" s="259"/>
      <c r="J305" s="259"/>
      <c r="K305" s="259"/>
      <c r="L305" s="259"/>
      <c r="M305" s="259"/>
      <c r="N305" s="259">
        <f>SUM(B305:M305)/12</f>
        <v>0</v>
      </c>
    </row>
    <row r="306" spans="1:14">
      <c r="A306" s="231" t="s">
        <v>92</v>
      </c>
      <c r="B306" s="259"/>
      <c r="C306" s="259"/>
      <c r="D306" s="259"/>
      <c r="E306" s="259"/>
      <c r="F306" s="259"/>
      <c r="G306" s="259"/>
      <c r="H306" s="259"/>
      <c r="I306" s="259"/>
      <c r="J306" s="259"/>
      <c r="K306" s="259"/>
      <c r="L306" s="259"/>
      <c r="M306" s="259"/>
      <c r="N306" s="259">
        <f>SUM(B305:M305)/12</f>
        <v>0</v>
      </c>
    </row>
    <row r="307" spans="1:14">
      <c r="A307" s="231" t="s">
        <v>89</v>
      </c>
      <c r="B307" s="259">
        <f t="shared" ref="B307:M307" si="67">SUM(B304+B305-B306)</f>
        <v>13</v>
      </c>
      <c r="C307" s="259">
        <f t="shared" si="67"/>
        <v>13</v>
      </c>
      <c r="D307" s="259">
        <f t="shared" si="67"/>
        <v>13</v>
      </c>
      <c r="E307" s="259">
        <f t="shared" si="67"/>
        <v>13</v>
      </c>
      <c r="F307" s="259">
        <f t="shared" si="67"/>
        <v>13</v>
      </c>
      <c r="G307" s="259">
        <f t="shared" si="67"/>
        <v>13</v>
      </c>
      <c r="H307" s="259">
        <f t="shared" si="67"/>
        <v>13</v>
      </c>
      <c r="I307" s="259">
        <f t="shared" si="67"/>
        <v>13</v>
      </c>
      <c r="J307" s="259">
        <f t="shared" si="67"/>
        <v>13</v>
      </c>
      <c r="K307" s="259">
        <f t="shared" si="67"/>
        <v>13</v>
      </c>
      <c r="L307" s="259">
        <f t="shared" si="67"/>
        <v>13</v>
      </c>
      <c r="M307" s="259">
        <f t="shared" si="67"/>
        <v>13</v>
      </c>
      <c r="N307" s="259">
        <f>SUM(B306:M306)/12</f>
        <v>0</v>
      </c>
    </row>
    <row r="308" spans="1:14">
      <c r="A308" s="231" t="s">
        <v>93</v>
      </c>
      <c r="B308" s="260">
        <f t="shared" ref="B308:M308" si="68">SUM(B307*100)/B304-100</f>
        <v>0</v>
      </c>
      <c r="C308" s="260">
        <f t="shared" si="68"/>
        <v>0</v>
      </c>
      <c r="D308" s="260">
        <f t="shared" si="68"/>
        <v>0</v>
      </c>
      <c r="E308" s="260">
        <f t="shared" si="68"/>
        <v>0</v>
      </c>
      <c r="F308" s="260">
        <f t="shared" si="68"/>
        <v>0</v>
      </c>
      <c r="G308" s="260">
        <f t="shared" si="68"/>
        <v>0</v>
      </c>
      <c r="H308" s="260">
        <f t="shared" si="68"/>
        <v>0</v>
      </c>
      <c r="I308" s="260">
        <f t="shared" si="68"/>
        <v>0</v>
      </c>
      <c r="J308" s="260">
        <f t="shared" si="68"/>
        <v>0</v>
      </c>
      <c r="K308" s="260">
        <f t="shared" si="68"/>
        <v>0</v>
      </c>
      <c r="L308" s="260">
        <f t="shared" si="68"/>
        <v>0</v>
      </c>
      <c r="M308" s="260">
        <f t="shared" si="68"/>
        <v>0</v>
      </c>
      <c r="N308" s="259"/>
    </row>
    <row r="309" spans="1:14">
      <c r="A309" s="243" t="s">
        <v>94</v>
      </c>
      <c r="B309" s="261"/>
      <c r="C309" s="261"/>
      <c r="D309" s="262">
        <f>SUM(B308:D308/3)</f>
        <v>0</v>
      </c>
      <c r="E309" s="261"/>
      <c r="F309" s="261"/>
      <c r="G309" s="262">
        <f>SUM(E308:G308)/3</f>
        <v>0</v>
      </c>
      <c r="H309" s="261"/>
      <c r="I309" s="261"/>
      <c r="J309" s="262">
        <f>SUM(H308:J308)/3</f>
        <v>0</v>
      </c>
      <c r="K309" s="261"/>
      <c r="L309" s="261"/>
      <c r="M309" s="262">
        <f>SUM(K308:M308)/3</f>
        <v>0</v>
      </c>
      <c r="N309" s="261"/>
    </row>
    <row r="310" spans="1:14" ht="13.5" thickBot="1">
      <c r="A310" s="372"/>
      <c r="B310" s="373"/>
      <c r="C310" s="373"/>
      <c r="D310" s="373"/>
      <c r="E310" s="373"/>
      <c r="F310" s="373"/>
      <c r="G310" s="373"/>
      <c r="H310" s="373"/>
      <c r="I310" s="373"/>
      <c r="J310" s="373"/>
      <c r="K310" s="373"/>
      <c r="L310" s="373"/>
      <c r="M310" s="373"/>
      <c r="N310" s="374"/>
    </row>
    <row r="311" spans="1:14">
      <c r="A311" s="243"/>
      <c r="B311" s="244"/>
      <c r="C311" s="244"/>
      <c r="D311" s="244"/>
      <c r="E311" s="244"/>
      <c r="F311" s="244"/>
      <c r="G311" s="244"/>
      <c r="H311" s="244"/>
      <c r="I311" s="244"/>
      <c r="J311" s="244"/>
      <c r="K311" s="244"/>
      <c r="L311" s="244"/>
      <c r="M311" s="244"/>
      <c r="N311" s="227"/>
    </row>
    <row r="312" spans="1:14" ht="15.75">
      <c r="A312" s="403" t="s">
        <v>296</v>
      </c>
      <c r="B312" s="403"/>
      <c r="C312" s="403"/>
      <c r="D312" s="403"/>
      <c r="E312" s="403"/>
      <c r="F312" s="403"/>
      <c r="G312" s="403"/>
      <c r="H312" s="403"/>
      <c r="I312" s="403"/>
      <c r="J312" s="403"/>
      <c r="K312" s="403"/>
      <c r="L312" s="403"/>
      <c r="M312" s="403"/>
      <c r="N312" s="403"/>
    </row>
    <row r="313" spans="1:14" ht="15.75">
      <c r="E313" s="282"/>
      <c r="M313" s="244"/>
      <c r="N313" s="227"/>
    </row>
    <row r="314" spans="1:14">
      <c r="A314" s="376" t="s">
        <v>185</v>
      </c>
      <c r="B314" s="377"/>
      <c r="C314" s="378"/>
      <c r="D314" s="292" t="s">
        <v>186</v>
      </c>
      <c r="G314" s="299"/>
      <c r="K314" s="299"/>
      <c r="M314" s="244"/>
      <c r="N314" s="227"/>
    </row>
    <row r="315" spans="1:14">
      <c r="A315" s="379"/>
      <c r="B315" s="380"/>
      <c r="C315" s="381"/>
      <c r="D315" s="290"/>
      <c r="E315" s="291"/>
      <c r="G315" s="494"/>
      <c r="H315" s="494"/>
      <c r="I315" s="494"/>
      <c r="J315" s="494"/>
      <c r="K315" s="494"/>
      <c r="M315" s="244"/>
      <c r="N315" s="227"/>
    </row>
    <row r="316" spans="1:14" ht="13.5" thickBot="1">
      <c r="A316" s="387"/>
      <c r="C316" s="388"/>
      <c r="D316" s="290"/>
      <c r="E316" s="291"/>
      <c r="H316" s="404"/>
      <c r="K316" s="291"/>
      <c r="L316" s="320"/>
      <c r="M316" s="244"/>
      <c r="N316" s="227"/>
    </row>
    <row r="317" spans="1:14" ht="13.5" thickBot="1">
      <c r="A317" s="294" t="s">
        <v>167</v>
      </c>
      <c r="B317" s="296"/>
      <c r="C317" s="389"/>
      <c r="D317" s="488">
        <v>5649000</v>
      </c>
      <c r="E317" s="291"/>
      <c r="H317" s="404"/>
      <c r="K317" s="291"/>
      <c r="L317" s="320"/>
      <c r="M317" s="244"/>
      <c r="N317" s="227"/>
    </row>
    <row r="318" spans="1:14">
      <c r="A318" s="390" t="s">
        <v>168</v>
      </c>
      <c r="B318" s="391"/>
      <c r="C318" s="392"/>
      <c r="D318" s="393">
        <f>D317/12</f>
        <v>470750</v>
      </c>
      <c r="E318" s="291"/>
      <c r="K318" s="300"/>
      <c r="L318" s="320"/>
      <c r="M318" s="244"/>
      <c r="N318" s="227"/>
    </row>
    <row r="319" spans="1:14">
      <c r="C319" s="394"/>
      <c r="E319" s="291"/>
      <c r="J319" s="394"/>
      <c r="K319" s="300"/>
      <c r="L319" s="517"/>
      <c r="M319" s="244"/>
      <c r="N319" s="227"/>
    </row>
    <row r="320" spans="1:14">
      <c r="A320" s="258" t="s">
        <v>113</v>
      </c>
      <c r="B320" s="244"/>
      <c r="C320" s="244"/>
      <c r="D320" s="244"/>
      <c r="E320" s="244"/>
      <c r="F320" s="244"/>
      <c r="G320" s="244"/>
      <c r="H320" s="244"/>
      <c r="I320" s="244"/>
      <c r="J320" s="244"/>
      <c r="K320" s="244"/>
      <c r="L320" s="244"/>
      <c r="M320" s="244"/>
      <c r="N320" s="227"/>
    </row>
    <row r="321" spans="1:14">
      <c r="A321" s="328"/>
      <c r="B321" s="232" t="s">
        <v>44</v>
      </c>
      <c r="C321" s="232" t="s">
        <v>45</v>
      </c>
      <c r="D321" s="232" t="s">
        <v>46</v>
      </c>
      <c r="E321" s="232" t="s">
        <v>47</v>
      </c>
      <c r="F321" s="232" t="s">
        <v>48</v>
      </c>
      <c r="G321" s="232" t="s">
        <v>49</v>
      </c>
      <c r="H321" s="232" t="s">
        <v>38</v>
      </c>
      <c r="I321" s="232" t="s">
        <v>39</v>
      </c>
      <c r="J321" s="232" t="s">
        <v>40</v>
      </c>
      <c r="K321" s="232" t="s">
        <v>41</v>
      </c>
      <c r="L321" s="232" t="s">
        <v>42</v>
      </c>
      <c r="M321" s="232" t="s">
        <v>43</v>
      </c>
      <c r="N321" s="228"/>
    </row>
    <row r="322" spans="1:14">
      <c r="A322" s="231" t="s">
        <v>208</v>
      </c>
      <c r="B322" s="329">
        <f t="shared" ref="B322:M322" si="69">$D$318</f>
        <v>470750</v>
      </c>
      <c r="C322" s="329">
        <f t="shared" si="69"/>
        <v>470750</v>
      </c>
      <c r="D322" s="329">
        <f t="shared" si="69"/>
        <v>470750</v>
      </c>
      <c r="E322" s="329">
        <f t="shared" si="69"/>
        <v>470750</v>
      </c>
      <c r="F322" s="329">
        <f t="shared" si="69"/>
        <v>470750</v>
      </c>
      <c r="G322" s="329">
        <f t="shared" si="69"/>
        <v>470750</v>
      </c>
      <c r="H322" s="329">
        <f t="shared" si="69"/>
        <v>470750</v>
      </c>
      <c r="I322" s="329">
        <f t="shared" si="69"/>
        <v>470750</v>
      </c>
      <c r="J322" s="329">
        <f t="shared" si="69"/>
        <v>470750</v>
      </c>
      <c r="K322" s="329">
        <f t="shared" si="69"/>
        <v>470750</v>
      </c>
      <c r="L322" s="329">
        <f t="shared" si="69"/>
        <v>470750</v>
      </c>
      <c r="M322" s="329">
        <f t="shared" si="69"/>
        <v>470750</v>
      </c>
      <c r="N322" s="329">
        <f t="shared" ref="N322:N334" si="70">SUM(B322:M322)</f>
        <v>5649000</v>
      </c>
    </row>
    <row r="323" spans="1:14" ht="13.5" thickBot="1">
      <c r="A323" s="231"/>
      <c r="B323" s="329">
        <v>0</v>
      </c>
      <c r="C323" s="329">
        <v>0</v>
      </c>
      <c r="D323" s="329"/>
      <c r="E323" s="329"/>
      <c r="F323" s="329"/>
      <c r="G323" s="358"/>
      <c r="H323" s="329"/>
      <c r="I323" s="329"/>
      <c r="J323" s="329"/>
      <c r="K323" s="329"/>
      <c r="L323" s="329"/>
      <c r="M323" s="329"/>
      <c r="N323" s="329">
        <f t="shared" si="70"/>
        <v>0</v>
      </c>
    </row>
    <row r="324" spans="1:14" ht="13.5" thickBot="1">
      <c r="A324" s="333" t="s">
        <v>208</v>
      </c>
      <c r="B324" s="395">
        <f t="shared" ref="B324:M324" si="71">SUM(B322,B323)</f>
        <v>470750</v>
      </c>
      <c r="C324" s="395">
        <f t="shared" si="71"/>
        <v>470750</v>
      </c>
      <c r="D324" s="395">
        <f t="shared" si="71"/>
        <v>470750</v>
      </c>
      <c r="E324" s="395">
        <f t="shared" si="71"/>
        <v>470750</v>
      </c>
      <c r="F324" s="395">
        <f t="shared" si="71"/>
        <v>470750</v>
      </c>
      <c r="G324" s="395">
        <f t="shared" si="71"/>
        <v>470750</v>
      </c>
      <c r="H324" s="395">
        <f t="shared" si="71"/>
        <v>470750</v>
      </c>
      <c r="I324" s="395">
        <f t="shared" si="71"/>
        <v>470750</v>
      </c>
      <c r="J324" s="395">
        <f t="shared" si="71"/>
        <v>470750</v>
      </c>
      <c r="K324" s="395">
        <f t="shared" si="71"/>
        <v>470750</v>
      </c>
      <c r="L324" s="395">
        <f t="shared" si="71"/>
        <v>470750</v>
      </c>
      <c r="M324" s="395">
        <f t="shared" si="71"/>
        <v>470750</v>
      </c>
      <c r="N324" s="396">
        <f t="shared" si="70"/>
        <v>5649000</v>
      </c>
    </row>
    <row r="325" spans="1:14">
      <c r="A325" s="228" t="s">
        <v>209</v>
      </c>
      <c r="B325" s="330"/>
      <c r="C325" s="330"/>
      <c r="D325" s="330"/>
      <c r="E325" s="330"/>
      <c r="F325" s="330"/>
      <c r="G325" s="330"/>
      <c r="H325" s="330"/>
      <c r="I325" s="330"/>
      <c r="J325" s="330"/>
      <c r="K325" s="330"/>
      <c r="L325" s="330"/>
      <c r="M325" s="330"/>
      <c r="N325" s="330">
        <f t="shared" si="70"/>
        <v>0</v>
      </c>
    </row>
    <row r="326" spans="1:14">
      <c r="A326" s="349" t="s">
        <v>210</v>
      </c>
      <c r="B326" s="330">
        <v>10000</v>
      </c>
      <c r="C326" s="330"/>
      <c r="D326" s="330">
        <v>50000</v>
      </c>
      <c r="E326" s="330">
        <v>40000</v>
      </c>
      <c r="F326" s="330">
        <v>20000</v>
      </c>
      <c r="G326" s="330">
        <v>5000</v>
      </c>
      <c r="H326" s="330">
        <v>10000</v>
      </c>
      <c r="I326" s="330">
        <v>25000</v>
      </c>
      <c r="J326" s="330">
        <v>5000</v>
      </c>
      <c r="K326" s="330">
        <v>40000</v>
      </c>
      <c r="L326" s="330">
        <v>25000</v>
      </c>
      <c r="M326" s="330">
        <v>10000</v>
      </c>
      <c r="N326" s="330">
        <f t="shared" si="70"/>
        <v>240000</v>
      </c>
    </row>
    <row r="327" spans="1:14">
      <c r="A327" s="349" t="s">
        <v>211</v>
      </c>
      <c r="B327" s="330">
        <v>85600</v>
      </c>
      <c r="C327" s="330">
        <v>49425</v>
      </c>
      <c r="D327" s="330">
        <v>53400</v>
      </c>
      <c r="E327" s="330">
        <v>53150</v>
      </c>
      <c r="F327" s="330">
        <v>49150</v>
      </c>
      <c r="G327" s="330">
        <v>39350</v>
      </c>
      <c r="H327" s="330">
        <v>5975</v>
      </c>
      <c r="I327" s="330">
        <v>81475</v>
      </c>
      <c r="J327" s="330">
        <v>40675</v>
      </c>
      <c r="K327" s="330">
        <v>94700</v>
      </c>
      <c r="L327" s="330">
        <v>66075</v>
      </c>
      <c r="M327" s="330">
        <v>63725</v>
      </c>
      <c r="N327" s="330">
        <f t="shared" si="70"/>
        <v>682700</v>
      </c>
    </row>
    <row r="328" spans="1:14" ht="13.5" thickBot="1">
      <c r="A328" s="359" t="s">
        <v>208</v>
      </c>
      <c r="B328" s="344"/>
      <c r="C328" s="344"/>
      <c r="D328" s="344"/>
      <c r="E328" s="344"/>
      <c r="F328" s="344"/>
      <c r="G328" s="344"/>
      <c r="H328" s="344"/>
      <c r="I328" s="344"/>
      <c r="J328" s="344"/>
      <c r="K328" s="344"/>
      <c r="L328" s="344"/>
      <c r="M328" s="344"/>
      <c r="N328" s="330">
        <f t="shared" si="70"/>
        <v>0</v>
      </c>
    </row>
    <row r="329" spans="1:14" ht="13.5" thickBot="1">
      <c r="A329" s="360" t="s">
        <v>126</v>
      </c>
      <c r="B329" s="361">
        <f t="shared" ref="B329:M329" si="72">SUM(B325:B328)</f>
        <v>95600</v>
      </c>
      <c r="C329" s="361">
        <f t="shared" si="72"/>
        <v>49425</v>
      </c>
      <c r="D329" s="361">
        <f t="shared" si="72"/>
        <v>103400</v>
      </c>
      <c r="E329" s="361">
        <f t="shared" si="72"/>
        <v>93150</v>
      </c>
      <c r="F329" s="361">
        <f t="shared" si="72"/>
        <v>69150</v>
      </c>
      <c r="G329" s="361">
        <f t="shared" si="72"/>
        <v>44350</v>
      </c>
      <c r="H329" s="361">
        <f t="shared" si="72"/>
        <v>15975</v>
      </c>
      <c r="I329" s="361">
        <f t="shared" si="72"/>
        <v>106475</v>
      </c>
      <c r="J329" s="361">
        <f t="shared" si="72"/>
        <v>45675</v>
      </c>
      <c r="K329" s="361">
        <f t="shared" si="72"/>
        <v>134700</v>
      </c>
      <c r="L329" s="361">
        <f t="shared" si="72"/>
        <v>91075</v>
      </c>
      <c r="M329" s="361">
        <f t="shared" si="72"/>
        <v>73725</v>
      </c>
      <c r="N329" s="361">
        <f t="shared" si="70"/>
        <v>922700</v>
      </c>
    </row>
    <row r="330" spans="1:14">
      <c r="A330" s="228" t="s">
        <v>127</v>
      </c>
      <c r="B330" s="332"/>
      <c r="C330" s="332"/>
      <c r="D330" s="332"/>
      <c r="E330" s="332"/>
      <c r="F330" s="332"/>
      <c r="G330" s="398"/>
      <c r="H330" s="332"/>
      <c r="I330" s="332"/>
      <c r="J330" s="332"/>
      <c r="K330" s="332"/>
      <c r="L330" s="332"/>
      <c r="M330" s="332"/>
      <c r="N330" s="330">
        <f t="shared" si="70"/>
        <v>0</v>
      </c>
    </row>
    <row r="331" spans="1:14">
      <c r="A331" s="363" t="s">
        <v>129</v>
      </c>
      <c r="B331" s="405">
        <f t="shared" ref="B331:M331" si="73">SUM(B324+B329)</f>
        <v>566350</v>
      </c>
      <c r="C331" s="405">
        <f t="shared" si="73"/>
        <v>520175</v>
      </c>
      <c r="D331" s="405">
        <f t="shared" si="73"/>
        <v>574150</v>
      </c>
      <c r="E331" s="405">
        <f t="shared" si="73"/>
        <v>563900</v>
      </c>
      <c r="F331" s="405">
        <f t="shared" si="73"/>
        <v>539900</v>
      </c>
      <c r="G331" s="405">
        <f t="shared" si="73"/>
        <v>515100</v>
      </c>
      <c r="H331" s="405">
        <f t="shared" si="73"/>
        <v>486725</v>
      </c>
      <c r="I331" s="405">
        <f t="shared" si="73"/>
        <v>577225</v>
      </c>
      <c r="J331" s="405">
        <f t="shared" si="73"/>
        <v>516425</v>
      </c>
      <c r="K331" s="405">
        <f t="shared" si="73"/>
        <v>605450</v>
      </c>
      <c r="L331" s="405">
        <f t="shared" si="73"/>
        <v>561825</v>
      </c>
      <c r="M331" s="405">
        <f t="shared" si="73"/>
        <v>544475</v>
      </c>
      <c r="N331" s="405">
        <f t="shared" si="70"/>
        <v>6571700</v>
      </c>
    </row>
    <row r="332" spans="1:14">
      <c r="A332" s="400" t="s">
        <v>131</v>
      </c>
      <c r="B332" s="332">
        <v>471518</v>
      </c>
      <c r="C332" s="332">
        <v>483517</v>
      </c>
      <c r="D332" s="332">
        <v>472377</v>
      </c>
      <c r="E332" s="332">
        <v>573117</v>
      </c>
      <c r="F332" s="332">
        <v>488510</v>
      </c>
      <c r="G332" s="332">
        <v>462472</v>
      </c>
      <c r="H332" s="332">
        <v>427386</v>
      </c>
      <c r="I332" s="332">
        <v>466711</v>
      </c>
      <c r="J332" s="332">
        <v>496594</v>
      </c>
      <c r="K332" s="332">
        <v>437359</v>
      </c>
      <c r="L332" s="332">
        <v>500000</v>
      </c>
      <c r="M332" s="332">
        <v>500000</v>
      </c>
      <c r="N332" s="332">
        <f t="shared" si="70"/>
        <v>5779561</v>
      </c>
    </row>
    <row r="333" spans="1:14">
      <c r="A333" s="228" t="s">
        <v>130</v>
      </c>
      <c r="B333" s="329">
        <v>75000</v>
      </c>
      <c r="C333" s="329">
        <v>75000</v>
      </c>
      <c r="D333" s="329">
        <v>75000</v>
      </c>
      <c r="E333" s="329">
        <v>75000</v>
      </c>
      <c r="F333" s="329">
        <v>75000</v>
      </c>
      <c r="G333" s="329">
        <v>75000</v>
      </c>
      <c r="H333" s="329">
        <v>75000</v>
      </c>
      <c r="I333" s="329">
        <v>75000</v>
      </c>
      <c r="J333" s="329">
        <v>75000</v>
      </c>
      <c r="K333" s="329">
        <v>75000</v>
      </c>
      <c r="L333" s="329">
        <v>75000</v>
      </c>
      <c r="M333" s="329">
        <v>75000</v>
      </c>
      <c r="N333" s="332">
        <f t="shared" si="70"/>
        <v>900000</v>
      </c>
    </row>
    <row r="334" spans="1:14">
      <c r="A334" s="228" t="s">
        <v>212</v>
      </c>
      <c r="B334" s="329"/>
      <c r="C334" s="329"/>
      <c r="D334" s="329"/>
      <c r="E334" s="329"/>
      <c r="F334" s="329"/>
      <c r="G334" s="329"/>
      <c r="H334" s="329"/>
      <c r="I334" s="329"/>
      <c r="J334" s="329"/>
      <c r="K334" s="329"/>
      <c r="L334" s="329"/>
      <c r="M334" s="329"/>
      <c r="N334" s="332">
        <f t="shared" si="70"/>
        <v>0</v>
      </c>
    </row>
    <row r="335" spans="1:14">
      <c r="A335" s="367" t="s">
        <v>146</v>
      </c>
      <c r="B335" s="368">
        <f>B331-SUM(B332:B334)</f>
        <v>19832</v>
      </c>
      <c r="C335" s="368">
        <f t="shared" ref="C335:N335" si="74">C331-SUM(C332:C334)</f>
        <v>-38342</v>
      </c>
      <c r="D335" s="368">
        <f t="shared" si="74"/>
        <v>26773</v>
      </c>
      <c r="E335" s="368">
        <f t="shared" si="74"/>
        <v>-84217</v>
      </c>
      <c r="F335" s="368">
        <f t="shared" si="74"/>
        <v>-23610</v>
      </c>
      <c r="G335" s="368">
        <f t="shared" si="74"/>
        <v>-22372</v>
      </c>
      <c r="H335" s="368">
        <f t="shared" si="74"/>
        <v>-15661</v>
      </c>
      <c r="I335" s="368">
        <f t="shared" si="74"/>
        <v>35514</v>
      </c>
      <c r="J335" s="368">
        <f t="shared" si="74"/>
        <v>-55169</v>
      </c>
      <c r="K335" s="368">
        <f t="shared" si="74"/>
        <v>93091</v>
      </c>
      <c r="L335" s="368">
        <f t="shared" si="74"/>
        <v>-13175</v>
      </c>
      <c r="M335" s="368">
        <f t="shared" si="74"/>
        <v>-30525</v>
      </c>
      <c r="N335" s="368">
        <f t="shared" si="74"/>
        <v>-107861</v>
      </c>
    </row>
    <row r="336" spans="1:14">
      <c r="A336" s="406"/>
      <c r="B336" s="407"/>
      <c r="C336" s="407"/>
      <c r="D336" s="407"/>
      <c r="E336" s="407"/>
      <c r="F336" s="407"/>
      <c r="G336" s="407"/>
      <c r="H336" s="407"/>
      <c r="I336" s="407"/>
      <c r="J336" s="407"/>
      <c r="K336" s="407"/>
      <c r="L336" s="407"/>
      <c r="M336" s="407"/>
      <c r="N336" s="407"/>
    </row>
    <row r="338" spans="1:2">
      <c r="A338" s="525" t="s">
        <v>213</v>
      </c>
      <c r="B338" s="226">
        <v>2405</v>
      </c>
    </row>
  </sheetData>
  <mergeCells count="5">
    <mergeCell ref="A1:N1"/>
    <mergeCell ref="A57:N57"/>
    <mergeCell ref="A131:N131"/>
    <mergeCell ref="A190:N190"/>
    <mergeCell ref="A273:N273"/>
  </mergeCells>
  <pageMargins left="0.19685039370078741" right="0" top="0.19685039370078741" bottom="0.19685039370078741" header="0.51181102362204722" footer="0.51181102362204722"/>
  <pageSetup paperSize="9" scale="80" orientation="landscape" horizontalDpi="4294967293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24">
    <tabColor indexed="39"/>
  </sheetPr>
  <dimension ref="A1:Q328"/>
  <sheetViews>
    <sheetView topLeftCell="A136" zoomScale="75" zoomScaleNormal="75" workbookViewId="0" xr3:uid="{C67EF94B-0B3B-5838-830C-E3A509766221}">
      <selection activeCell="I118" sqref="I118"/>
    </sheetView>
  </sheetViews>
  <sheetFormatPr defaultColWidth="9.140625" defaultRowHeight="12.75"/>
  <cols>
    <col min="1" max="1" width="23.85546875" style="226" customWidth="1"/>
    <col min="2" max="2" width="11.140625" style="226" customWidth="1"/>
    <col min="3" max="5" width="11.7109375" style="226" customWidth="1"/>
    <col min="6" max="6" width="12.28515625" style="226" customWidth="1"/>
    <col min="7" max="7" width="11.140625" style="226" bestFit="1" customWidth="1"/>
    <col min="8" max="8" width="12.28515625" style="226" customWidth="1"/>
    <col min="9" max="9" width="13" style="226" customWidth="1"/>
    <col min="10" max="10" width="12.5703125" style="226" customWidth="1"/>
    <col min="11" max="11" width="12.140625" style="226" customWidth="1"/>
    <col min="12" max="12" width="11.140625" style="226" customWidth="1"/>
    <col min="13" max="13" width="13.5703125" style="226" customWidth="1"/>
    <col min="14" max="14" width="12" style="226" customWidth="1"/>
    <col min="15" max="16384" width="9.140625" style="226"/>
  </cols>
  <sheetData>
    <row r="1" spans="1:14" ht="20.25">
      <c r="A1" s="822" t="s">
        <v>297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</row>
    <row r="2" spans="1:14">
      <c r="A2" s="227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</row>
    <row r="3" spans="1:14">
      <c r="A3" s="228"/>
      <c r="B3" s="229" t="s">
        <v>44</v>
      </c>
      <c r="C3" s="229" t="s">
        <v>45</v>
      </c>
      <c r="D3" s="230" t="s">
        <v>46</v>
      </c>
      <c r="E3" s="229" t="s">
        <v>47</v>
      </c>
      <c r="F3" s="229" t="s">
        <v>48</v>
      </c>
      <c r="G3" s="230" t="s">
        <v>49</v>
      </c>
      <c r="H3" s="229" t="s">
        <v>38</v>
      </c>
      <c r="I3" s="229" t="s">
        <v>39</v>
      </c>
      <c r="J3" s="229" t="s">
        <v>40</v>
      </c>
      <c r="K3" s="229" t="s">
        <v>41</v>
      </c>
      <c r="L3" s="229" t="s">
        <v>42</v>
      </c>
      <c r="M3" s="229" t="s">
        <v>43</v>
      </c>
      <c r="N3" s="228" t="s">
        <v>64</v>
      </c>
    </row>
    <row r="4" spans="1:14">
      <c r="A4" s="231" t="s">
        <v>65</v>
      </c>
      <c r="B4" s="232">
        <v>7054.52</v>
      </c>
      <c r="C4" s="232">
        <v>6894</v>
      </c>
      <c r="D4" s="232">
        <v>6894</v>
      </c>
      <c r="E4" s="232">
        <v>6894</v>
      </c>
      <c r="F4" s="232">
        <v>6894</v>
      </c>
      <c r="G4" s="232">
        <v>6894</v>
      </c>
      <c r="H4" s="232">
        <v>6894</v>
      </c>
      <c r="I4" s="232">
        <v>6894</v>
      </c>
      <c r="J4" s="232">
        <v>6894</v>
      </c>
      <c r="K4" s="232">
        <v>6894</v>
      </c>
      <c r="L4" s="232">
        <v>6894</v>
      </c>
      <c r="M4" s="232">
        <v>6894</v>
      </c>
      <c r="N4" s="232">
        <f t="shared" ref="N4:N16" si="0">SUM(B4:M4)</f>
        <v>82888.52</v>
      </c>
    </row>
    <row r="5" spans="1:14">
      <c r="A5" s="231" t="s">
        <v>66</v>
      </c>
      <c r="B5" s="232">
        <v>16</v>
      </c>
      <c r="C5" s="232">
        <v>37.25</v>
      </c>
      <c r="D5" s="232">
        <v>100.25</v>
      </c>
      <c r="E5" s="232">
        <v>59.5</v>
      </c>
      <c r="F5" s="232">
        <v>54</v>
      </c>
      <c r="G5" s="233">
        <v>82</v>
      </c>
      <c r="H5" s="232">
        <v>199.5</v>
      </c>
      <c r="I5" s="232">
        <v>149.5</v>
      </c>
      <c r="J5" s="234">
        <v>130.5</v>
      </c>
      <c r="K5" s="232">
        <v>7.75</v>
      </c>
      <c r="L5" s="232"/>
      <c r="M5" s="232"/>
      <c r="N5" s="232">
        <f t="shared" si="0"/>
        <v>836.25</v>
      </c>
    </row>
    <row r="6" spans="1:14">
      <c r="A6" s="231" t="s">
        <v>67</v>
      </c>
      <c r="B6" s="232">
        <v>548.5</v>
      </c>
      <c r="C6" s="232"/>
      <c r="D6" s="232"/>
      <c r="E6" s="232"/>
      <c r="F6" s="232"/>
      <c r="G6" s="233"/>
      <c r="H6" s="232"/>
      <c r="I6" s="232"/>
      <c r="J6" s="232"/>
      <c r="K6" s="232"/>
      <c r="L6" s="232"/>
      <c r="M6" s="228"/>
      <c r="N6" s="232">
        <f t="shared" si="0"/>
        <v>548.5</v>
      </c>
    </row>
    <row r="7" spans="1:14">
      <c r="A7" s="231" t="s">
        <v>68</v>
      </c>
      <c r="B7" s="232">
        <v>4.5</v>
      </c>
      <c r="C7" s="232">
        <v>14.5</v>
      </c>
      <c r="D7" s="232">
        <v>17</v>
      </c>
      <c r="E7" s="232">
        <v>20</v>
      </c>
      <c r="F7" s="232">
        <v>7.25</v>
      </c>
      <c r="G7" s="233">
        <v>18</v>
      </c>
      <c r="H7" s="232"/>
      <c r="I7" s="232">
        <v>18.5</v>
      </c>
      <c r="J7" s="232">
        <v>5.5</v>
      </c>
      <c r="K7" s="232">
        <v>29</v>
      </c>
      <c r="L7" s="232"/>
      <c r="M7" s="228"/>
      <c r="N7" s="232">
        <f t="shared" si="0"/>
        <v>134.25</v>
      </c>
    </row>
    <row r="8" spans="1:14">
      <c r="A8" s="231" t="s">
        <v>69</v>
      </c>
      <c r="B8" s="232">
        <v>361.5</v>
      </c>
      <c r="C8" s="232">
        <v>494</v>
      </c>
      <c r="D8" s="232">
        <v>772.5</v>
      </c>
      <c r="E8" s="232">
        <v>486.5</v>
      </c>
      <c r="F8" s="232">
        <v>98.25</v>
      </c>
      <c r="G8" s="233">
        <v>885.75</v>
      </c>
      <c r="H8" s="232">
        <v>1624.25</v>
      </c>
      <c r="I8" s="232">
        <v>1477.75</v>
      </c>
      <c r="J8" s="232">
        <v>829.25</v>
      </c>
      <c r="K8" s="232">
        <v>538.25</v>
      </c>
      <c r="L8" s="232"/>
      <c r="M8" s="232"/>
      <c r="N8" s="232">
        <f t="shared" si="0"/>
        <v>7568</v>
      </c>
    </row>
    <row r="9" spans="1:14">
      <c r="A9" s="231" t="s">
        <v>70</v>
      </c>
      <c r="B9" s="232"/>
      <c r="C9" s="232">
        <v>105.75</v>
      </c>
      <c r="D9" s="232"/>
      <c r="E9" s="232">
        <v>202</v>
      </c>
      <c r="F9" s="232">
        <v>12</v>
      </c>
      <c r="G9" s="233">
        <v>10.5</v>
      </c>
      <c r="H9" s="232"/>
      <c r="I9" s="232"/>
      <c r="J9" s="232"/>
      <c r="K9" s="232">
        <v>23.25</v>
      </c>
      <c r="L9" s="232"/>
      <c r="M9" s="232"/>
      <c r="N9" s="232">
        <f t="shared" si="0"/>
        <v>353.5</v>
      </c>
    </row>
    <row r="10" spans="1:14">
      <c r="A10" s="231" t="s">
        <v>71</v>
      </c>
      <c r="B10" s="232">
        <v>202.75</v>
      </c>
      <c r="C10" s="232">
        <v>216.75</v>
      </c>
      <c r="D10" s="232">
        <v>288.5</v>
      </c>
      <c r="E10" s="232">
        <v>178</v>
      </c>
      <c r="F10" s="232">
        <v>193</v>
      </c>
      <c r="G10" s="233">
        <v>235</v>
      </c>
      <c r="H10" s="232">
        <v>181.75</v>
      </c>
      <c r="I10" s="232">
        <v>212</v>
      </c>
      <c r="J10" s="232">
        <v>313.25</v>
      </c>
      <c r="K10" s="232">
        <v>55</v>
      </c>
      <c r="L10" s="232"/>
      <c r="M10" s="232"/>
      <c r="N10" s="232">
        <f t="shared" si="0"/>
        <v>2076</v>
      </c>
    </row>
    <row r="11" spans="1:14">
      <c r="A11" s="231" t="s">
        <v>72</v>
      </c>
      <c r="B11" s="232">
        <v>7.75</v>
      </c>
      <c r="C11" s="232"/>
      <c r="D11" s="232"/>
      <c r="E11" s="232"/>
      <c r="F11" s="232"/>
      <c r="G11" s="233"/>
      <c r="H11" s="232"/>
      <c r="I11" s="232"/>
      <c r="J11" s="232"/>
      <c r="K11" s="232"/>
      <c r="L11" s="232"/>
      <c r="M11" s="232"/>
      <c r="N11" s="232">
        <f t="shared" si="0"/>
        <v>7.75</v>
      </c>
    </row>
    <row r="12" spans="1:14">
      <c r="A12" s="231" t="s">
        <v>73</v>
      </c>
      <c r="B12" s="232">
        <v>389.5</v>
      </c>
      <c r="C12" s="232">
        <v>235.75</v>
      </c>
      <c r="D12" s="232">
        <v>352.75</v>
      </c>
      <c r="E12" s="232">
        <v>319.5</v>
      </c>
      <c r="F12" s="232">
        <v>547.25</v>
      </c>
      <c r="G12" s="233">
        <v>329.75</v>
      </c>
      <c r="H12" s="232">
        <v>66.5</v>
      </c>
      <c r="I12" s="232">
        <v>221.25</v>
      </c>
      <c r="J12" s="232">
        <v>224</v>
      </c>
      <c r="K12" s="232">
        <v>530.5</v>
      </c>
      <c r="L12" s="232"/>
      <c r="M12" s="232"/>
      <c r="N12" s="232">
        <f t="shared" si="0"/>
        <v>3216.75</v>
      </c>
    </row>
    <row r="13" spans="1:14">
      <c r="A13" s="231" t="s">
        <v>74</v>
      </c>
      <c r="B13" s="232"/>
      <c r="C13" s="232"/>
      <c r="D13" s="232"/>
      <c r="E13" s="232"/>
      <c r="F13" s="232"/>
      <c r="G13" s="233"/>
      <c r="H13" s="232"/>
      <c r="I13" s="232">
        <v>84.25</v>
      </c>
      <c r="J13" s="232">
        <v>126.25</v>
      </c>
      <c r="K13" s="232">
        <v>92</v>
      </c>
      <c r="L13" s="232"/>
      <c r="M13" s="232"/>
      <c r="N13" s="232">
        <f t="shared" si="0"/>
        <v>302.5</v>
      </c>
    </row>
    <row r="14" spans="1:14">
      <c r="A14" s="231" t="s">
        <v>75</v>
      </c>
      <c r="B14" s="232">
        <v>122.75</v>
      </c>
      <c r="C14" s="232">
        <v>232.5</v>
      </c>
      <c r="D14" s="232">
        <v>54</v>
      </c>
      <c r="E14" s="232">
        <v>101.5</v>
      </c>
      <c r="F14" s="232">
        <v>115</v>
      </c>
      <c r="G14" s="233">
        <v>61.25</v>
      </c>
      <c r="H14" s="232"/>
      <c r="I14" s="232">
        <v>37</v>
      </c>
      <c r="J14" s="232">
        <v>7</v>
      </c>
      <c r="K14" s="232">
        <v>137.5</v>
      </c>
      <c r="L14" s="232"/>
      <c r="M14" s="232"/>
      <c r="N14" s="232">
        <f t="shared" si="0"/>
        <v>868.5</v>
      </c>
    </row>
    <row r="15" spans="1:14" ht="13.5" thickBot="1">
      <c r="A15" s="235" t="s">
        <v>76</v>
      </c>
      <c r="B15" s="236"/>
      <c r="C15" s="236"/>
      <c r="D15" s="236"/>
      <c r="E15" s="236"/>
      <c r="F15" s="236"/>
      <c r="G15" s="237">
        <v>22.25</v>
      </c>
      <c r="H15" s="236"/>
      <c r="I15" s="236"/>
      <c r="J15" s="236"/>
      <c r="K15" s="236"/>
      <c r="L15" s="236"/>
      <c r="M15" s="236"/>
      <c r="N15" s="238">
        <f t="shared" si="0"/>
        <v>22.25</v>
      </c>
    </row>
    <row r="16" spans="1:14" ht="13.5" thickBot="1">
      <c r="A16" s="239" t="s">
        <v>77</v>
      </c>
      <c r="B16" s="240">
        <f>SUM(B4+B5+B6-B7-B8-B9-B10-B12-B13-B14-B15)</f>
        <v>6538.02</v>
      </c>
      <c r="C16" s="240">
        <f t="shared" ref="C16:M16" si="1">SUM(C4+C5+C6+C7-C8-C9-C10-C12-C13-C14-C15)</f>
        <v>5661</v>
      </c>
      <c r="D16" s="240">
        <f t="shared" si="1"/>
        <v>5543.5</v>
      </c>
      <c r="E16" s="240">
        <f t="shared" si="1"/>
        <v>5686</v>
      </c>
      <c r="F16" s="240">
        <f t="shared" si="1"/>
        <v>5989.75</v>
      </c>
      <c r="G16" s="240">
        <f t="shared" si="1"/>
        <v>5449.5</v>
      </c>
      <c r="H16" s="240">
        <f t="shared" si="1"/>
        <v>5221</v>
      </c>
      <c r="I16" s="240">
        <f t="shared" si="1"/>
        <v>5029.75</v>
      </c>
      <c r="J16" s="240">
        <f t="shared" si="1"/>
        <v>5530.25</v>
      </c>
      <c r="K16" s="240">
        <f t="shared" si="1"/>
        <v>5554.25</v>
      </c>
      <c r="L16" s="240">
        <f t="shared" si="1"/>
        <v>6894</v>
      </c>
      <c r="M16" s="241">
        <f t="shared" si="1"/>
        <v>6894</v>
      </c>
      <c r="N16" s="242">
        <f t="shared" si="0"/>
        <v>69991.02</v>
      </c>
    </row>
    <row r="17" spans="1:14">
      <c r="A17" s="243"/>
      <c r="B17" s="244"/>
      <c r="C17" s="244"/>
      <c r="D17" s="244"/>
      <c r="E17" s="244"/>
      <c r="F17" s="244"/>
      <c r="G17" s="244"/>
      <c r="H17" s="244"/>
      <c r="I17" s="244"/>
      <c r="J17" s="244"/>
      <c r="K17" s="244"/>
      <c r="L17" s="244"/>
      <c r="M17" s="244"/>
      <c r="N17" s="244"/>
    </row>
    <row r="18" spans="1:14">
      <c r="A18" s="243"/>
      <c r="B18" s="244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5" t="s">
        <v>78</v>
      </c>
    </row>
    <row r="19" spans="1:14">
      <c r="A19" s="231" t="s">
        <v>79</v>
      </c>
      <c r="B19" s="232">
        <f t="shared" ref="B19:M19" si="2">SUM(B5*100/B16)</f>
        <v>0.2447224083132202</v>
      </c>
      <c r="C19" s="232">
        <f t="shared" si="2"/>
        <v>0.65801095212859917</v>
      </c>
      <c r="D19" s="232">
        <f t="shared" si="2"/>
        <v>1.8084242806890953</v>
      </c>
      <c r="E19" s="232">
        <f t="shared" si="2"/>
        <v>1.046429827646852</v>
      </c>
      <c r="F19" s="232">
        <f t="shared" si="2"/>
        <v>0.90154013105722275</v>
      </c>
      <c r="G19" s="232">
        <f t="shared" si="2"/>
        <v>1.5047252041471695</v>
      </c>
      <c r="H19" s="232">
        <f t="shared" si="2"/>
        <v>3.8211070676115688</v>
      </c>
      <c r="I19" s="232">
        <f t="shared" si="2"/>
        <v>2.9723147273721358</v>
      </c>
      <c r="J19" s="232">
        <f t="shared" si="2"/>
        <v>2.3597486551240903</v>
      </c>
      <c r="K19" s="232">
        <f t="shared" si="2"/>
        <v>0.13953279020569834</v>
      </c>
      <c r="L19" s="232">
        <f t="shared" si="2"/>
        <v>0</v>
      </c>
      <c r="M19" s="232">
        <f t="shared" si="2"/>
        <v>0</v>
      </c>
      <c r="N19" s="246">
        <f>SUM(B19:M19)/12</f>
        <v>1.2880463370246378</v>
      </c>
    </row>
    <row r="20" spans="1:14">
      <c r="A20" s="243"/>
      <c r="B20" s="244"/>
      <c r="C20" s="244"/>
      <c r="D20" s="244"/>
      <c r="E20" s="244"/>
      <c r="F20" s="244"/>
      <c r="G20" s="244"/>
      <c r="H20" s="244"/>
      <c r="I20" s="244"/>
      <c r="J20" s="244"/>
      <c r="K20" s="244"/>
      <c r="L20" s="244"/>
      <c r="M20" s="244"/>
      <c r="N20" s="227"/>
    </row>
    <row r="21" spans="1:14">
      <c r="A21" s="231" t="s">
        <v>80</v>
      </c>
      <c r="B21" s="232">
        <f t="shared" ref="B21:M21" si="3">SUM(B10*100/B16)</f>
        <v>3.1010917678440872</v>
      </c>
      <c r="C21" s="232">
        <f t="shared" si="3"/>
        <v>3.8288288288288288</v>
      </c>
      <c r="D21" s="232">
        <f t="shared" si="3"/>
        <v>5.2042933164967984</v>
      </c>
      <c r="E21" s="232">
        <f t="shared" si="3"/>
        <v>3.1304959549771367</v>
      </c>
      <c r="F21" s="232">
        <f t="shared" si="3"/>
        <v>3.2221712091489629</v>
      </c>
      <c r="G21" s="232">
        <f t="shared" si="3"/>
        <v>4.3123222313973759</v>
      </c>
      <c r="H21" s="232">
        <f t="shared" si="3"/>
        <v>3.4811338823980083</v>
      </c>
      <c r="I21" s="232">
        <f t="shared" si="3"/>
        <v>4.2149212187484464</v>
      </c>
      <c r="J21" s="232">
        <f t="shared" si="3"/>
        <v>5.6643008905564844</v>
      </c>
      <c r="K21" s="232">
        <f t="shared" si="3"/>
        <v>0.9902327046856011</v>
      </c>
      <c r="L21" s="232">
        <f t="shared" si="3"/>
        <v>0</v>
      </c>
      <c r="M21" s="232">
        <f t="shared" si="3"/>
        <v>0</v>
      </c>
      <c r="N21" s="246">
        <f>SUM(B21:M21)/12</f>
        <v>3.0958160004234778</v>
      </c>
    </row>
    <row r="22" spans="1:14" ht="13.5" thickBot="1">
      <c r="A22" s="247" t="s">
        <v>81</v>
      </c>
      <c r="B22" s="238">
        <f t="shared" ref="B22:M22" si="4">SUM(B11*100/B16)</f>
        <v>0.11853741652671602</v>
      </c>
      <c r="C22" s="238">
        <f t="shared" si="4"/>
        <v>0</v>
      </c>
      <c r="D22" s="238">
        <f t="shared" si="4"/>
        <v>0</v>
      </c>
      <c r="E22" s="238">
        <f t="shared" si="4"/>
        <v>0</v>
      </c>
      <c r="F22" s="238">
        <f t="shared" si="4"/>
        <v>0</v>
      </c>
      <c r="G22" s="238">
        <f t="shared" si="4"/>
        <v>0</v>
      </c>
      <c r="H22" s="238">
        <f t="shared" si="4"/>
        <v>0</v>
      </c>
      <c r="I22" s="238">
        <f t="shared" si="4"/>
        <v>0</v>
      </c>
      <c r="J22" s="238">
        <f t="shared" si="4"/>
        <v>0</v>
      </c>
      <c r="K22" s="238">
        <f t="shared" si="4"/>
        <v>0</v>
      </c>
      <c r="L22" s="238">
        <f t="shared" si="4"/>
        <v>0</v>
      </c>
      <c r="M22" s="238">
        <f t="shared" si="4"/>
        <v>0</v>
      </c>
      <c r="N22" s="248">
        <f>SUM(B22:M22)/12</f>
        <v>9.878118043893002E-3</v>
      </c>
    </row>
    <row r="23" spans="1:14" ht="13.5" thickBot="1">
      <c r="A23" s="249" t="s">
        <v>82</v>
      </c>
      <c r="B23" s="250">
        <f t="shared" ref="B23:M23" si="5">SUM(B21:B21)</f>
        <v>3.1010917678440872</v>
      </c>
      <c r="C23" s="250">
        <f t="shared" si="5"/>
        <v>3.8288288288288288</v>
      </c>
      <c r="D23" s="250">
        <f t="shared" si="5"/>
        <v>5.2042933164967984</v>
      </c>
      <c r="E23" s="250">
        <f t="shared" si="5"/>
        <v>3.1304959549771367</v>
      </c>
      <c r="F23" s="250">
        <f t="shared" si="5"/>
        <v>3.2221712091489629</v>
      </c>
      <c r="G23" s="250">
        <f t="shared" si="5"/>
        <v>4.3123222313973759</v>
      </c>
      <c r="H23" s="250">
        <f t="shared" si="5"/>
        <v>3.4811338823980083</v>
      </c>
      <c r="I23" s="250">
        <f t="shared" si="5"/>
        <v>4.2149212187484464</v>
      </c>
      <c r="J23" s="250">
        <f t="shared" si="5"/>
        <v>5.6643008905564844</v>
      </c>
      <c r="K23" s="250">
        <f t="shared" si="5"/>
        <v>0.9902327046856011</v>
      </c>
      <c r="L23" s="250">
        <f t="shared" si="5"/>
        <v>0</v>
      </c>
      <c r="M23" s="250">
        <f t="shared" si="5"/>
        <v>0</v>
      </c>
      <c r="N23" s="251">
        <f>SUM(N21:N22)</f>
        <v>3.1056941184673708</v>
      </c>
    </row>
    <row r="24" spans="1:14">
      <c r="A24" s="243" t="s">
        <v>83</v>
      </c>
      <c r="B24" s="244"/>
      <c r="C24" s="244"/>
      <c r="D24" s="252">
        <f>SUM(B23:D23)/3</f>
        <v>4.0447379710565716</v>
      </c>
      <c r="E24" s="244"/>
      <c r="F24" s="244"/>
      <c r="G24" s="252">
        <f>SUM(E23,F23,G23)/3</f>
        <v>3.5549964651744919</v>
      </c>
      <c r="H24" s="244"/>
      <c r="I24" s="244"/>
      <c r="J24" s="252">
        <f>SUM(H23,I23,J23)/3</f>
        <v>4.4534519972343132</v>
      </c>
      <c r="K24" s="244"/>
      <c r="L24" s="244"/>
      <c r="M24" s="252">
        <f>SUM(K23,L23,M23)/3</f>
        <v>0.33007756822853368</v>
      </c>
      <c r="N24" s="253">
        <f>SUM(D24:M24)/4</f>
        <v>3.0958160004234778</v>
      </c>
    </row>
    <row r="25" spans="1:14">
      <c r="A25" s="243" t="s">
        <v>84</v>
      </c>
      <c r="B25" s="244"/>
      <c r="C25" s="244"/>
      <c r="D25" s="254"/>
      <c r="E25" s="244"/>
      <c r="F25" s="244"/>
      <c r="G25" s="254"/>
      <c r="H25" s="244"/>
      <c r="I25" s="244"/>
      <c r="J25" s="254"/>
      <c r="K25" s="244"/>
      <c r="L25" s="244"/>
      <c r="M25" s="254"/>
      <c r="N25" s="246">
        <f>SUM(D25:G25,J25,M25)/4</f>
        <v>0</v>
      </c>
    </row>
    <row r="26" spans="1:14">
      <c r="A26" s="243"/>
      <c r="B26" s="244"/>
      <c r="C26" s="244"/>
      <c r="D26" s="244"/>
      <c r="E26" s="244"/>
      <c r="F26" s="244"/>
      <c r="G26" s="244"/>
      <c r="H26" s="244"/>
      <c r="I26" s="244"/>
      <c r="J26" s="244"/>
      <c r="K26" s="244"/>
      <c r="L26" s="244"/>
      <c r="M26" s="244"/>
      <c r="N26" s="244"/>
    </row>
    <row r="27" spans="1:14">
      <c r="A27" s="231" t="s">
        <v>85</v>
      </c>
      <c r="B27" s="232">
        <f t="shared" ref="B27:M27" si="6">B14*100/B16</f>
        <v>1.8774797262779861</v>
      </c>
      <c r="C27" s="232">
        <f t="shared" si="6"/>
        <v>4.1070482246952835</v>
      </c>
      <c r="D27" s="232">
        <f t="shared" si="6"/>
        <v>0.97411382700460003</v>
      </c>
      <c r="E27" s="232">
        <f t="shared" si="6"/>
        <v>1.7850861765740416</v>
      </c>
      <c r="F27" s="232">
        <f t="shared" si="6"/>
        <v>1.919946575399641</v>
      </c>
      <c r="G27" s="232">
        <f t="shared" si="6"/>
        <v>1.1239563262684651</v>
      </c>
      <c r="H27" s="232">
        <f t="shared" si="6"/>
        <v>0</v>
      </c>
      <c r="I27" s="232">
        <f t="shared" si="6"/>
        <v>0.73562304289477609</v>
      </c>
      <c r="J27" s="232">
        <f t="shared" si="6"/>
        <v>0.12657655621355274</v>
      </c>
      <c r="K27" s="232">
        <f t="shared" si="6"/>
        <v>2.4755817617140026</v>
      </c>
      <c r="L27" s="232">
        <f t="shared" si="6"/>
        <v>0</v>
      </c>
      <c r="M27" s="232">
        <f t="shared" si="6"/>
        <v>0</v>
      </c>
      <c r="N27" s="246">
        <f>SUM(B27:M27)/12</f>
        <v>1.2604510180868622</v>
      </c>
    </row>
    <row r="28" spans="1:14">
      <c r="A28" s="231" t="s">
        <v>86</v>
      </c>
      <c r="B28" s="232">
        <f t="shared" ref="B28:M28" si="7">B12*100/B16</f>
        <v>5.9574611273749545</v>
      </c>
      <c r="C28" s="232">
        <f t="shared" si="7"/>
        <v>4.1644585762232822</v>
      </c>
      <c r="D28" s="232">
        <f t="shared" si="7"/>
        <v>6.3633083791828264</v>
      </c>
      <c r="E28" s="232">
        <f t="shared" si="7"/>
        <v>5.6190643686246924</v>
      </c>
      <c r="F28" s="232">
        <f t="shared" si="7"/>
        <v>9.1364414207604661</v>
      </c>
      <c r="G28" s="232">
        <f t="shared" si="7"/>
        <v>6.0510138544820622</v>
      </c>
      <c r="H28" s="232">
        <f t="shared" si="7"/>
        <v>1.2737023558705229</v>
      </c>
      <c r="I28" s="232">
        <f t="shared" si="7"/>
        <v>4.3988269794721404</v>
      </c>
      <c r="J28" s="232">
        <f t="shared" si="7"/>
        <v>4.0504497988336876</v>
      </c>
      <c r="K28" s="232">
        <f t="shared" si="7"/>
        <v>9.5512445424674794</v>
      </c>
      <c r="L28" s="232">
        <f t="shared" si="7"/>
        <v>0</v>
      </c>
      <c r="M28" s="232">
        <f t="shared" si="7"/>
        <v>0</v>
      </c>
      <c r="N28" s="246">
        <f>SUM(B28:M28)/12</f>
        <v>4.7138309502743434</v>
      </c>
    </row>
    <row r="29" spans="1:14" ht="13.5" thickBot="1">
      <c r="A29" s="231" t="s">
        <v>87</v>
      </c>
      <c r="B29" s="232">
        <f t="shared" ref="B29:M29" si="8">B8*100/B16</f>
        <v>5.5291969128268184</v>
      </c>
      <c r="C29" s="232">
        <f t="shared" si="8"/>
        <v>8.7263734322557855</v>
      </c>
      <c r="D29" s="232">
        <f t="shared" si="8"/>
        <v>13.935239469649138</v>
      </c>
      <c r="E29" s="232">
        <f t="shared" si="8"/>
        <v>8.5561027084066126</v>
      </c>
      <c r="F29" s="232">
        <f t="shared" si="8"/>
        <v>1.6403021828957802</v>
      </c>
      <c r="G29" s="232">
        <f t="shared" si="8"/>
        <v>16.253784750894578</v>
      </c>
      <c r="H29" s="232">
        <f t="shared" si="8"/>
        <v>31.109940624401457</v>
      </c>
      <c r="I29" s="232">
        <f t="shared" si="8"/>
        <v>29.380187882101495</v>
      </c>
      <c r="J29" s="232">
        <f t="shared" si="8"/>
        <v>14.994801320012657</v>
      </c>
      <c r="K29" s="232">
        <f t="shared" si="8"/>
        <v>9.6907773326731785</v>
      </c>
      <c r="L29" s="232">
        <f t="shared" si="8"/>
        <v>0</v>
      </c>
      <c r="M29" s="232">
        <f t="shared" si="8"/>
        <v>0</v>
      </c>
      <c r="N29" s="246">
        <f>SUM(B29:M29)/12</f>
        <v>11.651392218009791</v>
      </c>
    </row>
    <row r="30" spans="1:14" ht="13.5" thickBot="1">
      <c r="A30" s="255" t="s">
        <v>88</v>
      </c>
      <c r="B30" s="256">
        <f t="shared" ref="B30:M30" si="9">SUM(B4-B16)*100/B16</f>
        <v>7.899945243361139</v>
      </c>
      <c r="C30" s="256">
        <f t="shared" si="9"/>
        <v>21.78060413354531</v>
      </c>
      <c r="D30" s="256">
        <f t="shared" si="9"/>
        <v>24.361865247587264</v>
      </c>
      <c r="E30" s="256">
        <f t="shared" si="9"/>
        <v>21.245163559620121</v>
      </c>
      <c r="F30" s="256">
        <f t="shared" si="9"/>
        <v>15.096623398305438</v>
      </c>
      <c r="G30" s="256">
        <f t="shared" si="9"/>
        <v>26.507018992568124</v>
      </c>
      <c r="H30" s="256">
        <f t="shared" si="9"/>
        <v>32.04366979505842</v>
      </c>
      <c r="I30" s="256">
        <f t="shared" si="9"/>
        <v>37.064466424772604</v>
      </c>
      <c r="J30" s="256">
        <f t="shared" si="9"/>
        <v>24.659825505176077</v>
      </c>
      <c r="K30" s="256">
        <f t="shared" si="9"/>
        <v>24.121168474591528</v>
      </c>
      <c r="L30" s="256">
        <f t="shared" si="9"/>
        <v>0</v>
      </c>
      <c r="M30" s="256">
        <f t="shared" si="9"/>
        <v>0</v>
      </c>
      <c r="N30" s="257">
        <f>SUM(B30:M30)/12</f>
        <v>19.565029231215505</v>
      </c>
    </row>
    <row r="31" spans="1:14">
      <c r="A31" s="243"/>
      <c r="B31" s="244"/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27"/>
    </row>
    <row r="32" spans="1:14">
      <c r="A32" s="258" t="s">
        <v>89</v>
      </c>
      <c r="B32" s="244"/>
      <c r="C32" s="244"/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27"/>
    </row>
    <row r="33" spans="1:14">
      <c r="A33" s="231" t="s">
        <v>90</v>
      </c>
      <c r="B33" s="259">
        <v>44</v>
      </c>
      <c r="C33" s="259">
        <v>43</v>
      </c>
      <c r="D33" s="259">
        <v>43</v>
      </c>
      <c r="E33" s="259">
        <v>43</v>
      </c>
      <c r="F33" s="259">
        <v>43</v>
      </c>
      <c r="G33" s="259">
        <v>43</v>
      </c>
      <c r="H33" s="259">
        <v>43</v>
      </c>
      <c r="I33" s="259">
        <v>43</v>
      </c>
      <c r="J33" s="259">
        <v>43</v>
      </c>
      <c r="K33" s="259">
        <v>43</v>
      </c>
      <c r="L33" s="259">
        <v>43</v>
      </c>
      <c r="M33" s="259">
        <v>43</v>
      </c>
      <c r="N33" s="259">
        <v>43</v>
      </c>
    </row>
    <row r="34" spans="1:14">
      <c r="A34" s="231" t="s">
        <v>91</v>
      </c>
      <c r="B34" s="259"/>
      <c r="C34" s="259"/>
      <c r="D34" s="259"/>
      <c r="E34" s="259"/>
      <c r="F34" s="259"/>
      <c r="G34" s="259"/>
      <c r="H34" s="259"/>
      <c r="I34" s="259"/>
      <c r="J34" s="259"/>
      <c r="K34" s="259"/>
      <c r="L34" s="259"/>
      <c r="M34" s="259"/>
      <c r="N34" s="259"/>
    </row>
    <row r="35" spans="1:14">
      <c r="A35" s="231" t="s">
        <v>92</v>
      </c>
      <c r="B35" s="259"/>
      <c r="C35" s="259">
        <v>1</v>
      </c>
      <c r="D35" s="259"/>
      <c r="E35" s="259"/>
      <c r="F35" s="259"/>
      <c r="G35" s="259"/>
      <c r="H35" s="259"/>
      <c r="I35" s="259"/>
      <c r="J35" s="259"/>
      <c r="K35" s="259"/>
      <c r="L35" s="259"/>
      <c r="M35" s="259"/>
      <c r="N35" s="259"/>
    </row>
    <row r="36" spans="1:14">
      <c r="A36" s="231" t="s">
        <v>89</v>
      </c>
      <c r="B36" s="259"/>
      <c r="C36" s="259"/>
      <c r="D36" s="259"/>
      <c r="E36" s="259"/>
      <c r="F36" s="259"/>
      <c r="G36" s="259"/>
      <c r="H36" s="259"/>
      <c r="I36" s="259"/>
      <c r="J36" s="259"/>
      <c r="K36" s="259"/>
      <c r="L36" s="259"/>
      <c r="M36" s="259"/>
      <c r="N36" s="259"/>
    </row>
    <row r="37" spans="1:14">
      <c r="A37" s="231" t="s">
        <v>93</v>
      </c>
      <c r="B37" s="260">
        <f t="shared" ref="B37:M37" si="10">SUM(B36*100)/B33-100</f>
        <v>-100</v>
      </c>
      <c r="C37" s="260">
        <f t="shared" si="10"/>
        <v>-100</v>
      </c>
      <c r="D37" s="260">
        <f t="shared" si="10"/>
        <v>-100</v>
      </c>
      <c r="E37" s="260">
        <f t="shared" si="10"/>
        <v>-100</v>
      </c>
      <c r="F37" s="260">
        <f t="shared" si="10"/>
        <v>-100</v>
      </c>
      <c r="G37" s="260">
        <f t="shared" si="10"/>
        <v>-100</v>
      </c>
      <c r="H37" s="260">
        <f t="shared" si="10"/>
        <v>-100</v>
      </c>
      <c r="I37" s="260">
        <f t="shared" si="10"/>
        <v>-100</v>
      </c>
      <c r="J37" s="260">
        <f t="shared" si="10"/>
        <v>-100</v>
      </c>
      <c r="K37" s="260">
        <f t="shared" si="10"/>
        <v>-100</v>
      </c>
      <c r="L37" s="260">
        <f t="shared" si="10"/>
        <v>-100</v>
      </c>
      <c r="M37" s="260">
        <f t="shared" si="10"/>
        <v>-100</v>
      </c>
      <c r="N37" s="259"/>
    </row>
    <row r="38" spans="1:14">
      <c r="A38" s="243" t="s">
        <v>94</v>
      </c>
      <c r="B38" s="261"/>
      <c r="C38" s="261"/>
      <c r="D38" s="262">
        <f>SUM(B37:D37/3)</f>
        <v>-33.333333333333336</v>
      </c>
      <c r="E38" s="261"/>
      <c r="F38" s="261"/>
      <c r="G38" s="262">
        <f>SUM(E37:G37)/3</f>
        <v>-100</v>
      </c>
      <c r="H38" s="261"/>
      <c r="I38" s="261"/>
      <c r="J38" s="262">
        <f>SUM(H37:J37)/3</f>
        <v>-100</v>
      </c>
      <c r="K38" s="261"/>
      <c r="L38" s="261"/>
      <c r="M38" s="262">
        <f>SUM(K37:M37)/3</f>
        <v>-100</v>
      </c>
      <c r="N38" s="261"/>
    </row>
    <row r="39" spans="1:14">
      <c r="A39" s="243"/>
      <c r="B39" s="244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27"/>
    </row>
    <row r="40" spans="1:14" ht="16.5" thickBot="1">
      <c r="E40" s="263" t="s">
        <v>253</v>
      </c>
      <c r="F40" s="264"/>
      <c r="G40" s="265">
        <v>2012</v>
      </c>
    </row>
    <row r="41" spans="1:14">
      <c r="A41" s="266" t="s">
        <v>96</v>
      </c>
      <c r="B41" s="267" t="s">
        <v>44</v>
      </c>
      <c r="C41" s="267" t="s">
        <v>45</v>
      </c>
      <c r="D41" s="267" t="s">
        <v>46</v>
      </c>
      <c r="E41" s="267" t="s">
        <v>47</v>
      </c>
      <c r="F41" s="267" t="s">
        <v>48</v>
      </c>
      <c r="G41" s="267" t="s">
        <v>49</v>
      </c>
      <c r="H41" s="267" t="s">
        <v>38</v>
      </c>
      <c r="I41" s="267" t="s">
        <v>39</v>
      </c>
      <c r="J41" s="267" t="s">
        <v>40</v>
      </c>
      <c r="K41" s="267" t="s">
        <v>41</v>
      </c>
      <c r="L41" s="267" t="s">
        <v>42</v>
      </c>
      <c r="M41" s="267" t="s">
        <v>43</v>
      </c>
      <c r="N41" s="268" t="s">
        <v>64</v>
      </c>
    </row>
    <row r="42" spans="1:14">
      <c r="A42" s="269" t="s">
        <v>97</v>
      </c>
      <c r="B42" s="270">
        <v>37</v>
      </c>
      <c r="C42" s="270">
        <v>60</v>
      </c>
      <c r="D42" s="270">
        <v>48</v>
      </c>
      <c r="E42" s="270">
        <v>37</v>
      </c>
      <c r="F42" s="270">
        <v>32</v>
      </c>
      <c r="G42" s="270">
        <v>41</v>
      </c>
      <c r="H42" s="270">
        <v>62</v>
      </c>
      <c r="I42" s="270">
        <v>39</v>
      </c>
      <c r="J42" s="270">
        <v>28</v>
      </c>
      <c r="K42" s="270">
        <v>63</v>
      </c>
      <c r="L42" s="270">
        <v>57</v>
      </c>
      <c r="M42" s="270"/>
      <c r="N42" s="271">
        <f>SUM(B42:M42)</f>
        <v>504</v>
      </c>
    </row>
    <row r="43" spans="1:14">
      <c r="A43" s="269" t="s">
        <v>98</v>
      </c>
      <c r="B43" s="270">
        <v>2467</v>
      </c>
      <c r="C43" s="270">
        <v>2557</v>
      </c>
      <c r="D43" s="270">
        <v>2482</v>
      </c>
      <c r="E43" s="270">
        <v>1372</v>
      </c>
      <c r="F43" s="270">
        <v>1607</v>
      </c>
      <c r="G43" s="270">
        <v>1873</v>
      </c>
      <c r="H43" s="270">
        <v>1784</v>
      </c>
      <c r="I43" s="270">
        <v>1740</v>
      </c>
      <c r="J43" s="270">
        <v>1950</v>
      </c>
      <c r="K43" s="270">
        <v>2671</v>
      </c>
      <c r="L43" s="270">
        <v>3452</v>
      </c>
      <c r="M43" s="270"/>
      <c r="N43" s="271">
        <f>SUM(B43:M43)</f>
        <v>23955</v>
      </c>
    </row>
    <row r="44" spans="1:14">
      <c r="A44" s="269" t="s">
        <v>99</v>
      </c>
      <c r="B44" s="270">
        <v>273</v>
      </c>
      <c r="C44" s="270">
        <v>203</v>
      </c>
      <c r="D44" s="270">
        <v>585</v>
      </c>
      <c r="E44" s="270">
        <v>434</v>
      </c>
      <c r="F44" s="270">
        <v>1388</v>
      </c>
      <c r="G44" s="270">
        <v>1422</v>
      </c>
      <c r="H44" s="270">
        <v>2089</v>
      </c>
      <c r="I44" s="270">
        <v>3086</v>
      </c>
      <c r="J44" s="270">
        <v>1155</v>
      </c>
      <c r="K44" s="270">
        <v>707</v>
      </c>
      <c r="L44" s="270">
        <v>493</v>
      </c>
      <c r="M44" s="270"/>
      <c r="N44" s="271">
        <f>SUM(B44:M44)</f>
        <v>11835</v>
      </c>
    </row>
    <row r="45" spans="1:14">
      <c r="A45" s="269" t="s">
        <v>100</v>
      </c>
      <c r="B45" s="270">
        <v>884</v>
      </c>
      <c r="C45" s="270">
        <v>1038</v>
      </c>
      <c r="D45" s="270">
        <v>964</v>
      </c>
      <c r="E45" s="270">
        <v>790</v>
      </c>
      <c r="F45" s="270">
        <v>660</v>
      </c>
      <c r="G45" s="270">
        <v>1021</v>
      </c>
      <c r="H45" s="270">
        <v>803</v>
      </c>
      <c r="I45" s="270">
        <v>941</v>
      </c>
      <c r="J45" s="270">
        <v>838</v>
      </c>
      <c r="K45" s="270">
        <v>1006</v>
      </c>
      <c r="L45" s="270">
        <v>1040</v>
      </c>
      <c r="M45" s="270"/>
      <c r="N45" s="271">
        <f>SUM(B45:M45)</f>
        <v>9985</v>
      </c>
    </row>
    <row r="46" spans="1:14" ht="13.5" thickBot="1">
      <c r="A46" s="272" t="s">
        <v>101</v>
      </c>
      <c r="B46" s="273">
        <v>1</v>
      </c>
      <c r="C46" s="273">
        <v>7</v>
      </c>
      <c r="D46" s="273"/>
      <c r="E46" s="273">
        <v>1</v>
      </c>
      <c r="F46" s="273"/>
      <c r="G46" s="273"/>
      <c r="H46" s="273">
        <v>1</v>
      </c>
      <c r="I46" s="273"/>
      <c r="J46" s="273">
        <v>1</v>
      </c>
      <c r="K46" s="273">
        <v>1</v>
      </c>
      <c r="L46" s="273">
        <v>3</v>
      </c>
      <c r="M46" s="273"/>
      <c r="N46" s="483">
        <f>SUM(B46:M46)</f>
        <v>15</v>
      </c>
    </row>
    <row r="47" spans="1:14">
      <c r="N47" s="484">
        <f>SUM(N42:N46)</f>
        <v>46294</v>
      </c>
    </row>
    <row r="48" spans="1:14" ht="16.5" thickBot="1">
      <c r="E48" s="263" t="s">
        <v>287</v>
      </c>
      <c r="F48" s="264"/>
      <c r="G48" s="265">
        <v>2012</v>
      </c>
    </row>
    <row r="49" spans="1:17">
      <c r="A49" s="266" t="s">
        <v>102</v>
      </c>
      <c r="B49" s="267" t="s">
        <v>44</v>
      </c>
      <c r="C49" s="267" t="s">
        <v>45</v>
      </c>
      <c r="D49" s="267" t="s">
        <v>46</v>
      </c>
      <c r="E49" s="267" t="s">
        <v>47</v>
      </c>
      <c r="F49" s="267" t="s">
        <v>48</v>
      </c>
      <c r="G49" s="267" t="s">
        <v>49</v>
      </c>
      <c r="H49" s="267" t="s">
        <v>38</v>
      </c>
      <c r="I49" s="267" t="s">
        <v>39</v>
      </c>
      <c r="J49" s="267" t="s">
        <v>40</v>
      </c>
      <c r="K49" s="267" t="s">
        <v>41</v>
      </c>
      <c r="L49" s="267" t="s">
        <v>42</v>
      </c>
      <c r="M49" s="267" t="s">
        <v>43</v>
      </c>
      <c r="N49" s="268" t="s">
        <v>64</v>
      </c>
    </row>
    <row r="50" spans="1:17">
      <c r="A50" s="485" t="s">
        <v>103</v>
      </c>
      <c r="B50" s="275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6">
        <f>SUM(B50:M50)</f>
        <v>0</v>
      </c>
    </row>
    <row r="51" spans="1:17">
      <c r="A51" s="269" t="s">
        <v>104</v>
      </c>
      <c r="B51" s="277">
        <v>19</v>
      </c>
      <c r="C51" s="277">
        <v>29</v>
      </c>
      <c r="D51" s="277">
        <v>17</v>
      </c>
      <c r="E51" s="277">
        <v>22</v>
      </c>
      <c r="F51" s="277">
        <v>21</v>
      </c>
      <c r="G51" s="277">
        <v>15</v>
      </c>
      <c r="H51" s="277">
        <v>13</v>
      </c>
      <c r="I51" s="277">
        <v>24</v>
      </c>
      <c r="J51" s="277">
        <v>16</v>
      </c>
      <c r="K51" s="277">
        <v>22</v>
      </c>
      <c r="L51" s="277">
        <v>12</v>
      </c>
      <c r="M51" s="277"/>
      <c r="N51" s="276">
        <f>SUM(B51:M51)</f>
        <v>210</v>
      </c>
    </row>
    <row r="52" spans="1:17">
      <c r="A52" s="269" t="s">
        <v>105</v>
      </c>
      <c r="B52" s="277">
        <v>12</v>
      </c>
      <c r="C52" s="277">
        <v>12</v>
      </c>
      <c r="D52" s="277">
        <v>20</v>
      </c>
      <c r="E52" s="277">
        <v>25</v>
      </c>
      <c r="F52" s="277">
        <v>38</v>
      </c>
      <c r="G52" s="277">
        <v>21</v>
      </c>
      <c r="H52" s="277">
        <v>36</v>
      </c>
      <c r="I52" s="277">
        <v>35</v>
      </c>
      <c r="J52" s="277">
        <v>27</v>
      </c>
      <c r="K52" s="277">
        <v>42</v>
      </c>
      <c r="L52" s="277">
        <v>29</v>
      </c>
      <c r="M52" s="277"/>
      <c r="N52" s="276">
        <f>SUM(B52:M52)</f>
        <v>297</v>
      </c>
    </row>
    <row r="53" spans="1:17">
      <c r="A53" s="269" t="s">
        <v>106</v>
      </c>
      <c r="B53" s="278">
        <v>1</v>
      </c>
      <c r="C53" s="278"/>
      <c r="D53" s="278">
        <v>4</v>
      </c>
      <c r="E53" s="278">
        <v>3</v>
      </c>
      <c r="F53" s="278">
        <v>7</v>
      </c>
      <c r="G53" s="278">
        <v>4</v>
      </c>
      <c r="H53" s="278"/>
      <c r="I53" s="278">
        <v>4</v>
      </c>
      <c r="J53" s="278">
        <v>4</v>
      </c>
      <c r="K53" s="278">
        <v>6</v>
      </c>
      <c r="L53" s="278">
        <v>2</v>
      </c>
      <c r="M53" s="278"/>
      <c r="N53" s="276">
        <f>SUM(B53:M53)</f>
        <v>35</v>
      </c>
    </row>
    <row r="54" spans="1:17">
      <c r="A54" s="486" t="s">
        <v>11</v>
      </c>
      <c r="B54" s="278"/>
      <c r="C54" s="278">
        <v>13</v>
      </c>
      <c r="D54" s="278">
        <v>31</v>
      </c>
      <c r="E54" s="278">
        <v>17</v>
      </c>
      <c r="F54" s="278">
        <v>7</v>
      </c>
      <c r="G54" s="278"/>
      <c r="H54" s="278"/>
      <c r="I54" s="278"/>
      <c r="J54" s="278">
        <v>8</v>
      </c>
      <c r="K54" s="278">
        <v>7</v>
      </c>
      <c r="L54" s="278">
        <v>14</v>
      </c>
      <c r="M54" s="278"/>
      <c r="N54" s="276">
        <f t="shared" ref="N54:N55" si="11">SUM(B54:M54)</f>
        <v>97</v>
      </c>
    </row>
    <row r="55" spans="1:17" ht="13.5" thickBot="1">
      <c r="A55" s="292" t="s">
        <v>107</v>
      </c>
      <c r="B55" s="279">
        <v>46</v>
      </c>
      <c r="C55" s="279">
        <v>51</v>
      </c>
      <c r="D55" s="279">
        <v>54</v>
      </c>
      <c r="E55" s="279">
        <v>48</v>
      </c>
      <c r="F55" s="279">
        <v>47</v>
      </c>
      <c r="G55" s="279">
        <v>44</v>
      </c>
      <c r="H55" s="279">
        <v>38</v>
      </c>
      <c r="I55" s="279">
        <v>67</v>
      </c>
      <c r="J55" s="279">
        <v>61</v>
      </c>
      <c r="K55" s="279">
        <v>59</v>
      </c>
      <c r="L55" s="279">
        <v>61</v>
      </c>
      <c r="M55" s="279"/>
      <c r="N55" s="276">
        <f t="shared" si="11"/>
        <v>576</v>
      </c>
    </row>
    <row r="56" spans="1:17" ht="13.5" thickBot="1">
      <c r="A56" s="292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76">
        <f>SUM(N50:N55)</f>
        <v>1215</v>
      </c>
    </row>
    <row r="57" spans="1:17" ht="18">
      <c r="A57" s="823" t="s">
        <v>298</v>
      </c>
      <c r="B57" s="824"/>
      <c r="C57" s="824"/>
      <c r="D57" s="824"/>
      <c r="E57" s="824"/>
      <c r="F57" s="824"/>
      <c r="G57" s="824"/>
      <c r="H57" s="824"/>
      <c r="I57" s="824"/>
      <c r="J57" s="824"/>
      <c r="K57" s="824"/>
      <c r="L57" s="824"/>
      <c r="M57" s="824"/>
      <c r="N57" s="824"/>
    </row>
    <row r="58" spans="1:17" ht="15.75">
      <c r="E58" s="282"/>
      <c r="M58" s="244"/>
      <c r="N58" s="227"/>
    </row>
    <row r="59" spans="1:17">
      <c r="A59" s="283" t="s">
        <v>299</v>
      </c>
      <c r="B59" s="284"/>
      <c r="C59" s="285"/>
      <c r="D59" s="292" t="s">
        <v>186</v>
      </c>
      <c r="I59" s="286"/>
      <c r="J59" s="287" t="s">
        <v>300</v>
      </c>
      <c r="K59" s="284"/>
      <c r="L59" s="284"/>
      <c r="M59" s="284"/>
      <c r="N59" s="288"/>
      <c r="P59" s="244"/>
      <c r="Q59" s="227"/>
    </row>
    <row r="60" spans="1:17">
      <c r="A60" s="286">
        <v>722</v>
      </c>
      <c r="B60" s="286" t="s">
        <v>301</v>
      </c>
      <c r="C60" s="289"/>
      <c r="D60" s="290">
        <v>9775928</v>
      </c>
      <c r="E60" s="291"/>
      <c r="F60" s="291"/>
      <c r="G60" s="291"/>
      <c r="H60" s="291"/>
      <c r="I60" s="292" t="s">
        <v>302</v>
      </c>
      <c r="J60" s="270" t="s">
        <v>303</v>
      </c>
      <c r="K60" s="270" t="s">
        <v>304</v>
      </c>
      <c r="L60" s="455" t="s">
        <v>161</v>
      </c>
      <c r="M60" s="487"/>
      <c r="N60" s="270" t="s">
        <v>163</v>
      </c>
      <c r="P60" s="244"/>
      <c r="Q60" s="227"/>
    </row>
    <row r="61" spans="1:17" ht="13.5" thickBot="1">
      <c r="A61" s="286"/>
      <c r="B61" s="286"/>
      <c r="C61" s="289"/>
      <c r="D61" s="290"/>
      <c r="E61" s="291"/>
      <c r="F61" s="291"/>
      <c r="G61" s="291"/>
      <c r="H61" s="291"/>
      <c r="I61" s="828" t="s">
        <v>305</v>
      </c>
      <c r="J61" s="829"/>
      <c r="K61" s="829"/>
      <c r="L61" s="829"/>
      <c r="M61" s="830"/>
      <c r="N61" s="293">
        <f>F90</f>
        <v>3091624</v>
      </c>
      <c r="O61" s="291"/>
      <c r="P61" s="244"/>
      <c r="Q61" s="227"/>
    </row>
    <row r="62" spans="1:17" ht="13.5" thickBot="1">
      <c r="A62" s="294" t="s">
        <v>167</v>
      </c>
      <c r="B62" s="295"/>
      <c r="C62" s="296"/>
      <c r="D62" s="488">
        <f>SUM(D60:D61)</f>
        <v>9775928</v>
      </c>
      <c r="E62" s="300"/>
      <c r="F62" s="300"/>
      <c r="G62" s="300"/>
      <c r="H62" s="291"/>
      <c r="I62" s="270">
        <v>11820</v>
      </c>
      <c r="J62" s="286">
        <v>147</v>
      </c>
      <c r="K62" s="303">
        <v>40664</v>
      </c>
      <c r="L62" s="286" t="s">
        <v>306</v>
      </c>
      <c r="M62" s="489"/>
      <c r="N62" s="297">
        <v>72061</v>
      </c>
      <c r="O62" s="298"/>
      <c r="P62" s="244"/>
      <c r="Q62" s="227"/>
    </row>
    <row r="63" spans="1:17">
      <c r="A63" s="226" t="s">
        <v>168</v>
      </c>
      <c r="B63" s="299"/>
      <c r="C63" s="299"/>
      <c r="D63" s="300">
        <f>D62/12</f>
        <v>814660.66666666663</v>
      </c>
      <c r="E63" s="301"/>
      <c r="F63" s="301"/>
      <c r="G63" s="301"/>
      <c r="H63" s="291"/>
      <c r="I63" s="270">
        <v>62300</v>
      </c>
      <c r="J63" s="286">
        <v>150</v>
      </c>
      <c r="K63" s="303">
        <v>40544</v>
      </c>
      <c r="L63" s="286" t="s">
        <v>307</v>
      </c>
      <c r="M63" s="289"/>
      <c r="N63" s="297">
        <v>63079</v>
      </c>
      <c r="O63" s="320"/>
      <c r="P63" s="244"/>
      <c r="Q63" s="227"/>
    </row>
    <row r="64" spans="1:17">
      <c r="B64" s="299"/>
      <c r="C64" s="299"/>
      <c r="H64" s="291"/>
      <c r="I64" s="270">
        <v>62011</v>
      </c>
      <c r="J64" s="302" t="s">
        <v>308</v>
      </c>
      <c r="K64" s="303">
        <v>38048</v>
      </c>
      <c r="L64" s="286" t="s">
        <v>309</v>
      </c>
      <c r="M64" s="289"/>
      <c r="N64" s="297">
        <v>19971</v>
      </c>
      <c r="O64" s="320"/>
      <c r="P64" s="244"/>
      <c r="Q64" s="227"/>
    </row>
    <row r="65" spans="1:17">
      <c r="B65" s="299"/>
      <c r="C65" s="299"/>
      <c r="H65" s="291"/>
      <c r="I65" s="270" t="s">
        <v>310</v>
      </c>
      <c r="J65" s="302" t="s">
        <v>311</v>
      </c>
      <c r="K65" s="303">
        <v>38047</v>
      </c>
      <c r="L65" s="286" t="s">
        <v>312</v>
      </c>
      <c r="M65" s="289"/>
      <c r="N65" s="297">
        <v>19971</v>
      </c>
      <c r="O65" s="320"/>
      <c r="P65" s="244"/>
      <c r="Q65" s="227"/>
    </row>
    <row r="66" spans="1:17">
      <c r="A66" s="286"/>
      <c r="B66" s="287" t="s">
        <v>300</v>
      </c>
      <c r="C66" s="284"/>
      <c r="D66" s="284"/>
      <c r="E66" s="284"/>
      <c r="F66" s="288"/>
      <c r="G66" s="299"/>
      <c r="H66" s="291" t="s">
        <v>313</v>
      </c>
      <c r="I66" s="490"/>
      <c r="J66" s="491"/>
      <c r="K66" s="492"/>
      <c r="L66" s="491"/>
      <c r="M66" s="489"/>
      <c r="N66" s="493"/>
      <c r="O66" s="291"/>
      <c r="P66" s="244"/>
      <c r="Q66" s="227"/>
    </row>
    <row r="67" spans="1:17">
      <c r="A67" s="292" t="s">
        <v>302</v>
      </c>
      <c r="B67" s="270" t="s">
        <v>303</v>
      </c>
      <c r="C67" s="270" t="s">
        <v>304</v>
      </c>
      <c r="D67" s="455" t="s">
        <v>161</v>
      </c>
      <c r="E67" s="270"/>
      <c r="F67" s="270" t="s">
        <v>163</v>
      </c>
      <c r="G67" s="494"/>
      <c r="H67" s="495" t="s">
        <v>314</v>
      </c>
      <c r="I67" s="304">
        <v>31400</v>
      </c>
      <c r="J67" s="305">
        <v>758</v>
      </c>
      <c r="K67" s="306">
        <v>37500</v>
      </c>
      <c r="L67" s="305" t="s">
        <v>315</v>
      </c>
      <c r="M67" s="307"/>
      <c r="N67" s="308">
        <v>40161</v>
      </c>
      <c r="O67" s="317"/>
      <c r="P67" s="244"/>
      <c r="Q67" s="227"/>
    </row>
    <row r="68" spans="1:17">
      <c r="A68" s="270">
        <v>31139</v>
      </c>
      <c r="B68" s="302">
        <v>111</v>
      </c>
      <c r="C68" s="303">
        <v>40634</v>
      </c>
      <c r="D68" s="286" t="s">
        <v>316</v>
      </c>
      <c r="E68" s="496"/>
      <c r="F68" s="497">
        <v>58572</v>
      </c>
      <c r="G68" s="298"/>
      <c r="H68" s="495" t="s">
        <v>317</v>
      </c>
      <c r="I68" s="304">
        <v>51302</v>
      </c>
      <c r="J68" s="305">
        <v>114</v>
      </c>
      <c r="K68" s="306">
        <v>40544</v>
      </c>
      <c r="L68" s="305" t="s">
        <v>318</v>
      </c>
      <c r="M68" s="307"/>
      <c r="N68" s="308">
        <v>16814</v>
      </c>
      <c r="O68" s="320"/>
      <c r="P68" s="244"/>
      <c r="Q68" s="227"/>
    </row>
    <row r="69" spans="1:17">
      <c r="A69" s="498" t="s">
        <v>319</v>
      </c>
      <c r="B69" s="286">
        <v>112</v>
      </c>
      <c r="C69" s="303">
        <v>37956</v>
      </c>
      <c r="D69" s="286" t="s">
        <v>320</v>
      </c>
      <c r="E69" s="289"/>
      <c r="F69" s="297">
        <v>118520</v>
      </c>
      <c r="G69" s="291"/>
      <c r="H69" s="495" t="s">
        <v>321</v>
      </c>
      <c r="I69" s="304">
        <v>53204</v>
      </c>
      <c r="J69" s="305">
        <v>114</v>
      </c>
      <c r="K69" s="306">
        <v>40544</v>
      </c>
      <c r="L69" s="305" t="s">
        <v>322</v>
      </c>
      <c r="M69" s="307"/>
      <c r="N69" s="308">
        <v>35767</v>
      </c>
      <c r="O69" s="320"/>
      <c r="P69" s="244"/>
      <c r="Q69" s="227"/>
    </row>
    <row r="70" spans="1:17">
      <c r="A70" s="498" t="s">
        <v>323</v>
      </c>
      <c r="B70" s="309">
        <v>113</v>
      </c>
      <c r="C70" s="310">
        <v>38012</v>
      </c>
      <c r="D70" s="309" t="s">
        <v>324</v>
      </c>
      <c r="E70" s="311"/>
      <c r="F70" s="312">
        <v>148969</v>
      </c>
      <c r="G70" s="291"/>
      <c r="I70" s="270">
        <v>62300</v>
      </c>
      <c r="J70" s="286">
        <v>149</v>
      </c>
      <c r="K70" s="303">
        <v>40544</v>
      </c>
      <c r="L70" s="286" t="s">
        <v>325</v>
      </c>
      <c r="M70" s="289"/>
      <c r="N70" s="312">
        <v>50092</v>
      </c>
      <c r="O70" s="291"/>
      <c r="P70" s="244"/>
      <c r="Q70" s="227"/>
    </row>
    <row r="71" spans="1:17">
      <c r="A71" s="270">
        <v>39610</v>
      </c>
      <c r="B71" s="499">
        <v>153</v>
      </c>
      <c r="C71" s="500" t="s">
        <v>326</v>
      </c>
      <c r="D71" s="286"/>
      <c r="E71" s="289"/>
      <c r="F71" s="290">
        <v>80000</v>
      </c>
      <c r="G71" s="298"/>
      <c r="H71" s="291"/>
      <c r="I71" s="270">
        <v>62300</v>
      </c>
      <c r="J71" s="286">
        <v>148</v>
      </c>
      <c r="K71" s="303">
        <v>40544</v>
      </c>
      <c r="L71" s="286" t="s">
        <v>327</v>
      </c>
      <c r="M71" s="289"/>
      <c r="N71" s="312">
        <v>57478</v>
      </c>
      <c r="O71" s="291"/>
      <c r="P71" s="244"/>
      <c r="Q71" s="227"/>
    </row>
    <row r="72" spans="1:17">
      <c r="A72" s="270">
        <v>23140</v>
      </c>
      <c r="B72" s="309">
        <v>116</v>
      </c>
      <c r="C72" s="310">
        <v>38412</v>
      </c>
      <c r="D72" s="309" t="s">
        <v>328</v>
      </c>
      <c r="E72" s="311"/>
      <c r="F72" s="312">
        <v>61552</v>
      </c>
      <c r="G72" s="291"/>
      <c r="H72" s="291"/>
      <c r="I72" s="270">
        <v>49500</v>
      </c>
      <c r="J72" s="309">
        <v>900</v>
      </c>
      <c r="K72" s="310">
        <v>38353</v>
      </c>
      <c r="L72" s="309" t="s">
        <v>329</v>
      </c>
      <c r="M72" s="311"/>
      <c r="N72" s="312">
        <v>4178</v>
      </c>
      <c r="O72" s="291"/>
      <c r="P72" s="244"/>
      <c r="Q72" s="227"/>
    </row>
    <row r="73" spans="1:17">
      <c r="A73" s="270">
        <v>54100</v>
      </c>
      <c r="B73" s="286">
        <v>119</v>
      </c>
      <c r="C73" s="303">
        <v>38808</v>
      </c>
      <c r="D73" s="286" t="s">
        <v>330</v>
      </c>
      <c r="E73" s="289"/>
      <c r="F73" s="297">
        <v>1662560</v>
      </c>
      <c r="G73" s="291"/>
      <c r="H73" s="291"/>
      <c r="I73" s="270">
        <v>82500</v>
      </c>
      <c r="J73" s="286">
        <v>740</v>
      </c>
      <c r="K73" s="303">
        <v>37834</v>
      </c>
      <c r="L73" s="286" t="s">
        <v>331</v>
      </c>
      <c r="M73" s="289"/>
      <c r="N73" s="297">
        <v>94947</v>
      </c>
      <c r="O73" s="291"/>
      <c r="P73" s="244"/>
      <c r="Q73" s="227"/>
    </row>
    <row r="74" spans="1:17">
      <c r="A74" s="270">
        <v>62005</v>
      </c>
      <c r="B74" s="286">
        <v>121</v>
      </c>
      <c r="C74" s="303">
        <v>39264</v>
      </c>
      <c r="D74" s="286" t="s">
        <v>332</v>
      </c>
      <c r="E74" s="289"/>
      <c r="F74" s="297">
        <v>100185</v>
      </c>
      <c r="G74" s="291"/>
      <c r="H74" s="291"/>
      <c r="I74" s="270">
        <v>62006</v>
      </c>
      <c r="J74" s="302" t="s">
        <v>333</v>
      </c>
      <c r="K74" s="303">
        <v>39173</v>
      </c>
      <c r="L74" s="286" t="s">
        <v>334</v>
      </c>
      <c r="M74" s="289"/>
      <c r="N74" s="297">
        <v>41689</v>
      </c>
      <c r="O74" s="501"/>
      <c r="P74" s="244"/>
      <c r="Q74" s="227"/>
    </row>
    <row r="75" spans="1:17">
      <c r="A75" s="270">
        <v>38350</v>
      </c>
      <c r="B75" s="286">
        <v>122</v>
      </c>
      <c r="C75" s="303">
        <v>39264</v>
      </c>
      <c r="D75" s="286" t="s">
        <v>335</v>
      </c>
      <c r="E75" s="289"/>
      <c r="F75" s="297">
        <v>18880</v>
      </c>
      <c r="G75" s="291"/>
      <c r="H75" s="291"/>
      <c r="I75" s="270">
        <v>38050</v>
      </c>
      <c r="J75" s="313" t="s">
        <v>336</v>
      </c>
      <c r="K75" s="310">
        <v>39448</v>
      </c>
      <c r="L75" s="502" t="s">
        <v>337</v>
      </c>
      <c r="M75" s="314"/>
      <c r="N75" s="312">
        <v>30662</v>
      </c>
      <c r="O75" s="291"/>
      <c r="P75" s="244"/>
      <c r="Q75" s="227"/>
    </row>
    <row r="76" spans="1:17">
      <c r="A76" s="270">
        <v>60111</v>
      </c>
      <c r="B76" s="313">
        <v>128</v>
      </c>
      <c r="C76" s="310">
        <v>39815</v>
      </c>
      <c r="D76" s="286" t="s">
        <v>338</v>
      </c>
      <c r="E76" s="496"/>
      <c r="F76" s="290">
        <v>178927</v>
      </c>
      <c r="G76" s="291"/>
      <c r="H76" s="315"/>
      <c r="I76" s="270">
        <v>28100</v>
      </c>
      <c r="J76" s="309">
        <v>728</v>
      </c>
      <c r="K76" s="310">
        <v>38846</v>
      </c>
      <c r="L76" s="286" t="s">
        <v>339</v>
      </c>
      <c r="M76" s="311"/>
      <c r="N76" s="311">
        <v>73827</v>
      </c>
      <c r="O76" s="291"/>
      <c r="P76" s="244"/>
      <c r="Q76" s="227"/>
    </row>
    <row r="77" spans="1:17">
      <c r="A77" s="270">
        <v>37105</v>
      </c>
      <c r="B77" s="313">
        <v>129</v>
      </c>
      <c r="C77" s="310">
        <v>39904</v>
      </c>
      <c r="D77" s="286" t="s">
        <v>340</v>
      </c>
      <c r="E77" s="496"/>
      <c r="F77" s="290">
        <v>19252</v>
      </c>
      <c r="G77" s="291"/>
      <c r="H77" s="291"/>
      <c r="I77" s="270">
        <v>38400</v>
      </c>
      <c r="J77" s="286">
        <v>138</v>
      </c>
      <c r="K77" s="492">
        <v>40544</v>
      </c>
      <c r="L77" s="286" t="s">
        <v>341</v>
      </c>
      <c r="M77" s="489"/>
      <c r="N77" s="290">
        <v>29289</v>
      </c>
      <c r="O77" s="291"/>
      <c r="P77" s="244"/>
      <c r="Q77" s="227"/>
    </row>
    <row r="78" spans="1:17">
      <c r="A78" s="270">
        <v>69725</v>
      </c>
      <c r="B78" s="313">
        <v>130</v>
      </c>
      <c r="C78" s="310">
        <v>39918</v>
      </c>
      <c r="D78" s="286" t="s">
        <v>342</v>
      </c>
      <c r="E78" s="496"/>
      <c r="F78" s="290">
        <v>29820</v>
      </c>
      <c r="G78" s="291"/>
      <c r="H78" s="291"/>
      <c r="I78" s="270">
        <v>37100</v>
      </c>
      <c r="J78" s="309">
        <v>139</v>
      </c>
      <c r="K78" s="492">
        <v>40544</v>
      </c>
      <c r="L78" s="286" t="s">
        <v>343</v>
      </c>
      <c r="M78" s="311"/>
      <c r="N78" s="312">
        <v>9763</v>
      </c>
      <c r="O78" s="291"/>
      <c r="P78" s="244"/>
      <c r="Q78" s="227"/>
    </row>
    <row r="79" spans="1:17">
      <c r="A79" s="270">
        <v>19020</v>
      </c>
      <c r="B79" s="313">
        <v>131</v>
      </c>
      <c r="C79" s="310">
        <v>40238</v>
      </c>
      <c r="D79" s="316" t="s">
        <v>344</v>
      </c>
      <c r="F79" s="290">
        <v>210256</v>
      </c>
      <c r="G79" s="291"/>
      <c r="H79" s="291"/>
      <c r="I79" s="270"/>
      <c r="J79" s="309"/>
      <c r="K79" s="310"/>
      <c r="L79" s="309"/>
      <c r="M79" s="311"/>
      <c r="N79" s="312"/>
      <c r="O79" s="291"/>
      <c r="P79" s="244"/>
      <c r="Q79" s="227"/>
    </row>
    <row r="80" spans="1:17">
      <c r="A80" s="270">
        <v>54100</v>
      </c>
      <c r="B80" s="313">
        <v>133</v>
      </c>
      <c r="C80" s="310">
        <v>40040</v>
      </c>
      <c r="D80" s="286" t="s">
        <v>345</v>
      </c>
      <c r="E80" s="496"/>
      <c r="F80" s="503"/>
      <c r="G80" s="504" t="s">
        <v>346</v>
      </c>
      <c r="H80" s="291"/>
      <c r="I80" s="270"/>
      <c r="J80" s="309"/>
      <c r="K80" s="310"/>
      <c r="L80" s="309"/>
      <c r="M80" s="311"/>
      <c r="N80" s="312"/>
      <c r="O80" s="291"/>
      <c r="P80" s="244"/>
      <c r="Q80" s="227"/>
    </row>
    <row r="81" spans="1:17">
      <c r="A81" s="270">
        <v>50005</v>
      </c>
      <c r="B81" s="286">
        <v>132</v>
      </c>
      <c r="C81" s="303">
        <v>40057</v>
      </c>
      <c r="D81" s="286" t="s">
        <v>347</v>
      </c>
      <c r="E81" s="290"/>
      <c r="F81" s="297">
        <v>182255</v>
      </c>
      <c r="G81" s="291"/>
      <c r="H81" s="291"/>
      <c r="I81" s="270">
        <v>20100</v>
      </c>
      <c r="J81" s="491" t="s">
        <v>301</v>
      </c>
      <c r="K81" s="303">
        <v>40179</v>
      </c>
      <c r="L81" s="286" t="s">
        <v>294</v>
      </c>
      <c r="M81" s="289"/>
      <c r="N81" s="312">
        <v>546551</v>
      </c>
      <c r="O81" s="317"/>
      <c r="P81" s="244"/>
      <c r="Q81" s="227"/>
    </row>
    <row r="82" spans="1:17">
      <c r="A82" s="505"/>
      <c r="B82" s="309">
        <v>140</v>
      </c>
      <c r="C82" s="310">
        <v>40575</v>
      </c>
      <c r="D82" s="290" t="s">
        <v>348</v>
      </c>
      <c r="F82" s="312"/>
      <c r="G82" s="320" t="s">
        <v>349</v>
      </c>
      <c r="H82" s="291"/>
      <c r="I82" s="270">
        <v>80005</v>
      </c>
      <c r="J82" s="491" t="s">
        <v>301</v>
      </c>
      <c r="K82" s="303">
        <v>40179</v>
      </c>
      <c r="L82" s="286" t="s">
        <v>350</v>
      </c>
      <c r="M82" s="289"/>
      <c r="N82" s="312">
        <v>505945</v>
      </c>
      <c r="O82" s="317"/>
      <c r="P82" s="244"/>
      <c r="Q82" s="227"/>
    </row>
    <row r="83" spans="1:17">
      <c r="A83" s="270">
        <v>62400</v>
      </c>
      <c r="B83" s="309">
        <v>141</v>
      </c>
      <c r="C83" s="310">
        <v>40544</v>
      </c>
      <c r="D83" s="309" t="s">
        <v>351</v>
      </c>
      <c r="E83" s="311"/>
      <c r="F83" s="312">
        <v>18298</v>
      </c>
      <c r="G83" s="298" t="s">
        <v>352</v>
      </c>
      <c r="H83" s="291"/>
      <c r="I83" s="270">
        <v>39630</v>
      </c>
      <c r="J83" s="491" t="s">
        <v>301</v>
      </c>
      <c r="K83" s="303">
        <v>40179</v>
      </c>
      <c r="L83" s="286" t="s">
        <v>353</v>
      </c>
      <c r="M83" s="289"/>
      <c r="N83" s="312">
        <v>578646</v>
      </c>
      <c r="O83" s="317"/>
      <c r="P83" s="244"/>
      <c r="Q83" s="227"/>
    </row>
    <row r="84" spans="1:17">
      <c r="A84" s="270">
        <v>60109</v>
      </c>
      <c r="B84" s="292">
        <v>142</v>
      </c>
      <c r="C84" s="303">
        <v>40544</v>
      </c>
      <c r="D84" s="286" t="s">
        <v>354</v>
      </c>
      <c r="E84" s="289"/>
      <c r="F84" s="297">
        <v>54291</v>
      </c>
      <c r="G84" s="298" t="s">
        <v>355</v>
      </c>
      <c r="H84" s="291"/>
      <c r="I84" s="270">
        <v>49500</v>
      </c>
      <c r="J84" s="491" t="s">
        <v>301</v>
      </c>
      <c r="K84" s="303">
        <v>40179</v>
      </c>
      <c r="L84" s="286" t="s">
        <v>356</v>
      </c>
      <c r="M84" s="289"/>
      <c r="N84" s="312">
        <v>542491</v>
      </c>
      <c r="O84" s="317"/>
      <c r="P84" s="244"/>
      <c r="Q84" s="227"/>
    </row>
    <row r="85" spans="1:17">
      <c r="A85" s="270">
        <v>67004</v>
      </c>
      <c r="B85" s="292">
        <v>143</v>
      </c>
      <c r="C85" s="303">
        <v>40544</v>
      </c>
      <c r="D85" s="286" t="s">
        <v>357</v>
      </c>
      <c r="E85" s="289"/>
      <c r="F85" s="297">
        <v>1666</v>
      </c>
      <c r="G85" s="298" t="s">
        <v>358</v>
      </c>
      <c r="H85" s="291"/>
      <c r="I85" s="270">
        <v>60111</v>
      </c>
      <c r="J85" s="491" t="s">
        <v>301</v>
      </c>
      <c r="K85" s="303">
        <v>40179</v>
      </c>
      <c r="L85" s="286" t="s">
        <v>359</v>
      </c>
      <c r="M85" s="289"/>
      <c r="N85" s="312">
        <v>717095</v>
      </c>
      <c r="O85" s="317"/>
      <c r="P85" s="244"/>
      <c r="Q85" s="227"/>
    </row>
    <row r="86" spans="1:17">
      <c r="A86" s="321">
        <v>62300</v>
      </c>
      <c r="B86" s="292">
        <v>144</v>
      </c>
      <c r="C86" s="404">
        <v>40544</v>
      </c>
      <c r="D86" s="286" t="s">
        <v>360</v>
      </c>
      <c r="E86" s="289"/>
      <c r="F86" s="297">
        <v>3734</v>
      </c>
      <c r="G86" s="298" t="s">
        <v>361</v>
      </c>
      <c r="H86" s="506"/>
      <c r="I86" s="270">
        <v>11023</v>
      </c>
      <c r="J86" s="491" t="s">
        <v>301</v>
      </c>
      <c r="K86" s="303">
        <v>40179</v>
      </c>
      <c r="L86" s="309" t="s">
        <v>362</v>
      </c>
      <c r="M86" s="311"/>
      <c r="N86" s="312">
        <v>4118094</v>
      </c>
      <c r="O86" s="317"/>
      <c r="P86" s="244"/>
      <c r="Q86" s="227"/>
    </row>
    <row r="87" spans="1:17">
      <c r="A87" s="270">
        <v>33410</v>
      </c>
      <c r="B87" s="292">
        <v>145</v>
      </c>
      <c r="C87" s="303">
        <v>40544</v>
      </c>
      <c r="D87" s="286" t="s">
        <v>363</v>
      </c>
      <c r="E87" s="289"/>
      <c r="F87" s="297">
        <v>16166</v>
      </c>
      <c r="G87" s="322" t="s">
        <v>364</v>
      </c>
      <c r="H87" s="291"/>
      <c r="I87" s="270">
        <v>11023</v>
      </c>
      <c r="J87" s="491" t="s">
        <v>301</v>
      </c>
      <c r="K87" s="303">
        <v>40179</v>
      </c>
      <c r="L87" s="286" t="s">
        <v>365</v>
      </c>
      <c r="M87" s="289"/>
      <c r="N87" s="312">
        <v>1085980</v>
      </c>
      <c r="O87" s="317"/>
      <c r="P87" s="244"/>
      <c r="Q87" s="227"/>
    </row>
    <row r="88" spans="1:17" ht="13.5" thickBot="1">
      <c r="A88" s="270">
        <v>39851</v>
      </c>
      <c r="B88" s="292">
        <v>146</v>
      </c>
      <c r="C88" s="303">
        <v>40544</v>
      </c>
      <c r="D88" s="286" t="s">
        <v>366</v>
      </c>
      <c r="E88" s="289"/>
      <c r="F88" s="297">
        <v>10778</v>
      </c>
      <c r="G88" s="322" t="s">
        <v>367</v>
      </c>
      <c r="H88" s="506"/>
      <c r="I88" s="270" t="s">
        <v>368</v>
      </c>
      <c r="J88" s="491" t="s">
        <v>301</v>
      </c>
      <c r="K88" s="303">
        <v>40179</v>
      </c>
      <c r="L88" s="309" t="s">
        <v>310</v>
      </c>
      <c r="M88" s="311"/>
      <c r="N88" s="312">
        <v>1681126</v>
      </c>
      <c r="O88" s="317"/>
      <c r="P88" s="244"/>
      <c r="Q88" s="227"/>
    </row>
    <row r="89" spans="1:17" ht="13.5" thickBot="1">
      <c r="A89" s="270">
        <v>53401</v>
      </c>
      <c r="B89" s="507">
        <v>154</v>
      </c>
      <c r="C89" s="492">
        <v>40966</v>
      </c>
      <c r="D89" s="502" t="s">
        <v>369</v>
      </c>
      <c r="E89" s="496"/>
      <c r="F89" s="497">
        <v>116943</v>
      </c>
      <c r="G89" s="298"/>
      <c r="H89" s="506"/>
      <c r="J89" s="294" t="s">
        <v>167</v>
      </c>
      <c r="K89" s="296"/>
      <c r="L89" s="295"/>
      <c r="M89" s="296"/>
      <c r="N89" s="488">
        <f>SUM(N61:N88)</f>
        <v>13527301</v>
      </c>
      <c r="O89" s="320"/>
      <c r="P89" s="244"/>
      <c r="Q89" s="227"/>
    </row>
    <row r="90" spans="1:17" ht="13.5" thickBot="1">
      <c r="B90" s="294" t="s">
        <v>370</v>
      </c>
      <c r="C90" s="296"/>
      <c r="D90" s="295"/>
      <c r="E90" s="296"/>
      <c r="F90" s="323">
        <f>SUM(F67:F89)</f>
        <v>3091624</v>
      </c>
      <c r="G90" s="291"/>
      <c r="H90" s="506"/>
      <c r="J90" s="324" t="s">
        <v>168</v>
      </c>
      <c r="K90" s="324"/>
      <c r="L90" s="324"/>
      <c r="M90" s="325"/>
      <c r="N90" s="508">
        <f>N89/12</f>
        <v>1127275.0833333333</v>
      </c>
      <c r="O90" s="320"/>
      <c r="P90" s="244"/>
      <c r="Q90" s="227"/>
    </row>
    <row r="91" spans="1:17">
      <c r="C91" s="291"/>
      <c r="D91" s="291"/>
      <c r="E91" s="291"/>
      <c r="F91" s="291"/>
      <c r="G91" s="291"/>
      <c r="H91" s="291"/>
      <c r="L91" s="300"/>
      <c r="M91" s="326"/>
      <c r="N91" s="326"/>
      <c r="O91" s="320"/>
      <c r="P91" s="244"/>
      <c r="Q91" s="227"/>
    </row>
    <row r="92" spans="1:17">
      <c r="C92" s="291"/>
      <c r="D92" s="291"/>
      <c r="E92" s="291"/>
      <c r="F92" s="291"/>
      <c r="G92" s="291"/>
      <c r="H92" s="291"/>
      <c r="L92" s="300"/>
      <c r="M92" s="326"/>
      <c r="N92" s="326"/>
      <c r="O92" s="291"/>
      <c r="P92" s="244"/>
      <c r="Q92" s="227"/>
    </row>
    <row r="93" spans="1:17">
      <c r="C93" s="291"/>
      <c r="D93" s="291"/>
      <c r="E93" s="291"/>
      <c r="F93" s="291"/>
      <c r="G93" s="291"/>
      <c r="H93" s="291"/>
      <c r="L93" s="300"/>
      <c r="M93" s="326"/>
      <c r="N93" s="326"/>
      <c r="O93" s="327"/>
      <c r="P93" s="244"/>
      <c r="Q93" s="227"/>
    </row>
    <row r="94" spans="1:17">
      <c r="C94" s="291"/>
      <c r="D94" s="291"/>
      <c r="E94" s="291"/>
      <c r="F94" s="291"/>
      <c r="G94" s="291"/>
      <c r="L94" s="300"/>
      <c r="M94" s="326"/>
      <c r="N94" s="326"/>
      <c r="O94" s="327"/>
      <c r="P94" s="244"/>
      <c r="Q94" s="227"/>
    </row>
    <row r="95" spans="1:17">
      <c r="C95" s="291"/>
      <c r="D95" s="291"/>
      <c r="E95" s="291"/>
      <c r="F95" s="291"/>
      <c r="G95" s="291"/>
      <c r="L95" s="300"/>
      <c r="M95" s="326"/>
      <c r="N95" s="326"/>
      <c r="O95" s="320"/>
      <c r="P95" s="244"/>
      <c r="Q95" s="227"/>
    </row>
    <row r="96" spans="1:17">
      <c r="C96" s="291"/>
      <c r="D96" s="291"/>
      <c r="E96" s="291"/>
      <c r="F96" s="291"/>
      <c r="G96" s="291"/>
      <c r="L96" s="300"/>
      <c r="M96" s="326"/>
      <c r="N96" s="326"/>
      <c r="O96" s="291"/>
      <c r="P96" s="244"/>
      <c r="Q96" s="227"/>
    </row>
    <row r="97" spans="1:14">
      <c r="C97" s="291"/>
      <c r="D97" s="291"/>
      <c r="L97" s="300"/>
      <c r="M97" s="326"/>
      <c r="N97" s="326"/>
    </row>
    <row r="98" spans="1:14">
      <c r="A98" s="328" t="s">
        <v>113</v>
      </c>
      <c r="B98" s="232" t="s">
        <v>44</v>
      </c>
      <c r="C98" s="232" t="s">
        <v>45</v>
      </c>
      <c r="D98" s="232" t="s">
        <v>46</v>
      </c>
      <c r="E98" s="232" t="s">
        <v>47</v>
      </c>
      <c r="F98" s="232" t="s">
        <v>48</v>
      </c>
      <c r="G98" s="232" t="s">
        <v>49</v>
      </c>
      <c r="H98" s="232" t="s">
        <v>38</v>
      </c>
      <c r="I98" s="232" t="s">
        <v>39</v>
      </c>
      <c r="J98" s="232" t="s">
        <v>40</v>
      </c>
      <c r="K98" s="232" t="s">
        <v>41</v>
      </c>
      <c r="L98" s="232" t="s">
        <v>42</v>
      </c>
      <c r="M98" s="232" t="s">
        <v>43</v>
      </c>
      <c r="N98" s="228"/>
    </row>
    <row r="99" spans="1:14">
      <c r="A99" s="231" t="s">
        <v>115</v>
      </c>
      <c r="B99" s="329"/>
      <c r="C99" s="329"/>
      <c r="D99" s="329"/>
      <c r="E99" s="329"/>
      <c r="F99" s="329"/>
      <c r="G99" s="329"/>
      <c r="H99" s="329"/>
      <c r="I99" s="329"/>
      <c r="J99" s="329"/>
      <c r="K99" s="329"/>
      <c r="L99" s="329"/>
      <c r="M99" s="329"/>
      <c r="N99" s="330">
        <f>SUM(B99:M99)</f>
        <v>0</v>
      </c>
    </row>
    <row r="100" spans="1:14" ht="13.5" thickBot="1">
      <c r="A100" s="247" t="s">
        <v>116</v>
      </c>
      <c r="B100" s="331">
        <f>N90</f>
        <v>1127275.0833333333</v>
      </c>
      <c r="C100" s="331">
        <f>N90</f>
        <v>1127275.0833333333</v>
      </c>
      <c r="D100" s="331">
        <f>N90</f>
        <v>1127275.0833333333</v>
      </c>
      <c r="E100" s="331">
        <f>N90</f>
        <v>1127275.0833333333</v>
      </c>
      <c r="F100" s="331">
        <f>N90</f>
        <v>1127275.0833333333</v>
      </c>
      <c r="G100" s="331">
        <f>N90</f>
        <v>1127275.0833333333</v>
      </c>
      <c r="H100" s="331">
        <f>N90</f>
        <v>1127275.0833333333</v>
      </c>
      <c r="I100" s="331">
        <f>N90</f>
        <v>1127275.0833333333</v>
      </c>
      <c r="J100" s="331">
        <f>N90</f>
        <v>1127275.0833333333</v>
      </c>
      <c r="K100" s="331">
        <f>N90</f>
        <v>1127275.0833333333</v>
      </c>
      <c r="L100" s="331">
        <f>N90</f>
        <v>1127275.0833333333</v>
      </c>
      <c r="M100" s="331">
        <f>N90</f>
        <v>1127275.0833333333</v>
      </c>
      <c r="N100" s="332">
        <f>SUM(B100:M100)</f>
        <v>13527301.000000002</v>
      </c>
    </row>
    <row r="101" spans="1:14" ht="13.5" thickBot="1">
      <c r="A101" s="333" t="s">
        <v>117</v>
      </c>
      <c r="B101" s="334">
        <f t="shared" ref="B101:M101" si="12">SUM(B99:B100)</f>
        <v>1127275.0833333333</v>
      </c>
      <c r="C101" s="334">
        <f t="shared" si="12"/>
        <v>1127275.0833333333</v>
      </c>
      <c r="D101" s="334">
        <f t="shared" si="12"/>
        <v>1127275.0833333333</v>
      </c>
      <c r="E101" s="334">
        <f t="shared" si="12"/>
        <v>1127275.0833333333</v>
      </c>
      <c r="F101" s="334">
        <f t="shared" si="12"/>
        <v>1127275.0833333333</v>
      </c>
      <c r="G101" s="334">
        <f t="shared" si="12"/>
        <v>1127275.0833333333</v>
      </c>
      <c r="H101" s="334">
        <f t="shared" si="12"/>
        <v>1127275.0833333333</v>
      </c>
      <c r="I101" s="334">
        <f t="shared" si="12"/>
        <v>1127275.0833333333</v>
      </c>
      <c r="J101" s="334">
        <f t="shared" si="12"/>
        <v>1127275.0833333333</v>
      </c>
      <c r="K101" s="334">
        <f t="shared" si="12"/>
        <v>1127275.0833333333</v>
      </c>
      <c r="L101" s="334">
        <f t="shared" si="12"/>
        <v>1127275.0833333333</v>
      </c>
      <c r="M101" s="334">
        <f t="shared" si="12"/>
        <v>1127275.0833333333</v>
      </c>
      <c r="N101" s="334">
        <f t="shared" ref="N101:N119" si="13">SUM(B101:M101)</f>
        <v>13527301.000000002</v>
      </c>
    </row>
    <row r="102" spans="1:14">
      <c r="A102" s="336" t="s">
        <v>255</v>
      </c>
      <c r="B102" s="337">
        <v>1630</v>
      </c>
      <c r="C102" s="337">
        <v>5075</v>
      </c>
      <c r="D102" s="337">
        <v>5950</v>
      </c>
      <c r="E102" s="337">
        <v>6999</v>
      </c>
      <c r="F102" s="337">
        <v>2537</v>
      </c>
      <c r="G102" s="338">
        <v>6300</v>
      </c>
      <c r="H102" s="338">
        <v>500</v>
      </c>
      <c r="I102" s="338">
        <v>6475</v>
      </c>
      <c r="J102" s="338">
        <v>1925</v>
      </c>
      <c r="K102" s="338">
        <v>10150</v>
      </c>
      <c r="L102" s="338">
        <v>3062</v>
      </c>
      <c r="M102" s="338">
        <v>3587</v>
      </c>
      <c r="N102" s="332">
        <f t="shared" si="13"/>
        <v>54190</v>
      </c>
    </row>
    <row r="103" spans="1:14">
      <c r="A103" s="228" t="s">
        <v>256</v>
      </c>
      <c r="B103" s="330">
        <v>115125</v>
      </c>
      <c r="C103" s="330">
        <v>129312</v>
      </c>
      <c r="D103" s="330">
        <v>135500</v>
      </c>
      <c r="E103" s="330">
        <v>225875</v>
      </c>
      <c r="F103" s="330">
        <v>115625</v>
      </c>
      <c r="G103" s="330">
        <v>167188</v>
      </c>
      <c r="H103" s="330">
        <v>241981</v>
      </c>
      <c r="I103" s="330">
        <v>210475</v>
      </c>
      <c r="J103" s="330">
        <v>202352</v>
      </c>
      <c r="K103" s="330">
        <v>176780</v>
      </c>
      <c r="L103" s="330">
        <v>95000</v>
      </c>
      <c r="M103" s="330">
        <v>57000</v>
      </c>
      <c r="N103" s="332">
        <f t="shared" si="13"/>
        <v>1872213</v>
      </c>
    </row>
    <row r="104" spans="1:14">
      <c r="A104" s="228" t="s">
        <v>257</v>
      </c>
      <c r="B104" s="330">
        <v>25874</v>
      </c>
      <c r="C104" s="330">
        <v>25874</v>
      </c>
      <c r="D104" s="330">
        <v>25874</v>
      </c>
      <c r="E104" s="330">
        <v>25874</v>
      </c>
      <c r="F104" s="330">
        <v>36625</v>
      </c>
      <c r="G104" s="330">
        <v>30443</v>
      </c>
      <c r="H104" s="330">
        <v>38083</v>
      </c>
      <c r="I104" s="330">
        <v>39758</v>
      </c>
      <c r="J104" s="330">
        <v>100213</v>
      </c>
      <c r="K104" s="330">
        <v>40677</v>
      </c>
      <c r="L104" s="330">
        <v>87118</v>
      </c>
      <c r="M104" s="330">
        <v>18553</v>
      </c>
      <c r="N104" s="332">
        <f t="shared" si="13"/>
        <v>494966</v>
      </c>
    </row>
    <row r="105" spans="1:14">
      <c r="A105" s="228" t="s">
        <v>211</v>
      </c>
      <c r="B105" s="330">
        <v>272462.5</v>
      </c>
      <c r="C105" s="329">
        <v>79308.5</v>
      </c>
      <c r="D105" s="329">
        <v>84467</v>
      </c>
      <c r="E105" s="340">
        <v>86850</v>
      </c>
      <c r="F105" s="340">
        <v>111212.5</v>
      </c>
      <c r="G105" s="340">
        <v>29975</v>
      </c>
      <c r="H105" s="340">
        <v>575</v>
      </c>
      <c r="I105" s="340">
        <v>67512.5</v>
      </c>
      <c r="J105" s="340">
        <v>48062.5</v>
      </c>
      <c r="K105" s="340">
        <v>170187.5</v>
      </c>
      <c r="L105" s="340">
        <v>94875</v>
      </c>
      <c r="M105" s="340">
        <v>30000</v>
      </c>
      <c r="N105" s="332">
        <f t="shared" si="13"/>
        <v>1075488</v>
      </c>
    </row>
    <row r="106" spans="1:14">
      <c r="A106" s="228" t="s">
        <v>258</v>
      </c>
      <c r="B106" s="330">
        <v>500</v>
      </c>
      <c r="C106" s="329">
        <v>225</v>
      </c>
      <c r="D106" s="329">
        <v>1825</v>
      </c>
      <c r="E106" s="329">
        <v>200</v>
      </c>
      <c r="F106" s="329">
        <v>510</v>
      </c>
      <c r="G106" s="329">
        <v>200</v>
      </c>
      <c r="H106" s="329">
        <v>200</v>
      </c>
      <c r="I106" s="329">
        <v>4040</v>
      </c>
      <c r="J106" s="329">
        <v>300</v>
      </c>
      <c r="K106" s="329">
        <v>2330</v>
      </c>
      <c r="L106" s="329">
        <v>3910</v>
      </c>
      <c r="M106" s="329">
        <v>200</v>
      </c>
      <c r="N106" s="332">
        <f t="shared" si="13"/>
        <v>14440</v>
      </c>
    </row>
    <row r="107" spans="1:14">
      <c r="A107" s="228" t="s">
        <v>371</v>
      </c>
      <c r="B107" s="330">
        <v>11</v>
      </c>
      <c r="C107" s="329">
        <v>21</v>
      </c>
      <c r="D107" s="329">
        <v>22</v>
      </c>
      <c r="E107" s="329">
        <v>24</v>
      </c>
      <c r="F107" s="329">
        <v>27</v>
      </c>
      <c r="G107" s="329">
        <v>23</v>
      </c>
      <c r="H107" s="329">
        <v>1</v>
      </c>
      <c r="I107" s="329">
        <v>45</v>
      </c>
      <c r="J107" s="329">
        <v>54</v>
      </c>
      <c r="K107" s="329">
        <v>44</v>
      </c>
      <c r="L107" s="329">
        <v>43</v>
      </c>
      <c r="M107" s="329"/>
      <c r="N107" s="332">
        <f t="shared" si="13"/>
        <v>315</v>
      </c>
    </row>
    <row r="108" spans="1:14">
      <c r="A108" s="228" t="s">
        <v>120</v>
      </c>
      <c r="B108" s="330">
        <v>26870</v>
      </c>
      <c r="C108" s="329">
        <v>47597</v>
      </c>
      <c r="D108" s="329">
        <v>55200</v>
      </c>
      <c r="E108" s="329">
        <v>49480</v>
      </c>
      <c r="F108" s="329">
        <v>59710</v>
      </c>
      <c r="G108" s="329">
        <v>56820</v>
      </c>
      <c r="H108" s="329">
        <v>1500</v>
      </c>
      <c r="I108" s="329">
        <v>36975</v>
      </c>
      <c r="J108" s="329">
        <v>121390</v>
      </c>
      <c r="K108" s="329">
        <v>97830</v>
      </c>
      <c r="L108" s="329">
        <v>70630</v>
      </c>
      <c r="M108" s="329">
        <v>20000</v>
      </c>
      <c r="N108" s="332">
        <f t="shared" si="13"/>
        <v>644002</v>
      </c>
    </row>
    <row r="109" spans="1:14">
      <c r="A109" s="228" t="s">
        <v>260</v>
      </c>
      <c r="B109" s="330">
        <v>9</v>
      </c>
      <c r="C109" s="329">
        <v>20</v>
      </c>
      <c r="D109" s="329">
        <v>10</v>
      </c>
      <c r="E109" s="329">
        <v>9</v>
      </c>
      <c r="F109" s="329">
        <v>8</v>
      </c>
      <c r="G109" s="329">
        <v>10</v>
      </c>
      <c r="H109" s="329">
        <v>12</v>
      </c>
      <c r="I109" s="329">
        <v>9</v>
      </c>
      <c r="J109" s="329">
        <v>8</v>
      </c>
      <c r="K109" s="329">
        <v>10</v>
      </c>
      <c r="L109" s="329"/>
      <c r="M109" s="329"/>
      <c r="N109" s="332">
        <f t="shared" si="13"/>
        <v>105</v>
      </c>
    </row>
    <row r="110" spans="1:14">
      <c r="A110" s="228" t="s">
        <v>261</v>
      </c>
      <c r="B110" s="330"/>
      <c r="C110" s="329">
        <v>3150</v>
      </c>
      <c r="D110" s="329">
        <v>8100</v>
      </c>
      <c r="E110" s="329">
        <v>3150</v>
      </c>
      <c r="F110" s="329">
        <v>2250</v>
      </c>
      <c r="G110" s="329"/>
      <c r="H110" s="329"/>
      <c r="I110" s="329"/>
      <c r="J110" s="329">
        <v>1800</v>
      </c>
      <c r="K110" s="329">
        <v>900</v>
      </c>
      <c r="L110" s="329">
        <v>2500</v>
      </c>
      <c r="M110" s="329">
        <v>450</v>
      </c>
      <c r="N110" s="332">
        <f t="shared" si="13"/>
        <v>22300</v>
      </c>
    </row>
    <row r="111" spans="1:14">
      <c r="A111" s="228" t="s">
        <v>372</v>
      </c>
      <c r="B111" s="330">
        <v>14600</v>
      </c>
      <c r="C111" s="330">
        <v>14600</v>
      </c>
      <c r="D111" s="330">
        <v>14600</v>
      </c>
      <c r="E111" s="330">
        <v>14600</v>
      </c>
      <c r="F111" s="330">
        <v>14190</v>
      </c>
      <c r="G111" s="330">
        <v>24690</v>
      </c>
      <c r="H111" s="330">
        <v>38775</v>
      </c>
      <c r="I111" s="330">
        <v>38180</v>
      </c>
      <c r="J111" s="330">
        <v>20650</v>
      </c>
      <c r="K111" s="330">
        <v>20725</v>
      </c>
      <c r="L111" s="330">
        <v>15175</v>
      </c>
      <c r="M111" s="330">
        <v>12000</v>
      </c>
      <c r="N111" s="332">
        <f t="shared" si="13"/>
        <v>242785</v>
      </c>
    </row>
    <row r="112" spans="1:14" ht="13.5" thickBot="1">
      <c r="A112" s="228" t="s">
        <v>125</v>
      </c>
      <c r="B112" s="330"/>
      <c r="C112" s="329"/>
      <c r="D112" s="329"/>
      <c r="E112" s="329"/>
      <c r="F112" s="329"/>
      <c r="G112" s="329"/>
      <c r="H112" s="329"/>
      <c r="I112" s="329"/>
      <c r="J112" s="329"/>
      <c r="K112" s="329"/>
      <c r="L112" s="329"/>
      <c r="M112" s="329"/>
      <c r="N112" s="332">
        <f t="shared" si="13"/>
        <v>0</v>
      </c>
    </row>
    <row r="113" spans="1:14" ht="13.5" thickBot="1">
      <c r="A113" s="341" t="s">
        <v>126</v>
      </c>
      <c r="B113" s="334">
        <f t="shared" ref="B113:M113" si="14">SUM(B102:B112)</f>
        <v>457081.5</v>
      </c>
      <c r="C113" s="334">
        <f t="shared" si="14"/>
        <v>305182.5</v>
      </c>
      <c r="D113" s="334">
        <f t="shared" si="14"/>
        <v>331548</v>
      </c>
      <c r="E113" s="334">
        <f t="shared" si="14"/>
        <v>413061</v>
      </c>
      <c r="F113" s="334">
        <f t="shared" si="14"/>
        <v>342694.5</v>
      </c>
      <c r="G113" s="334">
        <f t="shared" si="14"/>
        <v>315649</v>
      </c>
      <c r="H113" s="334">
        <f t="shared" si="14"/>
        <v>321627</v>
      </c>
      <c r="I113" s="334">
        <f t="shared" si="14"/>
        <v>403469.5</v>
      </c>
      <c r="J113" s="334">
        <f t="shared" si="14"/>
        <v>496754.5</v>
      </c>
      <c r="K113" s="334">
        <f t="shared" si="14"/>
        <v>519633.5</v>
      </c>
      <c r="L113" s="334">
        <f t="shared" si="14"/>
        <v>372313</v>
      </c>
      <c r="M113" s="334">
        <f t="shared" si="14"/>
        <v>141790</v>
      </c>
      <c r="N113" s="334">
        <f t="shared" si="13"/>
        <v>4420804</v>
      </c>
    </row>
    <row r="114" spans="1:14" ht="13.5" thickBot="1">
      <c r="A114" s="336" t="s">
        <v>127</v>
      </c>
      <c r="B114" s="343"/>
      <c r="C114" s="344"/>
      <c r="D114" s="344"/>
      <c r="E114" s="344"/>
      <c r="F114" s="344"/>
      <c r="G114" s="344"/>
      <c r="H114" s="344"/>
      <c r="I114" s="344"/>
      <c r="J114" s="344"/>
      <c r="K114" s="344">
        <v>202930</v>
      </c>
      <c r="L114" s="344"/>
      <c r="M114" s="344"/>
      <c r="N114" s="332">
        <f t="shared" si="13"/>
        <v>202930</v>
      </c>
    </row>
    <row r="115" spans="1:14" ht="13.5" thickBot="1">
      <c r="A115" s="345" t="s">
        <v>129</v>
      </c>
      <c r="B115" s="334">
        <f t="shared" ref="B115:M115" si="15">SUM(B101,B113,B114)</f>
        <v>1584356.5833333333</v>
      </c>
      <c r="C115" s="334">
        <f t="shared" si="15"/>
        <v>1432457.5833333333</v>
      </c>
      <c r="D115" s="334">
        <f t="shared" si="15"/>
        <v>1458823.0833333333</v>
      </c>
      <c r="E115" s="334">
        <f t="shared" si="15"/>
        <v>1540336.0833333333</v>
      </c>
      <c r="F115" s="334">
        <f t="shared" si="15"/>
        <v>1469969.5833333333</v>
      </c>
      <c r="G115" s="334">
        <f t="shared" si="15"/>
        <v>1442924.0833333333</v>
      </c>
      <c r="H115" s="334">
        <f t="shared" si="15"/>
        <v>1448902.0833333333</v>
      </c>
      <c r="I115" s="334">
        <f t="shared" si="15"/>
        <v>1530744.5833333333</v>
      </c>
      <c r="J115" s="334">
        <f t="shared" si="15"/>
        <v>1624029.5833333333</v>
      </c>
      <c r="K115" s="334">
        <f t="shared" si="15"/>
        <v>1849838.5833333333</v>
      </c>
      <c r="L115" s="334">
        <f t="shared" si="15"/>
        <v>1499588.0833333333</v>
      </c>
      <c r="M115" s="334">
        <f t="shared" si="15"/>
        <v>1269065.0833333333</v>
      </c>
      <c r="N115" s="334">
        <f t="shared" si="13"/>
        <v>18151035</v>
      </c>
    </row>
    <row r="116" spans="1:14">
      <c r="A116" s="347" t="s">
        <v>131</v>
      </c>
      <c r="B116" s="331">
        <v>1332759</v>
      </c>
      <c r="C116" s="331">
        <v>1476393</v>
      </c>
      <c r="D116" s="331">
        <v>1301103</v>
      </c>
      <c r="E116" s="331">
        <v>1348898</v>
      </c>
      <c r="F116" s="331">
        <v>1481380</v>
      </c>
      <c r="G116" s="331">
        <v>1380971</v>
      </c>
      <c r="H116" s="331">
        <v>1329126</v>
      </c>
      <c r="I116" s="331">
        <v>1495000</v>
      </c>
      <c r="J116" s="331">
        <v>1337740</v>
      </c>
      <c r="K116" s="331">
        <v>1383818</v>
      </c>
      <c r="L116" s="331">
        <v>1450000</v>
      </c>
      <c r="M116" s="331">
        <v>1450000</v>
      </c>
      <c r="N116" s="332">
        <f t="shared" si="13"/>
        <v>16767188</v>
      </c>
    </row>
    <row r="117" spans="1:14">
      <c r="A117" s="349" t="s">
        <v>135</v>
      </c>
      <c r="B117" s="331"/>
      <c r="C117" s="331"/>
      <c r="D117" s="331"/>
      <c r="E117" s="331"/>
      <c r="F117" s="331">
        <v>150000</v>
      </c>
      <c r="G117" s="331"/>
      <c r="H117" s="331"/>
      <c r="I117" s="331"/>
      <c r="J117" s="331"/>
      <c r="K117" s="331"/>
      <c r="L117" s="331"/>
      <c r="M117" s="331"/>
      <c r="N117" s="332">
        <f t="shared" si="13"/>
        <v>150000</v>
      </c>
    </row>
    <row r="118" spans="1:14">
      <c r="A118" s="349" t="s">
        <v>157</v>
      </c>
      <c r="B118" s="331"/>
      <c r="C118" s="331"/>
      <c r="D118" s="331"/>
      <c r="E118" s="331"/>
      <c r="F118" s="331"/>
      <c r="G118" s="331"/>
      <c r="H118" s="331"/>
      <c r="I118" s="331">
        <v>500000</v>
      </c>
      <c r="J118" s="331"/>
      <c r="K118" s="331"/>
      <c r="L118" s="331"/>
      <c r="M118" s="331"/>
      <c r="N118" s="332">
        <f t="shared" si="13"/>
        <v>500000</v>
      </c>
    </row>
    <row r="119" spans="1:14" ht="13.5" thickBot="1">
      <c r="A119" s="349" t="s">
        <v>264</v>
      </c>
      <c r="B119" s="331"/>
      <c r="C119" s="331"/>
      <c r="D119" s="331"/>
      <c r="E119" s="331"/>
      <c r="F119" s="331"/>
      <c r="G119" s="331"/>
      <c r="H119" s="331"/>
      <c r="I119" s="331"/>
      <c r="J119" s="331">
        <v>99925</v>
      </c>
      <c r="K119" s="331">
        <v>15000</v>
      </c>
      <c r="L119" s="331">
        <v>15000</v>
      </c>
      <c r="M119" s="331">
        <v>15000</v>
      </c>
      <c r="N119" s="332">
        <f t="shared" si="13"/>
        <v>144925</v>
      </c>
    </row>
    <row r="120" spans="1:14" ht="13.5" thickBot="1">
      <c r="A120" s="350" t="s">
        <v>146</v>
      </c>
      <c r="B120" s="351">
        <f>B115-SUM(B116:B119)</f>
        <v>251597.58333333326</v>
      </c>
      <c r="C120" s="351">
        <f t="shared" ref="C120:N120" si="16">C115-SUM(C116:C119)</f>
        <v>-43935.416666666744</v>
      </c>
      <c r="D120" s="351">
        <f t="shared" si="16"/>
        <v>157720.08333333326</v>
      </c>
      <c r="E120" s="351">
        <f t="shared" si="16"/>
        <v>191438.08333333326</v>
      </c>
      <c r="F120" s="351">
        <f t="shared" si="16"/>
        <v>-161410.41666666674</v>
      </c>
      <c r="G120" s="351">
        <f t="shared" si="16"/>
        <v>61953.083333333256</v>
      </c>
      <c r="H120" s="351">
        <f t="shared" si="16"/>
        <v>119776.08333333326</v>
      </c>
      <c r="I120" s="351">
        <f t="shared" si="16"/>
        <v>-464255.41666666674</v>
      </c>
      <c r="J120" s="351">
        <f t="shared" si="16"/>
        <v>186364.58333333326</v>
      </c>
      <c r="K120" s="351">
        <f t="shared" si="16"/>
        <v>451020.58333333326</v>
      </c>
      <c r="L120" s="351">
        <f t="shared" si="16"/>
        <v>34588.083333333256</v>
      </c>
      <c r="M120" s="351">
        <f t="shared" si="16"/>
        <v>-195934.91666666674</v>
      </c>
      <c r="N120" s="351">
        <f t="shared" si="16"/>
        <v>588922</v>
      </c>
    </row>
    <row r="121" spans="1:14" ht="13.5" thickBot="1">
      <c r="A121" s="352"/>
      <c r="B121" s="353"/>
      <c r="C121" s="353"/>
      <c r="D121" s="353"/>
      <c r="E121" s="353"/>
      <c r="F121" s="353"/>
      <c r="G121" s="353"/>
      <c r="H121" s="353"/>
      <c r="I121" s="353"/>
      <c r="J121" s="353"/>
      <c r="K121" s="353"/>
      <c r="L121" s="353"/>
      <c r="M121" s="353"/>
      <c r="N121" s="353"/>
    </row>
    <row r="122" spans="1:14" ht="20.25">
      <c r="A122" s="825" t="s">
        <v>373</v>
      </c>
      <c r="B122" s="825"/>
      <c r="C122" s="825"/>
      <c r="D122" s="825"/>
      <c r="E122" s="825"/>
      <c r="F122" s="825"/>
      <c r="G122" s="825"/>
      <c r="H122" s="825"/>
      <c r="I122" s="825"/>
      <c r="J122" s="825"/>
      <c r="K122" s="825"/>
      <c r="L122" s="825"/>
      <c r="M122" s="825"/>
      <c r="N122" s="825"/>
    </row>
    <row r="123" spans="1:14">
      <c r="A123" s="227"/>
      <c r="B123" s="227"/>
      <c r="C123" s="227"/>
      <c r="D123" s="227"/>
      <c r="E123" s="227"/>
      <c r="F123" s="227"/>
      <c r="G123" s="227"/>
      <c r="H123" s="227"/>
      <c r="I123" s="227"/>
      <c r="J123" s="227"/>
      <c r="K123" s="227"/>
      <c r="L123" s="227"/>
      <c r="M123" s="227"/>
    </row>
    <row r="124" spans="1:14">
      <c r="A124" s="228"/>
      <c r="B124" s="229" t="s">
        <v>44</v>
      </c>
      <c r="C124" s="229" t="s">
        <v>45</v>
      </c>
      <c r="D124" s="230" t="s">
        <v>46</v>
      </c>
      <c r="E124" s="229" t="s">
        <v>47</v>
      </c>
      <c r="F124" s="229" t="s">
        <v>48</v>
      </c>
      <c r="G124" s="230" t="s">
        <v>49</v>
      </c>
      <c r="H124" s="229" t="s">
        <v>38</v>
      </c>
      <c r="I124" s="229" t="s">
        <v>39</v>
      </c>
      <c r="J124" s="229" t="s">
        <v>40</v>
      </c>
      <c r="K124" s="229" t="s">
        <v>41</v>
      </c>
      <c r="L124" s="229" t="s">
        <v>42</v>
      </c>
      <c r="M124" s="229" t="s">
        <v>43</v>
      </c>
      <c r="N124" s="228" t="s">
        <v>64</v>
      </c>
    </row>
    <row r="125" spans="1:14">
      <c r="A125" s="231" t="s">
        <v>65</v>
      </c>
      <c r="B125" s="232">
        <v>2565</v>
      </c>
      <c r="C125" s="232">
        <v>2565</v>
      </c>
      <c r="D125" s="232">
        <v>2565</v>
      </c>
      <c r="E125" s="232">
        <v>2565</v>
      </c>
      <c r="F125" s="232">
        <v>2565</v>
      </c>
      <c r="G125" s="232">
        <v>2565</v>
      </c>
      <c r="H125" s="232">
        <v>2565</v>
      </c>
      <c r="I125" s="232">
        <v>2565</v>
      </c>
      <c r="J125" s="232">
        <v>2565</v>
      </c>
      <c r="K125" s="232">
        <v>2565</v>
      </c>
      <c r="L125" s="232">
        <v>2565</v>
      </c>
      <c r="M125" s="232">
        <v>2565</v>
      </c>
      <c r="N125" s="232">
        <f t="shared" ref="N125:N136" si="17">SUM(B125:M125)</f>
        <v>30780</v>
      </c>
    </row>
    <row r="126" spans="1:14">
      <c r="A126" s="231" t="s">
        <v>66</v>
      </c>
      <c r="B126" s="232"/>
      <c r="C126" s="232"/>
      <c r="D126" s="232"/>
      <c r="E126" s="232"/>
      <c r="F126" s="232"/>
      <c r="G126" s="233"/>
      <c r="H126" s="232"/>
      <c r="I126" s="232"/>
      <c r="J126" s="234"/>
      <c r="K126" s="232"/>
      <c r="L126" s="232"/>
      <c r="M126" s="232"/>
      <c r="N126" s="232">
        <f t="shared" si="17"/>
        <v>0</v>
      </c>
    </row>
    <row r="127" spans="1:14">
      <c r="A127" s="231" t="s">
        <v>148</v>
      </c>
      <c r="B127" s="232"/>
      <c r="C127" s="232"/>
      <c r="D127" s="232"/>
      <c r="E127" s="232"/>
      <c r="F127" s="232"/>
      <c r="G127" s="233"/>
      <c r="H127" s="232"/>
      <c r="I127" s="232"/>
      <c r="J127" s="232"/>
      <c r="K127" s="232"/>
      <c r="L127" s="232"/>
      <c r="M127" s="228"/>
      <c r="N127" s="232">
        <f t="shared" si="17"/>
        <v>0</v>
      </c>
    </row>
    <row r="128" spans="1:14">
      <c r="A128" s="231" t="s">
        <v>69</v>
      </c>
      <c r="B128" s="232">
        <v>50.75</v>
      </c>
      <c r="C128" s="232">
        <v>121</v>
      </c>
      <c r="D128" s="232">
        <v>235.75</v>
      </c>
      <c r="E128" s="232">
        <v>340.75</v>
      </c>
      <c r="F128" s="232">
        <v>51.5</v>
      </c>
      <c r="G128" s="233">
        <v>56.75</v>
      </c>
      <c r="H128" s="232">
        <v>1314</v>
      </c>
      <c r="I128" s="232">
        <v>388</v>
      </c>
      <c r="J128" s="232">
        <v>169.5</v>
      </c>
      <c r="K128" s="232">
        <v>210</v>
      </c>
      <c r="L128" s="232"/>
      <c r="M128" s="232"/>
      <c r="N128" s="232">
        <f t="shared" si="17"/>
        <v>2938</v>
      </c>
    </row>
    <row r="129" spans="1:14">
      <c r="A129" s="231" t="s">
        <v>70</v>
      </c>
      <c r="B129" s="232">
        <v>37</v>
      </c>
      <c r="C129" s="232">
        <v>37</v>
      </c>
      <c r="D129" s="232">
        <v>21.5</v>
      </c>
      <c r="E129" s="232">
        <v>68</v>
      </c>
      <c r="F129" s="232">
        <v>23.25</v>
      </c>
      <c r="G129" s="233">
        <v>37</v>
      </c>
      <c r="H129" s="232"/>
      <c r="I129" s="232"/>
      <c r="J129" s="232"/>
      <c r="K129" s="232"/>
      <c r="L129" s="232"/>
      <c r="M129" s="232"/>
      <c r="N129" s="232">
        <f t="shared" si="17"/>
        <v>223.75</v>
      </c>
    </row>
    <row r="130" spans="1:14">
      <c r="A130" s="231" t="s">
        <v>71</v>
      </c>
      <c r="B130" s="232">
        <v>46.5</v>
      </c>
      <c r="C130" s="232">
        <v>161</v>
      </c>
      <c r="D130" s="232">
        <v>42.5</v>
      </c>
      <c r="E130" s="232">
        <v>15.5</v>
      </c>
      <c r="F130" s="232">
        <v>23.25</v>
      </c>
      <c r="G130" s="233">
        <v>111</v>
      </c>
      <c r="H130" s="232">
        <v>7.75</v>
      </c>
      <c r="I130" s="232">
        <v>52.5</v>
      </c>
      <c r="J130" s="232">
        <v>21.5</v>
      </c>
      <c r="K130" s="232">
        <v>38.75</v>
      </c>
      <c r="L130" s="232"/>
      <c r="M130" s="232"/>
      <c r="N130" s="232">
        <f t="shared" si="17"/>
        <v>520.25</v>
      </c>
    </row>
    <row r="131" spans="1:14">
      <c r="A131" s="231" t="s">
        <v>72</v>
      </c>
      <c r="B131" s="232"/>
      <c r="C131" s="232"/>
      <c r="D131" s="232"/>
      <c r="E131" s="232"/>
      <c r="F131" s="232"/>
      <c r="G131" s="233"/>
      <c r="H131" s="232"/>
      <c r="I131" s="232"/>
      <c r="J131" s="232"/>
      <c r="K131" s="232"/>
      <c r="L131" s="232"/>
      <c r="M131" s="232"/>
      <c r="N131" s="232">
        <f t="shared" si="17"/>
        <v>0</v>
      </c>
    </row>
    <row r="132" spans="1:14">
      <c r="A132" s="231" t="s">
        <v>73</v>
      </c>
      <c r="B132" s="232">
        <v>34.25</v>
      </c>
      <c r="C132" s="232">
        <v>58.5</v>
      </c>
      <c r="D132" s="232">
        <v>23</v>
      </c>
      <c r="E132" s="232">
        <v>39.75</v>
      </c>
      <c r="F132" s="232">
        <v>80.75</v>
      </c>
      <c r="G132" s="233">
        <v>136.75</v>
      </c>
      <c r="H132" s="232">
        <v>268.5</v>
      </c>
      <c r="I132" s="232">
        <v>118</v>
      </c>
      <c r="J132" s="232">
        <v>77.75</v>
      </c>
      <c r="K132" s="232">
        <v>202.25</v>
      </c>
      <c r="L132" s="232"/>
      <c r="M132" s="232"/>
      <c r="N132" s="232">
        <f t="shared" si="17"/>
        <v>1039.5</v>
      </c>
    </row>
    <row r="133" spans="1:14">
      <c r="A133" s="231" t="s">
        <v>74</v>
      </c>
      <c r="B133" s="232"/>
      <c r="C133" s="232"/>
      <c r="D133" s="232"/>
      <c r="E133" s="232"/>
      <c r="F133" s="232"/>
      <c r="G133" s="233"/>
      <c r="H133" s="232"/>
      <c r="I133" s="232"/>
      <c r="J133" s="232"/>
      <c r="K133" s="232"/>
      <c r="L133" s="232"/>
      <c r="M133" s="232"/>
      <c r="N133" s="232">
        <f t="shared" si="17"/>
        <v>0</v>
      </c>
    </row>
    <row r="134" spans="1:14">
      <c r="A134" s="231" t="s">
        <v>75</v>
      </c>
      <c r="B134" s="232">
        <v>18</v>
      </c>
      <c r="C134" s="232">
        <v>114.25</v>
      </c>
      <c r="D134" s="232"/>
      <c r="E134" s="232"/>
      <c r="F134" s="232">
        <v>147.25</v>
      </c>
      <c r="G134" s="233">
        <v>15.5</v>
      </c>
      <c r="H134" s="232"/>
      <c r="I134" s="232"/>
      <c r="J134" s="232"/>
      <c r="K134" s="232"/>
      <c r="L134" s="232"/>
      <c r="M134" s="232"/>
      <c r="N134" s="232">
        <f t="shared" si="17"/>
        <v>295</v>
      </c>
    </row>
    <row r="135" spans="1:14" ht="13.5" thickBot="1">
      <c r="A135" s="235" t="s">
        <v>76</v>
      </c>
      <c r="B135" s="236"/>
      <c r="C135" s="236"/>
      <c r="D135" s="236"/>
      <c r="E135" s="236"/>
      <c r="F135" s="236"/>
      <c r="G135" s="237"/>
      <c r="H135" s="236"/>
      <c r="I135" s="236"/>
      <c r="J135" s="236"/>
      <c r="K135" s="236"/>
      <c r="L135" s="236"/>
      <c r="M135" s="236"/>
      <c r="N135" s="238">
        <f t="shared" si="17"/>
        <v>0</v>
      </c>
    </row>
    <row r="136" spans="1:14" ht="13.5" thickBot="1">
      <c r="A136" s="239" t="s">
        <v>77</v>
      </c>
      <c r="B136" s="240">
        <f t="shared" ref="B136:M136" si="18">SUM(B125+B126+B127-B128-B129-B130-B132-B133-B134-B135)</f>
        <v>2378.5</v>
      </c>
      <c r="C136" s="240">
        <f t="shared" si="18"/>
        <v>2073.25</v>
      </c>
      <c r="D136" s="240">
        <f t="shared" si="18"/>
        <v>2242.25</v>
      </c>
      <c r="E136" s="240">
        <f t="shared" si="18"/>
        <v>2101</v>
      </c>
      <c r="F136" s="240">
        <f t="shared" si="18"/>
        <v>2239</v>
      </c>
      <c r="G136" s="354">
        <f t="shared" si="18"/>
        <v>2208</v>
      </c>
      <c r="H136" s="240">
        <f t="shared" si="18"/>
        <v>974.75</v>
      </c>
      <c r="I136" s="240">
        <f t="shared" si="18"/>
        <v>2006.5</v>
      </c>
      <c r="J136" s="240">
        <f t="shared" si="18"/>
        <v>2296.25</v>
      </c>
      <c r="K136" s="240">
        <f t="shared" si="18"/>
        <v>2114</v>
      </c>
      <c r="L136" s="240">
        <f t="shared" si="18"/>
        <v>2565</v>
      </c>
      <c r="M136" s="241">
        <f t="shared" si="18"/>
        <v>2565</v>
      </c>
      <c r="N136" s="242">
        <f t="shared" si="17"/>
        <v>25763.5</v>
      </c>
    </row>
    <row r="137" spans="1:14">
      <c r="A137" s="243"/>
      <c r="B137" s="244"/>
      <c r="C137" s="244"/>
      <c r="D137" s="244"/>
      <c r="E137" s="244"/>
      <c r="F137" s="244"/>
      <c r="G137" s="244"/>
      <c r="H137" s="244"/>
      <c r="I137" s="244"/>
      <c r="J137" s="244"/>
      <c r="K137" s="244"/>
      <c r="L137" s="244"/>
      <c r="M137" s="244"/>
      <c r="N137" s="244"/>
    </row>
    <row r="138" spans="1:14">
      <c r="A138" s="243"/>
      <c r="B138" s="244"/>
      <c r="C138" s="244"/>
      <c r="D138" s="244"/>
      <c r="E138" s="244"/>
      <c r="F138" s="244"/>
      <c r="G138" s="244"/>
      <c r="H138" s="244"/>
      <c r="I138" s="244"/>
      <c r="J138" s="244"/>
      <c r="K138" s="244"/>
      <c r="L138" s="244"/>
      <c r="M138" s="244"/>
      <c r="N138" s="245" t="s">
        <v>78</v>
      </c>
    </row>
    <row r="139" spans="1:14">
      <c r="A139" s="231" t="s">
        <v>79</v>
      </c>
      <c r="B139" s="232">
        <f t="shared" ref="B139:M139" si="19">SUM(B126*100/B136)</f>
        <v>0</v>
      </c>
      <c r="C139" s="232">
        <f t="shared" si="19"/>
        <v>0</v>
      </c>
      <c r="D139" s="232">
        <f t="shared" si="19"/>
        <v>0</v>
      </c>
      <c r="E139" s="232">
        <f t="shared" si="19"/>
        <v>0</v>
      </c>
      <c r="F139" s="232">
        <f t="shared" si="19"/>
        <v>0</v>
      </c>
      <c r="G139" s="232">
        <f t="shared" si="19"/>
        <v>0</v>
      </c>
      <c r="H139" s="232">
        <f t="shared" si="19"/>
        <v>0</v>
      </c>
      <c r="I139" s="232">
        <f t="shared" si="19"/>
        <v>0</v>
      </c>
      <c r="J139" s="232">
        <f t="shared" si="19"/>
        <v>0</v>
      </c>
      <c r="K139" s="232">
        <f t="shared" si="19"/>
        <v>0</v>
      </c>
      <c r="L139" s="232">
        <f t="shared" si="19"/>
        <v>0</v>
      </c>
      <c r="M139" s="232">
        <f t="shared" si="19"/>
        <v>0</v>
      </c>
      <c r="N139" s="246">
        <f>SUM(B139:M139)/12</f>
        <v>0</v>
      </c>
    </row>
    <row r="140" spans="1:14">
      <c r="A140" s="243"/>
      <c r="B140" s="244"/>
      <c r="C140" s="244"/>
      <c r="D140" s="244"/>
      <c r="E140" s="244"/>
      <c r="F140" s="244"/>
      <c r="G140" s="244"/>
      <c r="H140" s="244"/>
      <c r="I140" s="244"/>
      <c r="J140" s="244"/>
      <c r="K140" s="244"/>
      <c r="L140" s="244"/>
      <c r="M140" s="244"/>
      <c r="N140" s="227"/>
    </row>
    <row r="141" spans="1:14">
      <c r="A141" s="231" t="s">
        <v>80</v>
      </c>
      <c r="B141" s="232">
        <f t="shared" ref="B141:M141" si="20">SUM(B130*100/B136)</f>
        <v>1.9550136640739961</v>
      </c>
      <c r="C141" s="232">
        <f t="shared" si="20"/>
        <v>7.7655854334981314</v>
      </c>
      <c r="D141" s="232">
        <f t="shared" si="20"/>
        <v>1.8954175493366039</v>
      </c>
      <c r="E141" s="232">
        <f t="shared" si="20"/>
        <v>0.73774393146120898</v>
      </c>
      <c r="F141" s="232">
        <f t="shared" si="20"/>
        <v>1.0384100044662796</v>
      </c>
      <c r="G141" s="232">
        <f t="shared" si="20"/>
        <v>5.0271739130434785</v>
      </c>
      <c r="H141" s="232">
        <f t="shared" si="20"/>
        <v>0.79507566042575017</v>
      </c>
      <c r="I141" s="232">
        <f t="shared" si="20"/>
        <v>2.6164963867430848</v>
      </c>
      <c r="J141" s="232">
        <f t="shared" si="20"/>
        <v>0.93630919978225369</v>
      </c>
      <c r="K141" s="232">
        <f t="shared" si="20"/>
        <v>1.8330179754020814</v>
      </c>
      <c r="L141" s="232">
        <f t="shared" si="20"/>
        <v>0</v>
      </c>
      <c r="M141" s="232">
        <f t="shared" si="20"/>
        <v>0</v>
      </c>
      <c r="N141" s="246">
        <f>SUM(B141:M141)/12</f>
        <v>2.050020309852739</v>
      </c>
    </row>
    <row r="142" spans="1:14" ht="13.5" thickBot="1">
      <c r="A142" s="247" t="s">
        <v>81</v>
      </c>
      <c r="B142" s="238">
        <f t="shared" ref="B142:M142" si="21">SUM(B131*100/B136)</f>
        <v>0</v>
      </c>
      <c r="C142" s="238">
        <f t="shared" si="21"/>
        <v>0</v>
      </c>
      <c r="D142" s="238">
        <f t="shared" si="21"/>
        <v>0</v>
      </c>
      <c r="E142" s="238">
        <f t="shared" si="21"/>
        <v>0</v>
      </c>
      <c r="F142" s="238">
        <f t="shared" si="21"/>
        <v>0</v>
      </c>
      <c r="G142" s="238">
        <f t="shared" si="21"/>
        <v>0</v>
      </c>
      <c r="H142" s="238">
        <f t="shared" si="21"/>
        <v>0</v>
      </c>
      <c r="I142" s="238">
        <f t="shared" si="21"/>
        <v>0</v>
      </c>
      <c r="J142" s="238">
        <f t="shared" si="21"/>
        <v>0</v>
      </c>
      <c r="K142" s="238">
        <f t="shared" si="21"/>
        <v>0</v>
      </c>
      <c r="L142" s="238">
        <f t="shared" si="21"/>
        <v>0</v>
      </c>
      <c r="M142" s="238">
        <f t="shared" si="21"/>
        <v>0</v>
      </c>
      <c r="N142" s="248">
        <f>SUM(B142:M142)/12</f>
        <v>0</v>
      </c>
    </row>
    <row r="143" spans="1:14" ht="13.5" thickBot="1">
      <c r="A143" s="249" t="s">
        <v>82</v>
      </c>
      <c r="B143" s="250">
        <f t="shared" ref="B143:M143" si="22">SUM(B141:B141)</f>
        <v>1.9550136640739961</v>
      </c>
      <c r="C143" s="250">
        <f t="shared" si="22"/>
        <v>7.7655854334981314</v>
      </c>
      <c r="D143" s="250">
        <f t="shared" si="22"/>
        <v>1.8954175493366039</v>
      </c>
      <c r="E143" s="250">
        <f t="shared" si="22"/>
        <v>0.73774393146120898</v>
      </c>
      <c r="F143" s="250">
        <f t="shared" si="22"/>
        <v>1.0384100044662796</v>
      </c>
      <c r="G143" s="250">
        <f t="shared" si="22"/>
        <v>5.0271739130434785</v>
      </c>
      <c r="H143" s="250">
        <f t="shared" si="22"/>
        <v>0.79507566042575017</v>
      </c>
      <c r="I143" s="250">
        <f t="shared" si="22"/>
        <v>2.6164963867430848</v>
      </c>
      <c r="J143" s="250">
        <f t="shared" si="22"/>
        <v>0.93630919978225369</v>
      </c>
      <c r="K143" s="250">
        <f t="shared" si="22"/>
        <v>1.8330179754020814</v>
      </c>
      <c r="L143" s="250">
        <f t="shared" si="22"/>
        <v>0</v>
      </c>
      <c r="M143" s="250">
        <f t="shared" si="22"/>
        <v>0</v>
      </c>
      <c r="N143" s="251">
        <f>SUM(N141:N142)</f>
        <v>2.050020309852739</v>
      </c>
    </row>
    <row r="144" spans="1:14">
      <c r="A144" s="243" t="s">
        <v>83</v>
      </c>
      <c r="B144" s="244"/>
      <c r="C144" s="244"/>
      <c r="D144" s="252">
        <f>SUM(B143:D143)/3</f>
        <v>3.8720055489695775</v>
      </c>
      <c r="E144" s="244"/>
      <c r="F144" s="244"/>
      <c r="G144" s="252">
        <f>SUM(E143,F143,G143)/3</f>
        <v>2.2677759496569894</v>
      </c>
      <c r="H144" s="244"/>
      <c r="I144" s="244"/>
      <c r="J144" s="252">
        <f>SUM(H143,I143,J143)/3</f>
        <v>1.4492937489836963</v>
      </c>
      <c r="K144" s="244"/>
      <c r="L144" s="244"/>
      <c r="M144" s="252">
        <f>SUM(K143,L143,M143)/3</f>
        <v>0.61100599180069382</v>
      </c>
      <c r="N144" s="253">
        <f>SUM(D144:M144)/4</f>
        <v>2.0500203098527394</v>
      </c>
    </row>
    <row r="145" spans="1:14">
      <c r="A145" s="243" t="s">
        <v>84</v>
      </c>
      <c r="B145" s="244"/>
      <c r="C145" s="244"/>
      <c r="D145" s="254"/>
      <c r="E145" s="244"/>
      <c r="F145" s="244"/>
      <c r="G145" s="254"/>
      <c r="H145" s="244"/>
      <c r="I145" s="244"/>
      <c r="J145" s="254"/>
      <c r="K145" s="244"/>
      <c r="L145" s="244"/>
      <c r="M145" s="254"/>
      <c r="N145" s="246">
        <f>SUM(D145:G145,J145,M145)/4</f>
        <v>0</v>
      </c>
    </row>
    <row r="146" spans="1:14">
      <c r="A146" s="243"/>
      <c r="B146" s="244"/>
      <c r="C146" s="244"/>
      <c r="D146" s="244"/>
      <c r="E146" s="244"/>
      <c r="F146" s="244"/>
      <c r="G146" s="244"/>
      <c r="H146" s="244"/>
      <c r="I146" s="244"/>
      <c r="J146" s="244"/>
      <c r="K146" s="244"/>
      <c r="L146" s="244"/>
      <c r="M146" s="244"/>
      <c r="N146" s="244"/>
    </row>
    <row r="147" spans="1:14">
      <c r="A147" s="231" t="s">
        <v>85</v>
      </c>
      <c r="B147" s="232">
        <f t="shared" ref="B147:M147" si="23">B134*100/B136</f>
        <v>0.75677948286735341</v>
      </c>
      <c r="C147" s="232">
        <f t="shared" si="23"/>
        <v>5.5106716507898224</v>
      </c>
      <c r="D147" s="232">
        <f t="shared" si="23"/>
        <v>0</v>
      </c>
      <c r="E147" s="232">
        <f t="shared" si="23"/>
        <v>0</v>
      </c>
      <c r="F147" s="232">
        <f t="shared" si="23"/>
        <v>6.5765966949531043</v>
      </c>
      <c r="G147" s="232">
        <f t="shared" si="23"/>
        <v>0.70199275362318836</v>
      </c>
      <c r="H147" s="232">
        <f t="shared" si="23"/>
        <v>0</v>
      </c>
      <c r="I147" s="232">
        <f t="shared" si="23"/>
        <v>0</v>
      </c>
      <c r="J147" s="232">
        <f t="shared" si="23"/>
        <v>0</v>
      </c>
      <c r="K147" s="232">
        <f t="shared" si="23"/>
        <v>0</v>
      </c>
      <c r="L147" s="232">
        <f t="shared" si="23"/>
        <v>0</v>
      </c>
      <c r="M147" s="232">
        <f t="shared" si="23"/>
        <v>0</v>
      </c>
      <c r="N147" s="246">
        <f>SUM(B147:M147)/12</f>
        <v>1.1288367151861223</v>
      </c>
    </row>
    <row r="148" spans="1:14">
      <c r="A148" s="231" t="s">
        <v>86</v>
      </c>
      <c r="B148" s="232">
        <f t="shared" ref="B148:M148" si="24">B132*100/B136</f>
        <v>1.4399831826781586</v>
      </c>
      <c r="C148" s="232">
        <f t="shared" si="24"/>
        <v>2.8216568190039792</v>
      </c>
      <c r="D148" s="232">
        <f t="shared" si="24"/>
        <v>1.0257553796409855</v>
      </c>
      <c r="E148" s="232">
        <f t="shared" si="24"/>
        <v>1.8919562113279391</v>
      </c>
      <c r="F148" s="232">
        <f t="shared" si="24"/>
        <v>3.6065207682000895</v>
      </c>
      <c r="G148" s="232">
        <f t="shared" si="24"/>
        <v>6.19338768115942</v>
      </c>
      <c r="H148" s="232">
        <f t="shared" si="24"/>
        <v>27.545524493459862</v>
      </c>
      <c r="I148" s="232">
        <f t="shared" si="24"/>
        <v>5.8808871168701717</v>
      </c>
      <c r="J148" s="232">
        <f t="shared" si="24"/>
        <v>3.3859553620032661</v>
      </c>
      <c r="K148" s="232">
        <f t="shared" si="24"/>
        <v>9.5671712393566697</v>
      </c>
      <c r="L148" s="232">
        <f t="shared" si="24"/>
        <v>0</v>
      </c>
      <c r="M148" s="232">
        <f t="shared" si="24"/>
        <v>0</v>
      </c>
      <c r="N148" s="246">
        <f>SUM(B148:M148)/12</f>
        <v>5.2798998544750448</v>
      </c>
    </row>
    <row r="149" spans="1:14" ht="13.5" thickBot="1">
      <c r="A149" s="231" t="s">
        <v>87</v>
      </c>
      <c r="B149" s="232">
        <f t="shared" ref="B149:M149" si="25">B128*100/B136</f>
        <v>2.1336977086398989</v>
      </c>
      <c r="C149" s="232">
        <f t="shared" si="25"/>
        <v>5.836247437597974</v>
      </c>
      <c r="D149" s="232">
        <f t="shared" si="25"/>
        <v>10.513992641320103</v>
      </c>
      <c r="E149" s="232">
        <f t="shared" si="25"/>
        <v>16.218467396477866</v>
      </c>
      <c r="F149" s="232">
        <f t="shared" si="25"/>
        <v>2.3001339883876732</v>
      </c>
      <c r="G149" s="232">
        <f t="shared" si="25"/>
        <v>2.5701992753623188</v>
      </c>
      <c r="H149" s="232">
        <f t="shared" si="25"/>
        <v>134.80379584508847</v>
      </c>
      <c r="I149" s="232">
        <f t="shared" si="25"/>
        <v>19.337154248691753</v>
      </c>
      <c r="J149" s="232">
        <f t="shared" si="25"/>
        <v>7.3816004354926514</v>
      </c>
      <c r="K149" s="232">
        <f t="shared" si="25"/>
        <v>9.9337748344370862</v>
      </c>
      <c r="L149" s="232">
        <f t="shared" si="25"/>
        <v>0</v>
      </c>
      <c r="M149" s="232">
        <f t="shared" si="25"/>
        <v>0</v>
      </c>
      <c r="N149" s="246">
        <f>SUM(B149:M149)/12</f>
        <v>17.585755317624649</v>
      </c>
    </row>
    <row r="150" spans="1:14" ht="13.5" thickBot="1">
      <c r="A150" s="255" t="s">
        <v>88</v>
      </c>
      <c r="B150" s="256">
        <f t="shared" ref="B150:M150" si="26">SUM(B125-B136)*100/B136</f>
        <v>7.8410763085978559</v>
      </c>
      <c r="C150" s="256">
        <f t="shared" si="26"/>
        <v>23.718798987097554</v>
      </c>
      <c r="D150" s="256">
        <f t="shared" si="26"/>
        <v>14.394023859962092</v>
      </c>
      <c r="E150" s="256">
        <f t="shared" si="26"/>
        <v>22.084721561161352</v>
      </c>
      <c r="F150" s="256">
        <f t="shared" si="26"/>
        <v>14.560071460473425</v>
      </c>
      <c r="G150" s="256">
        <f t="shared" si="26"/>
        <v>16.168478260869566</v>
      </c>
      <c r="H150" s="256">
        <f t="shared" si="26"/>
        <v>163.14439599897409</v>
      </c>
      <c r="I150" s="256">
        <f t="shared" si="26"/>
        <v>27.83453775230501</v>
      </c>
      <c r="J150" s="256">
        <f t="shared" si="26"/>
        <v>11.703864997278171</v>
      </c>
      <c r="K150" s="256">
        <f t="shared" si="26"/>
        <v>21.333964049195838</v>
      </c>
      <c r="L150" s="256">
        <f t="shared" si="26"/>
        <v>0</v>
      </c>
      <c r="M150" s="256">
        <f t="shared" si="26"/>
        <v>0</v>
      </c>
      <c r="N150" s="257">
        <f>SUM(B150:M150)/12</f>
        <v>26.898661102992918</v>
      </c>
    </row>
    <row r="151" spans="1:14">
      <c r="A151" s="243"/>
      <c r="B151" s="244"/>
      <c r="C151" s="244"/>
      <c r="D151" s="244"/>
      <c r="E151" s="244"/>
      <c r="F151" s="244"/>
      <c r="G151" s="244"/>
      <c r="H151" s="244"/>
      <c r="I151" s="244"/>
      <c r="J151" s="244"/>
      <c r="K151" s="244"/>
      <c r="L151" s="244"/>
      <c r="M151" s="244"/>
      <c r="N151" s="227"/>
    </row>
    <row r="152" spans="1:14">
      <c r="A152" s="258" t="s">
        <v>89</v>
      </c>
      <c r="B152" s="244"/>
      <c r="C152" s="244"/>
      <c r="D152" s="244"/>
      <c r="E152" s="244"/>
      <c r="F152" s="244"/>
      <c r="G152" s="244"/>
      <c r="H152" s="244"/>
      <c r="I152" s="244"/>
      <c r="J152" s="244"/>
      <c r="K152" s="244"/>
      <c r="L152" s="244"/>
      <c r="M152" s="244"/>
      <c r="N152" s="227"/>
    </row>
    <row r="153" spans="1:14">
      <c r="A153" s="231" t="s">
        <v>90</v>
      </c>
      <c r="B153" s="259">
        <v>16</v>
      </c>
      <c r="C153" s="259">
        <v>16</v>
      </c>
      <c r="D153" s="259">
        <v>16</v>
      </c>
      <c r="E153" s="259">
        <v>16</v>
      </c>
      <c r="F153" s="259">
        <v>16</v>
      </c>
      <c r="G153" s="259">
        <v>16</v>
      </c>
      <c r="H153" s="259">
        <v>16</v>
      </c>
      <c r="I153" s="259">
        <f t="shared" ref="I153:N153" si="27">H156</f>
        <v>16</v>
      </c>
      <c r="J153" s="259">
        <f t="shared" si="27"/>
        <v>16</v>
      </c>
      <c r="K153" s="259">
        <f t="shared" si="27"/>
        <v>16</v>
      </c>
      <c r="L153" s="259">
        <f t="shared" si="27"/>
        <v>16</v>
      </c>
      <c r="M153" s="259">
        <f t="shared" si="27"/>
        <v>16</v>
      </c>
      <c r="N153" s="259">
        <f t="shared" si="27"/>
        <v>16</v>
      </c>
    </row>
    <row r="154" spans="1:14">
      <c r="A154" s="231" t="s">
        <v>91</v>
      </c>
      <c r="B154" s="259"/>
      <c r="C154" s="259"/>
      <c r="D154" s="259"/>
      <c r="E154" s="259"/>
      <c r="F154" s="259"/>
      <c r="G154" s="259"/>
      <c r="H154" s="259"/>
      <c r="I154" s="259"/>
      <c r="J154" s="259"/>
      <c r="K154" s="259"/>
      <c r="L154" s="259"/>
      <c r="M154" s="259"/>
      <c r="N154" s="259">
        <f>SUM(B154:M154)/12</f>
        <v>0</v>
      </c>
    </row>
    <row r="155" spans="1:14">
      <c r="A155" s="231" t="s">
        <v>92</v>
      </c>
      <c r="B155" s="259"/>
      <c r="C155" s="259"/>
      <c r="D155" s="259"/>
      <c r="E155" s="259"/>
      <c r="F155" s="259"/>
      <c r="G155" s="259"/>
      <c r="H155" s="259"/>
      <c r="I155" s="259"/>
      <c r="J155" s="259"/>
      <c r="K155" s="259"/>
      <c r="L155" s="259"/>
      <c r="M155" s="259"/>
      <c r="N155" s="259">
        <f>SUM(B154:M154)/12</f>
        <v>0</v>
      </c>
    </row>
    <row r="156" spans="1:14">
      <c r="A156" s="231" t="s">
        <v>89</v>
      </c>
      <c r="B156" s="259">
        <f t="shared" ref="B156:M156" si="28">SUM(B153+B154-B155)</f>
        <v>16</v>
      </c>
      <c r="C156" s="259">
        <f t="shared" si="28"/>
        <v>16</v>
      </c>
      <c r="D156" s="259">
        <f t="shared" si="28"/>
        <v>16</v>
      </c>
      <c r="E156" s="259">
        <f t="shared" si="28"/>
        <v>16</v>
      </c>
      <c r="F156" s="259">
        <f t="shared" si="28"/>
        <v>16</v>
      </c>
      <c r="G156" s="259">
        <f t="shared" si="28"/>
        <v>16</v>
      </c>
      <c r="H156" s="259">
        <f t="shared" si="28"/>
        <v>16</v>
      </c>
      <c r="I156" s="259">
        <f t="shared" si="28"/>
        <v>16</v>
      </c>
      <c r="J156" s="259">
        <f t="shared" si="28"/>
        <v>16</v>
      </c>
      <c r="K156" s="259">
        <f t="shared" si="28"/>
        <v>16</v>
      </c>
      <c r="L156" s="259">
        <f t="shared" si="28"/>
        <v>16</v>
      </c>
      <c r="M156" s="259">
        <f t="shared" si="28"/>
        <v>16</v>
      </c>
      <c r="N156" s="259">
        <f>SUM(B155:M155)/12</f>
        <v>0</v>
      </c>
    </row>
    <row r="157" spans="1:14">
      <c r="A157" s="231" t="s">
        <v>93</v>
      </c>
      <c r="B157" s="260">
        <f t="shared" ref="B157:M157" si="29">SUM(B156*100)/B153-100</f>
        <v>0</v>
      </c>
      <c r="C157" s="260">
        <f t="shared" si="29"/>
        <v>0</v>
      </c>
      <c r="D157" s="260">
        <f t="shared" si="29"/>
        <v>0</v>
      </c>
      <c r="E157" s="260">
        <f t="shared" si="29"/>
        <v>0</v>
      </c>
      <c r="F157" s="260">
        <f t="shared" si="29"/>
        <v>0</v>
      </c>
      <c r="G157" s="260">
        <f t="shared" si="29"/>
        <v>0</v>
      </c>
      <c r="H157" s="260">
        <f t="shared" si="29"/>
        <v>0</v>
      </c>
      <c r="I157" s="260">
        <f t="shared" si="29"/>
        <v>0</v>
      </c>
      <c r="J157" s="260">
        <f t="shared" si="29"/>
        <v>0</v>
      </c>
      <c r="K157" s="260">
        <f t="shared" si="29"/>
        <v>0</v>
      </c>
      <c r="L157" s="260">
        <f t="shared" si="29"/>
        <v>0</v>
      </c>
      <c r="M157" s="260">
        <f t="shared" si="29"/>
        <v>0</v>
      </c>
      <c r="N157" s="259"/>
    </row>
    <row r="158" spans="1:14">
      <c r="A158" s="243" t="s">
        <v>94</v>
      </c>
      <c r="B158" s="261"/>
      <c r="C158" s="261"/>
      <c r="D158" s="262">
        <f>SUM(B157:D157/3)</f>
        <v>0</v>
      </c>
      <c r="E158" s="261"/>
      <c r="F158" s="261"/>
      <c r="G158" s="262">
        <f>SUM(E157:G157)/3</f>
        <v>0</v>
      </c>
      <c r="H158" s="261"/>
      <c r="I158" s="261"/>
      <c r="J158" s="262">
        <f>SUM(H157:J157)/3</f>
        <v>0</v>
      </c>
      <c r="K158" s="261"/>
      <c r="L158" s="261"/>
      <c r="M158" s="262">
        <f>SUM(K157:M157)/3</f>
        <v>0</v>
      </c>
      <c r="N158" s="261"/>
    </row>
    <row r="159" spans="1:14">
      <c r="A159" s="243"/>
      <c r="B159" s="244"/>
      <c r="C159" s="244"/>
      <c r="D159" s="244"/>
      <c r="E159" s="244"/>
      <c r="F159" s="244"/>
      <c r="G159" s="244"/>
      <c r="H159" s="244"/>
      <c r="I159" s="244"/>
      <c r="J159" s="244"/>
      <c r="K159" s="244"/>
      <c r="L159" s="244"/>
      <c r="M159" s="244"/>
      <c r="N159" s="227"/>
    </row>
    <row r="160" spans="1:14" ht="15.75">
      <c r="A160" s="258"/>
      <c r="B160" s="326"/>
      <c r="C160" s="326"/>
      <c r="D160" s="326"/>
      <c r="E160" s="326"/>
      <c r="F160" s="326"/>
      <c r="G160" s="355"/>
      <c r="H160" s="326"/>
      <c r="I160" s="326"/>
      <c r="J160" s="326"/>
      <c r="K160" s="326"/>
      <c r="L160" s="326"/>
      <c r="M160" s="326"/>
      <c r="N160" s="227"/>
    </row>
    <row r="161" spans="1:15">
      <c r="A161" s="328" t="s">
        <v>113</v>
      </c>
      <c r="B161" s="232" t="s">
        <v>44</v>
      </c>
      <c r="C161" s="232" t="s">
        <v>45</v>
      </c>
      <c r="D161" s="232" t="s">
        <v>46</v>
      </c>
      <c r="E161" s="232" t="s">
        <v>47</v>
      </c>
      <c r="F161" s="232" t="s">
        <v>48</v>
      </c>
      <c r="G161" s="232" t="s">
        <v>49</v>
      </c>
      <c r="H161" s="232" t="s">
        <v>38</v>
      </c>
      <c r="I161" s="232" t="s">
        <v>39</v>
      </c>
      <c r="J161" s="232" t="s">
        <v>40</v>
      </c>
      <c r="K161" s="232" t="s">
        <v>41</v>
      </c>
      <c r="L161" s="232" t="s">
        <v>42</v>
      </c>
      <c r="M161" s="232" t="s">
        <v>43</v>
      </c>
      <c r="N161" s="228" t="s">
        <v>64</v>
      </c>
    </row>
    <row r="162" spans="1:15">
      <c r="A162" s="231" t="s">
        <v>238</v>
      </c>
      <c r="B162" s="529">
        <v>208000</v>
      </c>
      <c r="C162" s="529">
        <v>208000</v>
      </c>
      <c r="D162" s="529">
        <v>208000</v>
      </c>
      <c r="E162" s="529">
        <v>208000</v>
      </c>
      <c r="F162" s="529">
        <v>208000</v>
      </c>
      <c r="G162" s="529">
        <v>208000</v>
      </c>
      <c r="H162" s="529">
        <v>208000</v>
      </c>
      <c r="I162" s="529">
        <v>208000</v>
      </c>
      <c r="J162" s="529">
        <v>208000</v>
      </c>
      <c r="K162" s="529">
        <v>208000</v>
      </c>
      <c r="L162" s="529">
        <v>208000</v>
      </c>
      <c r="M162" s="529">
        <v>208000</v>
      </c>
      <c r="N162" s="529">
        <f t="shared" ref="N162:N176" si="30">SUM(B162:M162)</f>
        <v>2496000</v>
      </c>
    </row>
    <row r="163" spans="1:15">
      <c r="A163" s="231" t="s">
        <v>239</v>
      </c>
      <c r="B163" s="329">
        <v>81500</v>
      </c>
      <c r="C163" s="329">
        <v>81500</v>
      </c>
      <c r="D163" s="329">
        <v>81500</v>
      </c>
      <c r="E163" s="329">
        <v>81500</v>
      </c>
      <c r="F163" s="329">
        <v>81500</v>
      </c>
      <c r="G163" s="329">
        <v>81500</v>
      </c>
      <c r="H163" s="329">
        <v>81500</v>
      </c>
      <c r="I163" s="329">
        <v>81500</v>
      </c>
      <c r="J163" s="329">
        <v>81500</v>
      </c>
      <c r="K163" s="329">
        <v>81500</v>
      </c>
      <c r="L163" s="329">
        <v>81500</v>
      </c>
      <c r="M163" s="329">
        <v>81500</v>
      </c>
      <c r="N163" s="329">
        <f t="shared" si="30"/>
        <v>978000</v>
      </c>
    </row>
    <row r="164" spans="1:15">
      <c r="A164" s="231" t="s">
        <v>153</v>
      </c>
      <c r="B164" s="329">
        <v>3820</v>
      </c>
      <c r="C164" s="329">
        <v>0</v>
      </c>
      <c r="D164" s="329">
        <v>0</v>
      </c>
      <c r="E164" s="329">
        <v>0</v>
      </c>
      <c r="F164" s="329">
        <v>0</v>
      </c>
      <c r="G164" s="329">
        <v>0</v>
      </c>
      <c r="H164" s="329">
        <v>0</v>
      </c>
      <c r="I164" s="329">
        <v>0</v>
      </c>
      <c r="J164" s="329">
        <v>0</v>
      </c>
      <c r="K164" s="329">
        <v>0</v>
      </c>
      <c r="L164" s="329">
        <v>0</v>
      </c>
      <c r="M164" s="329">
        <v>0</v>
      </c>
      <c r="N164" s="329">
        <f t="shared" si="30"/>
        <v>3820</v>
      </c>
    </row>
    <row r="165" spans="1:15" ht="13.5" thickBot="1">
      <c r="A165" s="356" t="s">
        <v>154</v>
      </c>
      <c r="B165" s="357">
        <v>87000</v>
      </c>
      <c r="C165" s="357">
        <v>87000</v>
      </c>
      <c r="D165" s="357">
        <v>87000</v>
      </c>
      <c r="E165" s="357">
        <v>87000</v>
      </c>
      <c r="F165" s="357">
        <v>87000</v>
      </c>
      <c r="G165" s="357">
        <v>87000</v>
      </c>
      <c r="H165" s="357">
        <v>87000</v>
      </c>
      <c r="I165" s="357">
        <v>87000</v>
      </c>
      <c r="J165" s="357">
        <v>87000</v>
      </c>
      <c r="K165" s="357">
        <v>87000</v>
      </c>
      <c r="L165" s="357">
        <v>87000</v>
      </c>
      <c r="M165" s="357">
        <v>87000</v>
      </c>
      <c r="N165" s="329">
        <f t="shared" si="30"/>
        <v>1044000</v>
      </c>
    </row>
    <row r="166" spans="1:15" ht="13.5" thickBot="1">
      <c r="A166" s="333" t="s">
        <v>151</v>
      </c>
      <c r="B166" s="334">
        <f t="shared" ref="B166:M166" si="31">SUM(B162:B165)</f>
        <v>380320</v>
      </c>
      <c r="C166" s="334">
        <f t="shared" si="31"/>
        <v>376500</v>
      </c>
      <c r="D166" s="334">
        <f t="shared" si="31"/>
        <v>376500</v>
      </c>
      <c r="E166" s="334">
        <f t="shared" si="31"/>
        <v>376500</v>
      </c>
      <c r="F166" s="334">
        <f t="shared" si="31"/>
        <v>376500</v>
      </c>
      <c r="G166" s="334">
        <f t="shared" si="31"/>
        <v>376500</v>
      </c>
      <c r="H166" s="334">
        <f t="shared" si="31"/>
        <v>376500</v>
      </c>
      <c r="I166" s="334">
        <f t="shared" si="31"/>
        <v>376500</v>
      </c>
      <c r="J166" s="334">
        <f t="shared" si="31"/>
        <v>376500</v>
      </c>
      <c r="K166" s="334">
        <f t="shared" si="31"/>
        <v>376500</v>
      </c>
      <c r="L166" s="334">
        <f t="shared" si="31"/>
        <v>376500</v>
      </c>
      <c r="M166" s="334">
        <f t="shared" si="31"/>
        <v>376500</v>
      </c>
      <c r="N166" s="334">
        <f t="shared" si="30"/>
        <v>4521820</v>
      </c>
    </row>
    <row r="167" spans="1:15">
      <c r="A167" s="228" t="s">
        <v>152</v>
      </c>
      <c r="B167" s="329">
        <v>10812</v>
      </c>
      <c r="C167" s="329">
        <v>5075</v>
      </c>
      <c r="D167" s="329">
        <v>9100</v>
      </c>
      <c r="E167" s="329">
        <v>12625</v>
      </c>
      <c r="F167" s="329">
        <v>4350</v>
      </c>
      <c r="G167" s="358">
        <v>7175</v>
      </c>
      <c r="H167" s="329">
        <v>1000</v>
      </c>
      <c r="I167" s="329">
        <v>5300</v>
      </c>
      <c r="J167" s="329">
        <v>9012</v>
      </c>
      <c r="K167" s="329">
        <v>8535</v>
      </c>
      <c r="L167" s="329">
        <v>14300</v>
      </c>
      <c r="M167" s="329">
        <v>4500</v>
      </c>
      <c r="N167" s="329">
        <f t="shared" si="30"/>
        <v>91784</v>
      </c>
    </row>
    <row r="168" spans="1:15">
      <c r="A168" s="228"/>
      <c r="B168" s="329"/>
      <c r="C168" s="329"/>
      <c r="D168" s="329"/>
      <c r="E168" s="329"/>
      <c r="F168" s="329"/>
      <c r="G168" s="358"/>
      <c r="H168" s="329"/>
      <c r="I168" s="329"/>
      <c r="J168" s="329"/>
      <c r="K168" s="329"/>
      <c r="L168" s="329"/>
      <c r="M168" s="329"/>
      <c r="N168" s="329">
        <f t="shared" si="30"/>
        <v>0</v>
      </c>
    </row>
    <row r="169" spans="1:15">
      <c r="A169" s="228" t="s">
        <v>374</v>
      </c>
      <c r="B169" s="329">
        <v>9820</v>
      </c>
      <c r="C169" s="329">
        <v>7040</v>
      </c>
      <c r="D169" s="329">
        <v>7900</v>
      </c>
      <c r="E169" s="329">
        <v>5260</v>
      </c>
      <c r="F169" s="329">
        <v>7420</v>
      </c>
      <c r="G169" s="358">
        <v>5000</v>
      </c>
      <c r="H169" s="329">
        <v>1000</v>
      </c>
      <c r="I169" s="329">
        <v>2200</v>
      </c>
      <c r="J169" s="329">
        <v>2640</v>
      </c>
      <c r="K169" s="329">
        <v>2500</v>
      </c>
      <c r="L169" s="329">
        <v>3300</v>
      </c>
      <c r="M169" s="329"/>
      <c r="N169" s="329">
        <f t="shared" si="30"/>
        <v>54080</v>
      </c>
    </row>
    <row r="170" spans="1:15">
      <c r="A170" s="228" t="s">
        <v>211</v>
      </c>
      <c r="B170" s="329">
        <v>337925</v>
      </c>
      <c r="C170" s="329">
        <v>47730.5</v>
      </c>
      <c r="D170" s="329">
        <v>181660.63</v>
      </c>
      <c r="E170" s="329">
        <v>145575</v>
      </c>
      <c r="F170" s="329">
        <v>162021.26</v>
      </c>
      <c r="G170" s="329">
        <v>82509.63</v>
      </c>
      <c r="H170" s="329">
        <v>2975</v>
      </c>
      <c r="I170" s="329">
        <v>95575</v>
      </c>
      <c r="J170" s="329">
        <v>111994.26</v>
      </c>
      <c r="K170" s="329">
        <v>161037.5</v>
      </c>
      <c r="L170" s="329">
        <v>113425</v>
      </c>
      <c r="M170" s="331">
        <v>80000</v>
      </c>
      <c r="N170" s="329">
        <f t="shared" si="30"/>
        <v>1522428.78</v>
      </c>
    </row>
    <row r="171" spans="1:15" ht="13.5" thickBot="1">
      <c r="A171" s="359" t="s">
        <v>156</v>
      </c>
      <c r="B171" s="357">
        <v>38799</v>
      </c>
      <c r="C171" s="357">
        <v>4290</v>
      </c>
      <c r="D171" s="357">
        <v>13806.75</v>
      </c>
      <c r="E171" s="357">
        <v>28375.5</v>
      </c>
      <c r="F171" s="357">
        <v>29461.75</v>
      </c>
      <c r="G171" s="357">
        <v>14718.25</v>
      </c>
      <c r="H171" s="357">
        <v>575</v>
      </c>
      <c r="I171" s="357">
        <v>31698.5</v>
      </c>
      <c r="J171" s="357">
        <v>34003.25</v>
      </c>
      <c r="K171" s="357">
        <v>36215.5</v>
      </c>
      <c r="L171" s="357">
        <v>29678.5</v>
      </c>
      <c r="M171" s="329">
        <v>5000</v>
      </c>
      <c r="N171" s="329">
        <f t="shared" si="30"/>
        <v>266622</v>
      </c>
    </row>
    <row r="172" spans="1:15" ht="13.5" thickBot="1">
      <c r="A172" s="360" t="s">
        <v>126</v>
      </c>
      <c r="B172" s="361">
        <f t="shared" ref="B172:M172" si="32">SUM(B167:B171)</f>
        <v>397356</v>
      </c>
      <c r="C172" s="361">
        <f t="shared" si="32"/>
        <v>64135.5</v>
      </c>
      <c r="D172" s="361">
        <f t="shared" si="32"/>
        <v>212467.38</v>
      </c>
      <c r="E172" s="361">
        <f t="shared" si="32"/>
        <v>191835.5</v>
      </c>
      <c r="F172" s="361">
        <f t="shared" si="32"/>
        <v>203253.01</v>
      </c>
      <c r="G172" s="361">
        <f t="shared" si="32"/>
        <v>109402.88</v>
      </c>
      <c r="H172" s="361">
        <f t="shared" si="32"/>
        <v>5550</v>
      </c>
      <c r="I172" s="361">
        <f t="shared" si="32"/>
        <v>134773.5</v>
      </c>
      <c r="J172" s="361">
        <f t="shared" si="32"/>
        <v>157649.51</v>
      </c>
      <c r="K172" s="361">
        <f t="shared" si="32"/>
        <v>208288</v>
      </c>
      <c r="L172" s="361">
        <f t="shared" si="32"/>
        <v>160703.5</v>
      </c>
      <c r="M172" s="361">
        <f t="shared" si="32"/>
        <v>89500</v>
      </c>
      <c r="N172" s="361">
        <f t="shared" si="30"/>
        <v>1934914.78</v>
      </c>
    </row>
    <row r="173" spans="1:15" ht="13.5" thickBot="1">
      <c r="A173" s="228" t="s">
        <v>127</v>
      </c>
      <c r="B173" s="331">
        <v>0</v>
      </c>
      <c r="C173" s="331">
        <v>0</v>
      </c>
      <c r="D173" s="331">
        <v>0</v>
      </c>
      <c r="E173" s="331">
        <v>0</v>
      </c>
      <c r="F173" s="331">
        <v>1576</v>
      </c>
      <c r="G173" s="331">
        <v>0</v>
      </c>
      <c r="H173" s="331">
        <v>0</v>
      </c>
      <c r="I173" s="331">
        <v>0</v>
      </c>
      <c r="J173" s="331">
        <v>0</v>
      </c>
      <c r="K173" s="331">
        <v>0</v>
      </c>
      <c r="L173" s="331">
        <v>0</v>
      </c>
      <c r="M173" s="357">
        <v>0</v>
      </c>
      <c r="N173" s="329">
        <f t="shared" si="30"/>
        <v>1576</v>
      </c>
      <c r="O173" s="291"/>
    </row>
    <row r="174" spans="1:15" ht="13.5" thickBot="1">
      <c r="A174" s="363" t="s">
        <v>129</v>
      </c>
      <c r="B174" s="361">
        <f t="shared" ref="B174:M174" si="33">SUM(B166,B172,B173)</f>
        <v>777676</v>
      </c>
      <c r="C174" s="361">
        <f t="shared" si="33"/>
        <v>440635.5</v>
      </c>
      <c r="D174" s="361">
        <f t="shared" si="33"/>
        <v>588967.38</v>
      </c>
      <c r="E174" s="361">
        <f t="shared" si="33"/>
        <v>568335.5</v>
      </c>
      <c r="F174" s="361">
        <f t="shared" si="33"/>
        <v>581329.01</v>
      </c>
      <c r="G174" s="361">
        <f t="shared" si="33"/>
        <v>485902.88</v>
      </c>
      <c r="H174" s="361">
        <f t="shared" si="33"/>
        <v>382050</v>
      </c>
      <c r="I174" s="361">
        <f t="shared" si="33"/>
        <v>511273.5</v>
      </c>
      <c r="J174" s="361">
        <f t="shared" si="33"/>
        <v>534149.51</v>
      </c>
      <c r="K174" s="361">
        <f t="shared" si="33"/>
        <v>584788</v>
      </c>
      <c r="L174" s="361">
        <f t="shared" si="33"/>
        <v>537203.5</v>
      </c>
      <c r="M174" s="361">
        <f t="shared" si="33"/>
        <v>466000</v>
      </c>
      <c r="N174" s="361">
        <f t="shared" si="30"/>
        <v>6458310.7799999993</v>
      </c>
    </row>
    <row r="175" spans="1:15">
      <c r="A175" s="336" t="s">
        <v>131</v>
      </c>
      <c r="B175" s="365">
        <v>587857</v>
      </c>
      <c r="C175" s="365">
        <v>529956</v>
      </c>
      <c r="D175" s="365">
        <v>554281</v>
      </c>
      <c r="E175" s="365">
        <v>514388</v>
      </c>
      <c r="F175" s="365">
        <v>615919</v>
      </c>
      <c r="G175" s="365">
        <v>457918</v>
      </c>
      <c r="H175" s="365">
        <v>501043</v>
      </c>
      <c r="I175" s="365">
        <v>472785</v>
      </c>
      <c r="J175" s="365">
        <v>503272</v>
      </c>
      <c r="K175" s="365">
        <v>503209</v>
      </c>
      <c r="L175" s="365">
        <v>510000</v>
      </c>
      <c r="M175" s="365">
        <v>510000</v>
      </c>
      <c r="N175" s="329">
        <f t="shared" si="30"/>
        <v>6260628</v>
      </c>
    </row>
    <row r="176" spans="1:15">
      <c r="A176" s="336" t="s">
        <v>157</v>
      </c>
      <c r="B176" s="365"/>
      <c r="C176" s="365"/>
      <c r="D176" s="365"/>
      <c r="E176" s="365"/>
      <c r="F176" s="365"/>
      <c r="G176" s="365"/>
      <c r="H176" s="365"/>
      <c r="I176" s="365">
        <v>400000</v>
      </c>
      <c r="J176" s="365"/>
      <c r="K176" s="365"/>
      <c r="L176" s="365"/>
      <c r="M176" s="365"/>
      <c r="N176" s="329">
        <f t="shared" si="30"/>
        <v>400000</v>
      </c>
    </row>
    <row r="177" spans="1:14">
      <c r="A177" s="367" t="s">
        <v>146</v>
      </c>
      <c r="B177" s="368">
        <f>B174-SUM(B175:B176)</f>
        <v>189819</v>
      </c>
      <c r="C177" s="368">
        <f t="shared" ref="C177:M177" si="34">C174-SUM(C175:C176)</f>
        <v>-89320.5</v>
      </c>
      <c r="D177" s="368">
        <f t="shared" si="34"/>
        <v>34686.380000000005</v>
      </c>
      <c r="E177" s="368">
        <f t="shared" si="34"/>
        <v>53947.5</v>
      </c>
      <c r="F177" s="368">
        <f t="shared" si="34"/>
        <v>-34589.989999999991</v>
      </c>
      <c r="G177" s="368">
        <f t="shared" si="34"/>
        <v>27984.880000000005</v>
      </c>
      <c r="H177" s="368">
        <f t="shared" si="34"/>
        <v>-118993</v>
      </c>
      <c r="I177" s="368">
        <f t="shared" si="34"/>
        <v>-361511.5</v>
      </c>
      <c r="J177" s="368">
        <f t="shared" si="34"/>
        <v>30877.510000000009</v>
      </c>
      <c r="K177" s="368">
        <f t="shared" si="34"/>
        <v>81579</v>
      </c>
      <c r="L177" s="368">
        <f t="shared" si="34"/>
        <v>27203.5</v>
      </c>
      <c r="M177" s="368">
        <f t="shared" si="34"/>
        <v>-44000</v>
      </c>
      <c r="N177" s="368">
        <f>N174-SUM(N175:N176)</f>
        <v>-202317.22000000067</v>
      </c>
    </row>
    <row r="178" spans="1:14" ht="13.5" thickBot="1">
      <c r="A178" s="369">
        <v>206552</v>
      </c>
      <c r="B178" s="369"/>
      <c r="C178" s="369"/>
      <c r="D178" s="369"/>
      <c r="E178" s="369"/>
      <c r="F178" s="369"/>
      <c r="G178" s="369"/>
      <c r="H178" s="369"/>
      <c r="I178" s="369"/>
      <c r="J178" s="369"/>
      <c r="K178" s="369"/>
      <c r="L178" s="369"/>
      <c r="M178" s="369"/>
      <c r="N178" s="369"/>
    </row>
    <row r="179" spans="1:14" ht="13.5" thickBot="1"/>
    <row r="180" spans="1:14" ht="20.25">
      <c r="A180" s="826" t="s">
        <v>375</v>
      </c>
      <c r="B180" s="826"/>
      <c r="C180" s="826"/>
      <c r="D180" s="826"/>
      <c r="E180" s="826"/>
      <c r="F180" s="826"/>
      <c r="G180" s="826"/>
      <c r="H180" s="826"/>
      <c r="I180" s="826"/>
      <c r="J180" s="826"/>
      <c r="K180" s="826"/>
      <c r="L180" s="826"/>
      <c r="M180" s="826"/>
      <c r="N180" s="826"/>
    </row>
    <row r="181" spans="1:14">
      <c r="A181" s="227"/>
      <c r="B181" s="227"/>
      <c r="C181" s="227"/>
      <c r="D181" s="227"/>
      <c r="E181" s="227"/>
      <c r="F181" s="227"/>
      <c r="G181" s="227"/>
      <c r="H181" s="227"/>
      <c r="I181" s="227"/>
      <c r="J181" s="227"/>
      <c r="K181" s="227"/>
      <c r="L181" s="227"/>
      <c r="M181" s="227"/>
    </row>
    <row r="182" spans="1:14">
      <c r="A182" s="228"/>
      <c r="B182" s="229" t="s">
        <v>44</v>
      </c>
      <c r="C182" s="229" t="s">
        <v>45</v>
      </c>
      <c r="D182" s="230" t="s">
        <v>46</v>
      </c>
      <c r="E182" s="229" t="s">
        <v>47</v>
      </c>
      <c r="F182" s="229" t="s">
        <v>48</v>
      </c>
      <c r="G182" s="230" t="s">
        <v>49</v>
      </c>
      <c r="H182" s="229" t="s">
        <v>38</v>
      </c>
      <c r="I182" s="229" t="s">
        <v>39</v>
      </c>
      <c r="J182" s="229" t="s">
        <v>40</v>
      </c>
      <c r="K182" s="229" t="s">
        <v>41</v>
      </c>
      <c r="L182" s="229" t="s">
        <v>42</v>
      </c>
      <c r="M182" s="229" t="s">
        <v>43</v>
      </c>
      <c r="N182" s="228" t="s">
        <v>64</v>
      </c>
    </row>
    <row r="183" spans="1:14">
      <c r="A183" s="231" t="s">
        <v>65</v>
      </c>
      <c r="B183" s="232">
        <v>1924</v>
      </c>
      <c r="C183" s="232">
        <v>1924</v>
      </c>
      <c r="D183" s="232">
        <v>1924</v>
      </c>
      <c r="E183" s="232">
        <v>1924</v>
      </c>
      <c r="F183" s="232">
        <v>1924</v>
      </c>
      <c r="G183" s="232">
        <v>1924</v>
      </c>
      <c r="H183" s="232">
        <v>1924</v>
      </c>
      <c r="I183" s="232">
        <v>1924</v>
      </c>
      <c r="J183" s="232">
        <v>1924</v>
      </c>
      <c r="K183" s="232">
        <v>1924</v>
      </c>
      <c r="L183" s="232">
        <v>1924</v>
      </c>
      <c r="M183" s="232">
        <v>1924</v>
      </c>
      <c r="N183" s="232">
        <f t="shared" ref="N183:N194" si="35">SUM(B183:M183)</f>
        <v>23088</v>
      </c>
    </row>
    <row r="184" spans="1:14">
      <c r="A184" s="231" t="s">
        <v>66</v>
      </c>
      <c r="B184" s="232"/>
      <c r="C184" s="232"/>
      <c r="D184" s="232"/>
      <c r="E184" s="232"/>
      <c r="F184" s="232"/>
      <c r="G184" s="233"/>
      <c r="H184" s="232"/>
      <c r="I184" s="232"/>
      <c r="J184" s="234"/>
      <c r="K184" s="232"/>
      <c r="L184" s="232"/>
      <c r="M184" s="232"/>
      <c r="N184" s="232">
        <f t="shared" si="35"/>
        <v>0</v>
      </c>
    </row>
    <row r="185" spans="1:14">
      <c r="A185" s="231" t="s">
        <v>67</v>
      </c>
      <c r="B185" s="232">
        <v>163.5</v>
      </c>
      <c r="C185" s="232"/>
      <c r="D185" s="232"/>
      <c r="E185" s="232"/>
      <c r="F185" s="232"/>
      <c r="G185" s="233"/>
      <c r="H185" s="232"/>
      <c r="I185" s="232"/>
      <c r="J185" s="232"/>
      <c r="K185" s="232"/>
      <c r="L185" s="232"/>
      <c r="M185" s="228"/>
      <c r="N185" s="232">
        <f t="shared" si="35"/>
        <v>163.5</v>
      </c>
    </row>
    <row r="186" spans="1:14">
      <c r="A186" s="231" t="s">
        <v>69</v>
      </c>
      <c r="B186" s="232">
        <v>140</v>
      </c>
      <c r="C186" s="232">
        <v>216.25</v>
      </c>
      <c r="D186" s="232">
        <v>94.25</v>
      </c>
      <c r="E186" s="232">
        <v>99</v>
      </c>
      <c r="F186" s="232">
        <v>48.25</v>
      </c>
      <c r="G186" s="233">
        <v>222</v>
      </c>
      <c r="H186" s="232">
        <v>549.5</v>
      </c>
      <c r="I186" s="232">
        <v>472</v>
      </c>
      <c r="J186" s="232">
        <v>95.5</v>
      </c>
      <c r="K186" s="232"/>
      <c r="L186" s="232"/>
      <c r="M186" s="232"/>
      <c r="N186" s="232">
        <f t="shared" si="35"/>
        <v>1936.75</v>
      </c>
    </row>
    <row r="187" spans="1:14">
      <c r="A187" s="231" t="s">
        <v>70</v>
      </c>
      <c r="B187" s="232"/>
      <c r="C187" s="232">
        <v>37</v>
      </c>
      <c r="D187" s="232"/>
      <c r="E187" s="232">
        <v>192</v>
      </c>
      <c r="F187" s="232"/>
      <c r="G187" s="233"/>
      <c r="H187" s="232"/>
      <c r="I187" s="232"/>
      <c r="J187" s="232"/>
      <c r="K187" s="232">
        <v>15.5</v>
      </c>
      <c r="L187" s="232"/>
      <c r="M187" s="232"/>
      <c r="N187" s="232">
        <f t="shared" si="35"/>
        <v>244.5</v>
      </c>
    </row>
    <row r="188" spans="1:14">
      <c r="A188" s="231" t="s">
        <v>71</v>
      </c>
      <c r="B188" s="232">
        <v>89.5</v>
      </c>
      <c r="C188" s="232">
        <v>96.25</v>
      </c>
      <c r="D188" s="232">
        <v>111</v>
      </c>
      <c r="E188" s="232">
        <v>60.25</v>
      </c>
      <c r="F188" s="232">
        <v>15.5</v>
      </c>
      <c r="G188" s="233">
        <v>29.25</v>
      </c>
      <c r="H188" s="232">
        <v>66.25</v>
      </c>
      <c r="I188" s="232"/>
      <c r="J188" s="232">
        <v>94.25</v>
      </c>
      <c r="K188" s="232">
        <v>82</v>
      </c>
      <c r="L188" s="232"/>
      <c r="M188" s="232"/>
      <c r="N188" s="232">
        <f t="shared" si="35"/>
        <v>644.25</v>
      </c>
    </row>
    <row r="189" spans="1:14">
      <c r="A189" s="231" t="s">
        <v>72</v>
      </c>
      <c r="B189" s="232"/>
      <c r="C189" s="232">
        <v>7</v>
      </c>
      <c r="D189" s="232"/>
      <c r="E189" s="232"/>
      <c r="F189" s="232"/>
      <c r="G189" s="233">
        <v>7.75</v>
      </c>
      <c r="H189" s="232"/>
      <c r="I189" s="232">
        <v>6</v>
      </c>
      <c r="J189" s="232"/>
      <c r="K189" s="232"/>
      <c r="L189" s="232"/>
      <c r="M189" s="232"/>
      <c r="N189" s="232">
        <f t="shared" si="35"/>
        <v>20.75</v>
      </c>
    </row>
    <row r="190" spans="1:14">
      <c r="A190" s="231" t="s">
        <v>73</v>
      </c>
      <c r="B190" s="232">
        <v>7.75</v>
      </c>
      <c r="C190" s="232">
        <v>37</v>
      </c>
      <c r="D190" s="232"/>
      <c r="E190" s="232"/>
      <c r="F190" s="232">
        <v>7.75</v>
      </c>
      <c r="G190" s="233"/>
      <c r="H190" s="232"/>
      <c r="I190" s="232">
        <v>31</v>
      </c>
      <c r="J190" s="232">
        <v>13.75</v>
      </c>
      <c r="K190" s="232">
        <v>13</v>
      </c>
      <c r="L190" s="232"/>
      <c r="M190" s="232"/>
      <c r="N190" s="232">
        <f t="shared" si="35"/>
        <v>110.25</v>
      </c>
    </row>
    <row r="191" spans="1:14">
      <c r="A191" s="231" t="s">
        <v>74</v>
      </c>
      <c r="B191" s="232"/>
      <c r="C191" s="232">
        <v>74</v>
      </c>
      <c r="D191" s="232"/>
      <c r="E191" s="232"/>
      <c r="F191" s="232"/>
      <c r="G191" s="233"/>
      <c r="H191" s="232"/>
      <c r="I191" s="232"/>
      <c r="J191" s="232"/>
      <c r="K191" s="232"/>
      <c r="L191" s="232"/>
      <c r="M191" s="232"/>
      <c r="N191" s="232">
        <f t="shared" si="35"/>
        <v>74</v>
      </c>
    </row>
    <row r="192" spans="1:14">
      <c r="A192" s="231" t="s">
        <v>75</v>
      </c>
      <c r="B192" s="232"/>
      <c r="C192" s="232">
        <v>11.75</v>
      </c>
      <c r="D192" s="232"/>
      <c r="E192" s="232">
        <v>22.75</v>
      </c>
      <c r="F192" s="232">
        <v>109</v>
      </c>
      <c r="G192" s="233">
        <v>23.25</v>
      </c>
      <c r="H192" s="232"/>
      <c r="I192" s="232"/>
      <c r="J192" s="232"/>
      <c r="K192" s="232">
        <v>38</v>
      </c>
      <c r="L192" s="232"/>
      <c r="M192" s="232"/>
      <c r="N192" s="232">
        <f t="shared" si="35"/>
        <v>204.75</v>
      </c>
    </row>
    <row r="193" spans="1:14" ht="13.5" thickBot="1">
      <c r="A193" s="235" t="s">
        <v>76</v>
      </c>
      <c r="B193" s="236"/>
      <c r="C193" s="236"/>
      <c r="D193" s="236"/>
      <c r="E193" s="236"/>
      <c r="F193" s="236">
        <v>6</v>
      </c>
      <c r="G193" s="237">
        <v>7.75</v>
      </c>
      <c r="H193" s="236"/>
      <c r="I193" s="236"/>
      <c r="J193" s="236"/>
      <c r="K193" s="236"/>
      <c r="L193" s="236"/>
      <c r="M193" s="236"/>
      <c r="N193" s="238">
        <f t="shared" si="35"/>
        <v>13.75</v>
      </c>
    </row>
    <row r="194" spans="1:14" ht="13.5" thickBot="1">
      <c r="A194" s="239" t="s">
        <v>77</v>
      </c>
      <c r="B194" s="240">
        <f t="shared" ref="B194:M194" si="36">SUM(B183+B184+B185-B186-B187-B188-B190-B191-B192-B193)</f>
        <v>1850.25</v>
      </c>
      <c r="C194" s="240">
        <f t="shared" si="36"/>
        <v>1451.75</v>
      </c>
      <c r="D194" s="240">
        <f t="shared" si="36"/>
        <v>1718.75</v>
      </c>
      <c r="E194" s="240">
        <f t="shared" si="36"/>
        <v>1550</v>
      </c>
      <c r="F194" s="240">
        <f t="shared" si="36"/>
        <v>1737.5</v>
      </c>
      <c r="G194" s="354">
        <f t="shared" si="36"/>
        <v>1641.75</v>
      </c>
      <c r="H194" s="240">
        <f t="shared" si="36"/>
        <v>1308.25</v>
      </c>
      <c r="I194" s="240">
        <f t="shared" si="36"/>
        <v>1421</v>
      </c>
      <c r="J194" s="240">
        <f t="shared" si="36"/>
        <v>1720.5</v>
      </c>
      <c r="K194" s="240">
        <f t="shared" si="36"/>
        <v>1775.5</v>
      </c>
      <c r="L194" s="240">
        <f t="shared" si="36"/>
        <v>1924</v>
      </c>
      <c r="M194" s="241">
        <f t="shared" si="36"/>
        <v>1924</v>
      </c>
      <c r="N194" s="242">
        <f t="shared" si="35"/>
        <v>20023.25</v>
      </c>
    </row>
    <row r="195" spans="1:14">
      <c r="A195" s="243"/>
      <c r="B195" s="244"/>
      <c r="C195" s="244"/>
      <c r="D195" s="244"/>
      <c r="E195" s="244"/>
      <c r="F195" s="244"/>
      <c r="G195" s="244"/>
      <c r="H195" s="244"/>
      <c r="I195" s="244"/>
      <c r="J195" s="244"/>
      <c r="K195" s="244"/>
      <c r="L195" s="244"/>
      <c r="M195" s="244"/>
      <c r="N195" s="244"/>
    </row>
    <row r="196" spans="1:14">
      <c r="A196" s="243"/>
      <c r="B196" s="244"/>
      <c r="C196" s="244"/>
      <c r="D196" s="244"/>
      <c r="E196" s="244"/>
      <c r="F196" s="244"/>
      <c r="G196" s="244"/>
      <c r="H196" s="244"/>
      <c r="I196" s="244"/>
      <c r="J196" s="244"/>
      <c r="K196" s="244"/>
      <c r="L196" s="244"/>
      <c r="M196" s="244"/>
      <c r="N196" s="245" t="s">
        <v>78</v>
      </c>
    </row>
    <row r="197" spans="1:14">
      <c r="A197" s="231" t="s">
        <v>79</v>
      </c>
      <c r="B197" s="232">
        <f t="shared" ref="B197:M197" si="37">SUM(B184*100/B194)</f>
        <v>0</v>
      </c>
      <c r="C197" s="232">
        <f t="shared" si="37"/>
        <v>0</v>
      </c>
      <c r="D197" s="232">
        <f t="shared" si="37"/>
        <v>0</v>
      </c>
      <c r="E197" s="232">
        <f t="shared" si="37"/>
        <v>0</v>
      </c>
      <c r="F197" s="232">
        <f t="shared" si="37"/>
        <v>0</v>
      </c>
      <c r="G197" s="232">
        <f t="shared" si="37"/>
        <v>0</v>
      </c>
      <c r="H197" s="232">
        <f t="shared" si="37"/>
        <v>0</v>
      </c>
      <c r="I197" s="232">
        <f t="shared" si="37"/>
        <v>0</v>
      </c>
      <c r="J197" s="232">
        <f t="shared" si="37"/>
        <v>0</v>
      </c>
      <c r="K197" s="232">
        <f t="shared" si="37"/>
        <v>0</v>
      </c>
      <c r="L197" s="232">
        <f t="shared" si="37"/>
        <v>0</v>
      </c>
      <c r="M197" s="232">
        <f t="shared" si="37"/>
        <v>0</v>
      </c>
      <c r="N197" s="246">
        <f>SUM(B197:M197)/12</f>
        <v>0</v>
      </c>
    </row>
    <row r="198" spans="1:14">
      <c r="A198" s="243"/>
      <c r="B198" s="244"/>
      <c r="C198" s="244"/>
      <c r="D198" s="244"/>
      <c r="E198" s="244"/>
      <c r="F198" s="244"/>
      <c r="G198" s="244"/>
      <c r="H198" s="244"/>
      <c r="I198" s="244"/>
      <c r="J198" s="244"/>
      <c r="K198" s="244"/>
      <c r="L198" s="244"/>
      <c r="M198" s="244"/>
      <c r="N198" s="227"/>
    </row>
    <row r="199" spans="1:14">
      <c r="A199" s="231" t="s">
        <v>80</v>
      </c>
      <c r="B199" s="232">
        <f t="shared" ref="B199:M199" si="38">SUM(B188*100/B194)</f>
        <v>4.8371841643021209</v>
      </c>
      <c r="C199" s="232">
        <f t="shared" si="38"/>
        <v>6.6299293955570864</v>
      </c>
      <c r="D199" s="232">
        <f t="shared" si="38"/>
        <v>6.458181818181818</v>
      </c>
      <c r="E199" s="232">
        <f t="shared" si="38"/>
        <v>3.8870967741935485</v>
      </c>
      <c r="F199" s="232">
        <f t="shared" si="38"/>
        <v>0.8920863309352518</v>
      </c>
      <c r="G199" s="232">
        <f t="shared" si="38"/>
        <v>1.7816354499771585</v>
      </c>
      <c r="H199" s="232">
        <f t="shared" si="38"/>
        <v>5.0640168163577295</v>
      </c>
      <c r="I199" s="232">
        <f t="shared" si="38"/>
        <v>0</v>
      </c>
      <c r="J199" s="232">
        <f t="shared" si="38"/>
        <v>5.4780587038651554</v>
      </c>
      <c r="K199" s="232">
        <f t="shared" si="38"/>
        <v>4.6184173472261332</v>
      </c>
      <c r="L199" s="232">
        <f t="shared" si="38"/>
        <v>0</v>
      </c>
      <c r="M199" s="232">
        <f t="shared" si="38"/>
        <v>0</v>
      </c>
      <c r="N199" s="246">
        <f>SUM(B199:M199)/12</f>
        <v>3.3038839000496671</v>
      </c>
    </row>
    <row r="200" spans="1:14" ht="13.5" thickBot="1">
      <c r="A200" s="247" t="s">
        <v>81</v>
      </c>
      <c r="B200" s="238">
        <f t="shared" ref="B200:M200" si="39">SUM(B189*100/B194)</f>
        <v>0</v>
      </c>
      <c r="C200" s="238">
        <f t="shared" si="39"/>
        <v>0.48217668331324265</v>
      </c>
      <c r="D200" s="238">
        <f t="shared" si="39"/>
        <v>0</v>
      </c>
      <c r="E200" s="238">
        <f t="shared" si="39"/>
        <v>0</v>
      </c>
      <c r="F200" s="238">
        <f t="shared" si="39"/>
        <v>0</v>
      </c>
      <c r="G200" s="238">
        <f t="shared" si="39"/>
        <v>0.47205725597685394</v>
      </c>
      <c r="H200" s="238">
        <f t="shared" si="39"/>
        <v>0</v>
      </c>
      <c r="I200" s="238">
        <f t="shared" si="39"/>
        <v>0.42223786066150598</v>
      </c>
      <c r="J200" s="238">
        <f t="shared" si="39"/>
        <v>0</v>
      </c>
      <c r="K200" s="238">
        <f t="shared" si="39"/>
        <v>0</v>
      </c>
      <c r="L200" s="238">
        <f t="shared" si="39"/>
        <v>0</v>
      </c>
      <c r="M200" s="238">
        <f t="shared" si="39"/>
        <v>0</v>
      </c>
      <c r="N200" s="246">
        <f>SUM(B200:M200)/12</f>
        <v>0.11470598332930021</v>
      </c>
    </row>
    <row r="201" spans="1:14" ht="13.5" thickBot="1">
      <c r="A201" s="249" t="s">
        <v>82</v>
      </c>
      <c r="B201" s="250">
        <f t="shared" ref="B201:M201" si="40">SUM(B199:B199)</f>
        <v>4.8371841643021209</v>
      </c>
      <c r="C201" s="250">
        <f t="shared" si="40"/>
        <v>6.6299293955570864</v>
      </c>
      <c r="D201" s="250">
        <f t="shared" si="40"/>
        <v>6.458181818181818</v>
      </c>
      <c r="E201" s="250">
        <f t="shared" si="40"/>
        <v>3.8870967741935485</v>
      </c>
      <c r="F201" s="250">
        <f t="shared" si="40"/>
        <v>0.8920863309352518</v>
      </c>
      <c r="G201" s="250">
        <f t="shared" si="40"/>
        <v>1.7816354499771585</v>
      </c>
      <c r="H201" s="250">
        <f t="shared" si="40"/>
        <v>5.0640168163577295</v>
      </c>
      <c r="I201" s="250">
        <f t="shared" si="40"/>
        <v>0</v>
      </c>
      <c r="J201" s="250">
        <f t="shared" si="40"/>
        <v>5.4780587038651554</v>
      </c>
      <c r="K201" s="250">
        <f t="shared" si="40"/>
        <v>4.6184173472261332</v>
      </c>
      <c r="L201" s="250">
        <f t="shared" si="40"/>
        <v>0</v>
      </c>
      <c r="M201" s="250">
        <f t="shared" si="40"/>
        <v>0</v>
      </c>
      <c r="N201" s="251">
        <f>SUM(N199:N200)</f>
        <v>3.4185898833789672</v>
      </c>
    </row>
    <row r="202" spans="1:14">
      <c r="A202" s="243" t="s">
        <v>83</v>
      </c>
      <c r="B202" s="244"/>
      <c r="C202" s="244"/>
      <c r="D202" s="252">
        <f>SUM(B201:D201)/3</f>
        <v>5.9750984593470085</v>
      </c>
      <c r="E202" s="244"/>
      <c r="F202" s="244"/>
      <c r="G202" s="252">
        <f>SUM(E201,F201,G201)/3</f>
        <v>2.1869395183686531</v>
      </c>
      <c r="H202" s="244"/>
      <c r="I202" s="244"/>
      <c r="J202" s="252">
        <f>SUM(H201,I201,J201)/3</f>
        <v>3.514025173407628</v>
      </c>
      <c r="K202" s="244"/>
      <c r="L202" s="244"/>
      <c r="M202" s="252">
        <f>SUM(K201,L201,M201)/3</f>
        <v>1.5394724490753777</v>
      </c>
      <c r="N202" s="253">
        <f>SUM(D202:M202)/4</f>
        <v>3.3038839000496667</v>
      </c>
    </row>
    <row r="203" spans="1:14">
      <c r="A203" s="243" t="s">
        <v>84</v>
      </c>
      <c r="B203" s="244"/>
      <c r="C203" s="244"/>
      <c r="D203" s="254"/>
      <c r="E203" s="244"/>
      <c r="F203" s="244"/>
      <c r="G203" s="254"/>
      <c r="H203" s="244"/>
      <c r="I203" s="244"/>
      <c r="J203" s="254"/>
      <c r="K203" s="244"/>
      <c r="L203" s="244"/>
      <c r="M203" s="254"/>
      <c r="N203" s="246">
        <f>SUM(D203:G203,J203,M203)/4</f>
        <v>0</v>
      </c>
    </row>
    <row r="204" spans="1:14">
      <c r="A204" s="243"/>
      <c r="B204" s="244"/>
      <c r="C204" s="244"/>
      <c r="D204" s="244"/>
      <c r="E204" s="244"/>
      <c r="F204" s="244"/>
      <c r="G204" s="244"/>
      <c r="H204" s="244"/>
      <c r="I204" s="244"/>
      <c r="J204" s="244"/>
      <c r="K204" s="244"/>
      <c r="L204" s="244"/>
      <c r="M204" s="244"/>
      <c r="N204" s="244"/>
    </row>
    <row r="205" spans="1:14">
      <c r="A205" s="231" t="s">
        <v>85</v>
      </c>
      <c r="B205" s="232">
        <f t="shared" ref="B205:M205" si="41">B192*100/B194</f>
        <v>0</v>
      </c>
      <c r="C205" s="232">
        <f t="shared" si="41"/>
        <v>0.80936800413294296</v>
      </c>
      <c r="D205" s="232">
        <f t="shared" si="41"/>
        <v>0</v>
      </c>
      <c r="E205" s="232">
        <f t="shared" si="41"/>
        <v>1.467741935483871</v>
      </c>
      <c r="F205" s="232">
        <f t="shared" si="41"/>
        <v>6.2733812949640289</v>
      </c>
      <c r="G205" s="232">
        <f t="shared" si="41"/>
        <v>1.4161717679305619</v>
      </c>
      <c r="H205" s="232">
        <f t="shared" si="41"/>
        <v>0</v>
      </c>
      <c r="I205" s="232">
        <f t="shared" si="41"/>
        <v>0</v>
      </c>
      <c r="J205" s="232">
        <f t="shared" si="41"/>
        <v>0</v>
      </c>
      <c r="K205" s="232">
        <f t="shared" si="41"/>
        <v>2.1402421852999156</v>
      </c>
      <c r="L205" s="232">
        <f t="shared" si="41"/>
        <v>0</v>
      </c>
      <c r="M205" s="232">
        <f t="shared" si="41"/>
        <v>0</v>
      </c>
      <c r="N205" s="246">
        <f>SUM(B205:M205)/12</f>
        <v>1.0089087656509435</v>
      </c>
    </row>
    <row r="206" spans="1:14">
      <c r="A206" s="231" t="s">
        <v>86</v>
      </c>
      <c r="B206" s="232">
        <f t="shared" ref="B206:M206" si="42">B190*100/B194</f>
        <v>0.41886231590325634</v>
      </c>
      <c r="C206" s="232">
        <f t="shared" si="42"/>
        <v>2.5486481832271397</v>
      </c>
      <c r="D206" s="232">
        <f t="shared" si="42"/>
        <v>0</v>
      </c>
      <c r="E206" s="232">
        <f t="shared" si="42"/>
        <v>0</v>
      </c>
      <c r="F206" s="232">
        <f t="shared" si="42"/>
        <v>0.4460431654676259</v>
      </c>
      <c r="G206" s="232">
        <f t="shared" si="42"/>
        <v>0</v>
      </c>
      <c r="H206" s="232">
        <f t="shared" si="42"/>
        <v>0</v>
      </c>
      <c r="I206" s="232">
        <f t="shared" si="42"/>
        <v>2.1815622800844476</v>
      </c>
      <c r="J206" s="232">
        <f t="shared" si="42"/>
        <v>0.79918628305725081</v>
      </c>
      <c r="K206" s="232">
        <f t="shared" si="42"/>
        <v>0.7321881160236553</v>
      </c>
      <c r="L206" s="232">
        <f t="shared" si="42"/>
        <v>0</v>
      </c>
      <c r="M206" s="232">
        <f t="shared" si="42"/>
        <v>0</v>
      </c>
      <c r="N206" s="246">
        <f>SUM(B206:M206)/12</f>
        <v>0.59387419531361463</v>
      </c>
    </row>
    <row r="207" spans="1:14" ht="13.5" thickBot="1">
      <c r="A207" s="231" t="s">
        <v>87</v>
      </c>
      <c r="B207" s="232">
        <f t="shared" ref="B207:M207" si="43">B186*100/B194</f>
        <v>7.5665450614781786</v>
      </c>
      <c r="C207" s="232">
        <f t="shared" si="43"/>
        <v>14.895815395212674</v>
      </c>
      <c r="D207" s="232">
        <f t="shared" si="43"/>
        <v>5.4836363636363634</v>
      </c>
      <c r="E207" s="232">
        <f t="shared" si="43"/>
        <v>6.387096774193548</v>
      </c>
      <c r="F207" s="232">
        <f t="shared" si="43"/>
        <v>2.7769784172661871</v>
      </c>
      <c r="G207" s="232">
        <f t="shared" si="43"/>
        <v>13.522156235724076</v>
      </c>
      <c r="H207" s="232">
        <f t="shared" si="43"/>
        <v>42.002675329638834</v>
      </c>
      <c r="I207" s="232">
        <f t="shared" si="43"/>
        <v>33.21604503870514</v>
      </c>
      <c r="J207" s="232">
        <f t="shared" si="43"/>
        <v>5.5507120023249055</v>
      </c>
      <c r="K207" s="232">
        <f t="shared" si="43"/>
        <v>0</v>
      </c>
      <c r="L207" s="232">
        <f t="shared" si="43"/>
        <v>0</v>
      </c>
      <c r="M207" s="232">
        <f t="shared" si="43"/>
        <v>0</v>
      </c>
      <c r="N207" s="248">
        <f>SUM(B207:M207)/12</f>
        <v>10.950138384848325</v>
      </c>
    </row>
    <row r="208" spans="1:14" ht="13.5" thickBot="1">
      <c r="A208" s="255" t="s">
        <v>88</v>
      </c>
      <c r="B208" s="256">
        <f t="shared" ref="B208:M208" si="44">SUM(B183-B194)*100/B194</f>
        <v>3.9859478448858261</v>
      </c>
      <c r="C208" s="256">
        <f t="shared" si="44"/>
        <v>32.529705527811259</v>
      </c>
      <c r="D208" s="256">
        <f t="shared" si="44"/>
        <v>11.941818181818181</v>
      </c>
      <c r="E208" s="256">
        <f t="shared" si="44"/>
        <v>24.129032258064516</v>
      </c>
      <c r="F208" s="256">
        <f t="shared" si="44"/>
        <v>10.733812949640289</v>
      </c>
      <c r="G208" s="256">
        <f t="shared" si="44"/>
        <v>17.192020709608649</v>
      </c>
      <c r="H208" s="256">
        <f t="shared" si="44"/>
        <v>47.066692145996562</v>
      </c>
      <c r="I208" s="256">
        <f t="shared" si="44"/>
        <v>35.397607318789582</v>
      </c>
      <c r="J208" s="256">
        <f t="shared" si="44"/>
        <v>11.827956989247312</v>
      </c>
      <c r="K208" s="256">
        <f t="shared" si="44"/>
        <v>8.3638411715009848</v>
      </c>
      <c r="L208" s="256">
        <f t="shared" si="44"/>
        <v>0</v>
      </c>
      <c r="M208" s="370">
        <f t="shared" si="44"/>
        <v>0</v>
      </c>
      <c r="N208" s="371">
        <f>SUM(B208:M208)/12</f>
        <v>16.93070292478026</v>
      </c>
    </row>
    <row r="209" spans="1:14">
      <c r="A209" s="243"/>
      <c r="B209" s="244"/>
      <c r="C209" s="244"/>
      <c r="D209" s="244"/>
      <c r="E209" s="244"/>
      <c r="F209" s="244"/>
      <c r="G209" s="244"/>
      <c r="H209" s="244"/>
      <c r="I209" s="244"/>
      <c r="J209" s="244"/>
      <c r="K209" s="244"/>
      <c r="L209" s="244"/>
      <c r="M209" s="244"/>
      <c r="N209" s="227"/>
    </row>
    <row r="210" spans="1:14">
      <c r="A210" s="258" t="s">
        <v>89</v>
      </c>
      <c r="B210" s="244"/>
      <c r="C210" s="244"/>
      <c r="D210" s="244"/>
      <c r="E210" s="244"/>
      <c r="F210" s="244"/>
      <c r="G210" s="244"/>
      <c r="H210" s="244"/>
      <c r="I210" s="244"/>
      <c r="J210" s="244"/>
      <c r="K210" s="244"/>
      <c r="L210" s="244"/>
      <c r="M210" s="244"/>
      <c r="N210" s="227"/>
    </row>
    <row r="211" spans="1:14">
      <c r="A211" s="231" t="s">
        <v>90</v>
      </c>
      <c r="B211" s="259">
        <v>12</v>
      </c>
      <c r="C211" s="259">
        <v>12</v>
      </c>
      <c r="D211" s="259">
        <v>12</v>
      </c>
      <c r="E211" s="259">
        <v>12</v>
      </c>
      <c r="F211" s="259">
        <f t="shared" ref="F211:N211" si="45">E214</f>
        <v>12</v>
      </c>
      <c r="G211" s="259">
        <f t="shared" si="45"/>
        <v>12</v>
      </c>
      <c r="H211" s="259">
        <f t="shared" si="45"/>
        <v>12</v>
      </c>
      <c r="I211" s="259">
        <f t="shared" si="45"/>
        <v>12</v>
      </c>
      <c r="J211" s="259">
        <f t="shared" si="45"/>
        <v>12</v>
      </c>
      <c r="K211" s="259">
        <f t="shared" si="45"/>
        <v>12</v>
      </c>
      <c r="L211" s="259">
        <f t="shared" si="45"/>
        <v>12</v>
      </c>
      <c r="M211" s="259">
        <f t="shared" si="45"/>
        <v>12</v>
      </c>
      <c r="N211" s="259">
        <f t="shared" si="45"/>
        <v>12</v>
      </c>
    </row>
    <row r="212" spans="1:14">
      <c r="A212" s="231" t="s">
        <v>91</v>
      </c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59"/>
      <c r="N212" s="259">
        <f>SUM(B212:M212)/12</f>
        <v>0</v>
      </c>
    </row>
    <row r="213" spans="1:14">
      <c r="A213" s="231" t="s">
        <v>92</v>
      </c>
      <c r="B213" s="259"/>
      <c r="C213" s="259"/>
      <c r="D213" s="259"/>
      <c r="E213" s="259"/>
      <c r="F213" s="259"/>
      <c r="G213" s="259"/>
      <c r="H213" s="259"/>
      <c r="I213" s="259"/>
      <c r="J213" s="259"/>
      <c r="K213" s="259"/>
      <c r="L213" s="259"/>
      <c r="M213" s="259"/>
      <c r="N213" s="259">
        <f>SUM(B212:M212)/12</f>
        <v>0</v>
      </c>
    </row>
    <row r="214" spans="1:14">
      <c r="A214" s="231" t="s">
        <v>89</v>
      </c>
      <c r="B214" s="259">
        <f t="shared" ref="B214:M214" si="46">SUM(B211+B212-B213)</f>
        <v>12</v>
      </c>
      <c r="C214" s="259">
        <f t="shared" si="46"/>
        <v>12</v>
      </c>
      <c r="D214" s="259">
        <f t="shared" si="46"/>
        <v>12</v>
      </c>
      <c r="E214" s="259">
        <f t="shared" si="46"/>
        <v>12</v>
      </c>
      <c r="F214" s="259">
        <f t="shared" si="46"/>
        <v>12</v>
      </c>
      <c r="G214" s="259">
        <f t="shared" si="46"/>
        <v>12</v>
      </c>
      <c r="H214" s="259">
        <f t="shared" si="46"/>
        <v>12</v>
      </c>
      <c r="I214" s="259">
        <f t="shared" si="46"/>
        <v>12</v>
      </c>
      <c r="J214" s="259">
        <f t="shared" si="46"/>
        <v>12</v>
      </c>
      <c r="K214" s="259">
        <f t="shared" si="46"/>
        <v>12</v>
      </c>
      <c r="L214" s="259">
        <f t="shared" si="46"/>
        <v>12</v>
      </c>
      <c r="M214" s="259">
        <f t="shared" si="46"/>
        <v>12</v>
      </c>
      <c r="N214" s="259">
        <f>SUM(B213:M213)/12</f>
        <v>0</v>
      </c>
    </row>
    <row r="215" spans="1:14">
      <c r="A215" s="231" t="s">
        <v>93</v>
      </c>
      <c r="B215" s="260">
        <f t="shared" ref="B215:M215" si="47">SUM(B214*100)/B211-100</f>
        <v>0</v>
      </c>
      <c r="C215" s="260">
        <f t="shared" si="47"/>
        <v>0</v>
      </c>
      <c r="D215" s="260">
        <f t="shared" si="47"/>
        <v>0</v>
      </c>
      <c r="E215" s="260">
        <f t="shared" si="47"/>
        <v>0</v>
      </c>
      <c r="F215" s="260">
        <f t="shared" si="47"/>
        <v>0</v>
      </c>
      <c r="G215" s="260">
        <f t="shared" si="47"/>
        <v>0</v>
      </c>
      <c r="H215" s="260">
        <f t="shared" si="47"/>
        <v>0</v>
      </c>
      <c r="I215" s="260">
        <f t="shared" si="47"/>
        <v>0</v>
      </c>
      <c r="J215" s="260">
        <f t="shared" si="47"/>
        <v>0</v>
      </c>
      <c r="K215" s="260">
        <f t="shared" si="47"/>
        <v>0</v>
      </c>
      <c r="L215" s="260">
        <f t="shared" si="47"/>
        <v>0</v>
      </c>
      <c r="M215" s="260">
        <f t="shared" si="47"/>
        <v>0</v>
      </c>
      <c r="N215" s="259"/>
    </row>
    <row r="216" spans="1:14">
      <c r="A216" s="243" t="s">
        <v>94</v>
      </c>
      <c r="B216" s="261"/>
      <c r="C216" s="261"/>
      <c r="D216" s="262">
        <f>SUM(B215:D215/3)</f>
        <v>0</v>
      </c>
      <c r="E216" s="261"/>
      <c r="F216" s="261"/>
      <c r="G216" s="262">
        <f>SUM(E215:G215)/3</f>
        <v>0</v>
      </c>
      <c r="H216" s="261"/>
      <c r="I216" s="261"/>
      <c r="J216" s="262">
        <f>SUM(H215:J215)/3</f>
        <v>0</v>
      </c>
      <c r="K216" s="261"/>
      <c r="L216" s="261"/>
      <c r="M216" s="262">
        <f>SUM(K215:M215)/3</f>
        <v>0</v>
      </c>
      <c r="N216" s="261"/>
    </row>
    <row r="217" spans="1:14" ht="13.5" thickBot="1">
      <c r="A217" s="372"/>
      <c r="B217" s="373"/>
      <c r="C217" s="373"/>
      <c r="D217" s="373"/>
      <c r="E217" s="373"/>
      <c r="F217" s="373"/>
      <c r="G217" s="373"/>
      <c r="H217" s="373"/>
      <c r="I217" s="373"/>
      <c r="J217" s="373"/>
      <c r="K217" s="373"/>
      <c r="L217" s="373"/>
      <c r="M217" s="373"/>
      <c r="N217" s="374"/>
    </row>
    <row r="218" spans="1:14" ht="15.75">
      <c r="A218" s="375" t="s">
        <v>267</v>
      </c>
      <c r="B218" s="375"/>
      <c r="C218" s="375"/>
      <c r="D218" s="375"/>
      <c r="E218" s="375"/>
      <c r="F218" s="375"/>
      <c r="G218" s="375"/>
      <c r="H218" s="375"/>
      <c r="I218" s="375"/>
      <c r="J218" s="375"/>
      <c r="K218" s="375"/>
      <c r="L218" s="375"/>
      <c r="M218" s="375"/>
      <c r="N218" s="375"/>
    </row>
    <row r="219" spans="1:14" ht="15.75">
      <c r="E219" s="282"/>
      <c r="M219" s="244"/>
      <c r="N219" s="227"/>
    </row>
    <row r="220" spans="1:14">
      <c r="A220" s="376" t="s">
        <v>185</v>
      </c>
      <c r="B220" s="377"/>
      <c r="C220" s="378"/>
      <c r="D220" s="292" t="s">
        <v>186</v>
      </c>
      <c r="I220" s="283" t="s">
        <v>160</v>
      </c>
      <c r="J220" s="377"/>
      <c r="K220" s="377"/>
      <c r="L220" s="377"/>
      <c r="M220" s="287"/>
      <c r="N220" s="509"/>
    </row>
    <row r="221" spans="1:14">
      <c r="A221" s="379" t="s">
        <v>268</v>
      </c>
      <c r="B221" s="380"/>
      <c r="C221" s="381"/>
      <c r="D221" s="290">
        <v>283339</v>
      </c>
      <c r="E221" s="291"/>
      <c r="I221" s="455"/>
      <c r="J221" s="455" t="s">
        <v>161</v>
      </c>
      <c r="K221" s="510"/>
      <c r="L221" s="270" t="s">
        <v>162</v>
      </c>
      <c r="M221" s="510" t="s">
        <v>163</v>
      </c>
      <c r="N221" s="387"/>
    </row>
    <row r="222" spans="1:14">
      <c r="A222" s="379" t="s">
        <v>292</v>
      </c>
      <c r="B222" s="380"/>
      <c r="C222" s="289"/>
      <c r="D222" s="290">
        <v>373262</v>
      </c>
      <c r="E222" s="291"/>
      <c r="I222" s="286" t="s">
        <v>270</v>
      </c>
      <c r="J222" s="303"/>
      <c r="K222" s="289"/>
      <c r="L222" s="292"/>
      <c r="M222" s="511">
        <v>418920</v>
      </c>
      <c r="N222" s="509"/>
    </row>
    <row r="223" spans="1:14">
      <c r="A223" s="379" t="s">
        <v>189</v>
      </c>
      <c r="B223" s="380"/>
      <c r="C223" s="289"/>
      <c r="D223" s="290">
        <v>330170</v>
      </c>
      <c r="E223" s="291"/>
      <c r="I223" s="286"/>
      <c r="J223" s="303"/>
      <c r="K223" s="289"/>
      <c r="L223" s="292"/>
      <c r="M223" s="512"/>
      <c r="N223" s="509"/>
    </row>
    <row r="224" spans="1:14" ht="13.5" thickBot="1">
      <c r="A224" s="379" t="s">
        <v>191</v>
      </c>
      <c r="B224" s="284"/>
      <c r="C224" s="289" t="s">
        <v>271</v>
      </c>
      <c r="D224" s="290">
        <v>0</v>
      </c>
      <c r="E224" s="291"/>
      <c r="I224" s="309" t="s">
        <v>165</v>
      </c>
      <c r="J224" s="528" t="s">
        <v>376</v>
      </c>
      <c r="K224" s="314"/>
      <c r="L224" s="312"/>
      <c r="M224" s="513" t="e">
        <f>'[15]Øvrige Kontrakter 2012'!$K$43</f>
        <v>#REF!</v>
      </c>
      <c r="N224" s="514"/>
    </row>
    <row r="225" spans="1:14" ht="13.5" thickBot="1">
      <c r="A225" s="379" t="s">
        <v>377</v>
      </c>
      <c r="B225" s="284"/>
      <c r="C225" s="289"/>
      <c r="D225" s="290">
        <v>395816</v>
      </c>
      <c r="E225" s="291"/>
      <c r="I225" s="382" t="s">
        <v>167</v>
      </c>
      <c r="J225" s="383"/>
      <c r="K225" s="384"/>
      <c r="L225" s="385"/>
      <c r="M225" s="515" t="e">
        <f>SUM(M222:M224)</f>
        <v>#REF!</v>
      </c>
      <c r="N225" s="509"/>
    </row>
    <row r="226" spans="1:14">
      <c r="A226" s="379" t="s">
        <v>193</v>
      </c>
      <c r="B226" s="284"/>
      <c r="C226" s="289"/>
      <c r="D226" s="290">
        <v>372760</v>
      </c>
      <c r="E226" s="291"/>
      <c r="I226" s="286" t="s">
        <v>168</v>
      </c>
      <c r="J226" s="284"/>
      <c r="K226" s="284"/>
      <c r="L226" s="386"/>
      <c r="M226" s="516" t="e">
        <f>M225/12</f>
        <v>#REF!</v>
      </c>
      <c r="N226" s="509"/>
    </row>
    <row r="227" spans="1:14">
      <c r="A227" s="283" t="s">
        <v>294</v>
      </c>
      <c r="B227" s="284"/>
      <c r="C227" s="289"/>
      <c r="D227" s="290">
        <v>265650</v>
      </c>
      <c r="E227" s="291"/>
      <c r="G227" s="244"/>
      <c r="H227" s="244"/>
      <c r="I227" s="244"/>
      <c r="J227" s="244"/>
      <c r="K227" s="244"/>
      <c r="L227" s="320"/>
      <c r="M227" s="244"/>
      <c r="N227" s="227"/>
    </row>
    <row r="228" spans="1:14">
      <c r="A228" s="527" t="s">
        <v>195</v>
      </c>
      <c r="B228" s="286"/>
      <c r="C228" s="289"/>
      <c r="D228" s="290">
        <v>55660</v>
      </c>
      <c r="E228" s="291"/>
      <c r="G228" s="244"/>
      <c r="H228" s="244"/>
      <c r="I228" s="244"/>
      <c r="J228" s="244"/>
      <c r="K228" s="244"/>
      <c r="L228" s="320"/>
      <c r="M228" s="244"/>
      <c r="N228" s="227"/>
    </row>
    <row r="229" spans="1:14" ht="13.5" thickBot="1">
      <c r="A229" s="526" t="s">
        <v>196</v>
      </c>
      <c r="C229" s="388"/>
      <c r="D229" s="290">
        <v>26500</v>
      </c>
      <c r="E229" s="291"/>
      <c r="G229" s="244"/>
      <c r="H229" s="244"/>
      <c r="I229" s="244"/>
      <c r="J229" s="244"/>
      <c r="K229" s="244"/>
      <c r="L229" s="320"/>
      <c r="M229" s="244"/>
      <c r="N229" s="227"/>
    </row>
    <row r="230" spans="1:14" ht="13.5" thickBot="1">
      <c r="A230" s="294" t="s">
        <v>167</v>
      </c>
      <c r="B230" s="296"/>
      <c r="C230" s="389"/>
      <c r="D230" s="488">
        <f>SUM(D221:D229)</f>
        <v>2103157</v>
      </c>
      <c r="E230" s="291"/>
      <c r="G230" s="244"/>
      <c r="H230" s="244"/>
      <c r="I230" s="244"/>
      <c r="J230" s="244"/>
      <c r="K230" s="244"/>
      <c r="L230" s="517"/>
      <c r="M230" s="244"/>
      <c r="N230" s="227"/>
    </row>
    <row r="231" spans="1:14">
      <c r="A231" s="390" t="s">
        <v>168</v>
      </c>
      <c r="B231" s="391"/>
      <c r="C231" s="392"/>
      <c r="D231" s="393">
        <f>D230/12</f>
        <v>175263.08333333334</v>
      </c>
      <c r="E231" s="291"/>
      <c r="G231" s="244"/>
      <c r="H231" s="244"/>
      <c r="I231" s="244"/>
      <c r="J231" s="244"/>
      <c r="K231" s="244"/>
      <c r="L231" s="517"/>
      <c r="M231" s="244"/>
      <c r="N231" s="227"/>
    </row>
    <row r="232" spans="1:14">
      <c r="C232" s="394"/>
      <c r="E232" s="291"/>
      <c r="G232" s="244"/>
      <c r="H232" s="244"/>
      <c r="I232" s="244"/>
      <c r="J232" s="244"/>
      <c r="K232" s="244"/>
      <c r="L232" s="517"/>
      <c r="M232" s="244"/>
      <c r="N232" s="227"/>
    </row>
    <row r="233" spans="1:14">
      <c r="C233" s="394"/>
      <c r="E233" s="291"/>
      <c r="G233" s="244"/>
      <c r="H233" s="244"/>
      <c r="I233" s="244"/>
      <c r="J233" s="244"/>
      <c r="K233" s="244"/>
      <c r="L233" s="517"/>
      <c r="M233" s="244"/>
      <c r="N233" s="227"/>
    </row>
    <row r="234" spans="1:14">
      <c r="C234" s="394"/>
      <c r="E234" s="291"/>
      <c r="G234" s="244"/>
      <c r="H234" s="244"/>
      <c r="I234" s="244"/>
      <c r="J234" s="244"/>
      <c r="K234" s="244"/>
      <c r="L234" s="517"/>
      <c r="M234" s="244"/>
      <c r="N234" s="227"/>
    </row>
    <row r="235" spans="1:14">
      <c r="C235" s="394"/>
      <c r="E235" s="291"/>
      <c r="G235" s="244"/>
      <c r="H235" s="244"/>
      <c r="I235" s="244"/>
      <c r="J235" s="244"/>
      <c r="K235" s="244"/>
      <c r="L235" s="517"/>
      <c r="M235" s="244"/>
      <c r="N235" s="227"/>
    </row>
    <row r="236" spans="1:14">
      <c r="A236" s="258" t="s">
        <v>113</v>
      </c>
      <c r="B236" s="244"/>
      <c r="C236" s="244"/>
      <c r="D236" s="244"/>
      <c r="E236" s="244"/>
      <c r="F236" s="244"/>
      <c r="G236" s="244"/>
      <c r="H236" s="244"/>
      <c r="I236" s="244"/>
      <c r="J236" s="244"/>
      <c r="K236" s="244"/>
      <c r="L236" s="244"/>
      <c r="M236" s="244"/>
      <c r="N236" s="227"/>
    </row>
    <row r="237" spans="1:14">
      <c r="A237" s="328"/>
      <c r="B237" s="232" t="s">
        <v>44</v>
      </c>
      <c r="C237" s="232" t="s">
        <v>45</v>
      </c>
      <c r="D237" s="232" t="s">
        <v>46</v>
      </c>
      <c r="E237" s="232" t="s">
        <v>47</v>
      </c>
      <c r="F237" s="232" t="s">
        <v>48</v>
      </c>
      <c r="G237" s="232" t="s">
        <v>49</v>
      </c>
      <c r="H237" s="232" t="s">
        <v>38</v>
      </c>
      <c r="I237" s="232" t="s">
        <v>39</v>
      </c>
      <c r="J237" s="232" t="s">
        <v>40</v>
      </c>
      <c r="K237" s="232" t="s">
        <v>41</v>
      </c>
      <c r="L237" s="232" t="s">
        <v>42</v>
      </c>
      <c r="M237" s="232" t="s">
        <v>43</v>
      </c>
      <c r="N237" s="228"/>
    </row>
    <row r="238" spans="1:14">
      <c r="A238" s="231" t="s">
        <v>115</v>
      </c>
      <c r="B238" s="329">
        <f t="shared" ref="B238:M238" si="48">$D$231</f>
        <v>175263.08333333334</v>
      </c>
      <c r="C238" s="329">
        <f t="shared" si="48"/>
        <v>175263.08333333334</v>
      </c>
      <c r="D238" s="329">
        <f t="shared" si="48"/>
        <v>175263.08333333334</v>
      </c>
      <c r="E238" s="329">
        <f t="shared" si="48"/>
        <v>175263.08333333334</v>
      </c>
      <c r="F238" s="329">
        <f t="shared" si="48"/>
        <v>175263.08333333334</v>
      </c>
      <c r="G238" s="329">
        <f t="shared" si="48"/>
        <v>175263.08333333334</v>
      </c>
      <c r="H238" s="329">
        <f t="shared" si="48"/>
        <v>175263.08333333334</v>
      </c>
      <c r="I238" s="329">
        <f t="shared" si="48"/>
        <v>175263.08333333334</v>
      </c>
      <c r="J238" s="329">
        <f t="shared" si="48"/>
        <v>175263.08333333334</v>
      </c>
      <c r="K238" s="329">
        <f t="shared" si="48"/>
        <v>175263.08333333334</v>
      </c>
      <c r="L238" s="329">
        <f t="shared" si="48"/>
        <v>175263.08333333334</v>
      </c>
      <c r="M238" s="329">
        <f t="shared" si="48"/>
        <v>175263.08333333334</v>
      </c>
      <c r="N238" s="332">
        <f>SUM(B238:M238)</f>
        <v>2103156.9999999995</v>
      </c>
    </row>
    <row r="239" spans="1:14" ht="13.5" thickBot="1">
      <c r="A239" s="247" t="s">
        <v>116</v>
      </c>
      <c r="B239" s="331" t="e">
        <f t="shared" ref="B239:M239" si="49">$M$226</f>
        <v>#REF!</v>
      </c>
      <c r="C239" s="331" t="e">
        <f t="shared" si="49"/>
        <v>#REF!</v>
      </c>
      <c r="D239" s="331" t="e">
        <f t="shared" si="49"/>
        <v>#REF!</v>
      </c>
      <c r="E239" s="331" t="e">
        <f t="shared" si="49"/>
        <v>#REF!</v>
      </c>
      <c r="F239" s="331" t="e">
        <f t="shared" si="49"/>
        <v>#REF!</v>
      </c>
      <c r="G239" s="331" t="e">
        <f t="shared" si="49"/>
        <v>#REF!</v>
      </c>
      <c r="H239" s="331" t="e">
        <f t="shared" si="49"/>
        <v>#REF!</v>
      </c>
      <c r="I239" s="331" t="e">
        <f t="shared" si="49"/>
        <v>#REF!</v>
      </c>
      <c r="J239" s="331" t="e">
        <f t="shared" si="49"/>
        <v>#REF!</v>
      </c>
      <c r="K239" s="331" t="e">
        <f t="shared" si="49"/>
        <v>#REF!</v>
      </c>
      <c r="L239" s="331" t="e">
        <f t="shared" si="49"/>
        <v>#REF!</v>
      </c>
      <c r="M239" s="331" t="e">
        <f t="shared" si="49"/>
        <v>#REF!</v>
      </c>
      <c r="N239" s="332" t="e">
        <f t="shared" ref="N239:N245" si="50">SUM(B239:M239)</f>
        <v>#REF!</v>
      </c>
    </row>
    <row r="240" spans="1:14" ht="13.5" thickBot="1">
      <c r="A240" s="333" t="s">
        <v>169</v>
      </c>
      <c r="B240" s="395" t="e">
        <f t="shared" ref="B240:M240" si="51">SUM(B238,B239)</f>
        <v>#REF!</v>
      </c>
      <c r="C240" s="395" t="e">
        <f t="shared" si="51"/>
        <v>#REF!</v>
      </c>
      <c r="D240" s="395" t="e">
        <f t="shared" si="51"/>
        <v>#REF!</v>
      </c>
      <c r="E240" s="395" t="e">
        <f t="shared" si="51"/>
        <v>#REF!</v>
      </c>
      <c r="F240" s="395" t="e">
        <f t="shared" si="51"/>
        <v>#REF!</v>
      </c>
      <c r="G240" s="395" t="e">
        <f t="shared" si="51"/>
        <v>#REF!</v>
      </c>
      <c r="H240" s="395" t="e">
        <f t="shared" si="51"/>
        <v>#REF!</v>
      </c>
      <c r="I240" s="395" t="e">
        <f t="shared" si="51"/>
        <v>#REF!</v>
      </c>
      <c r="J240" s="395" t="e">
        <f t="shared" si="51"/>
        <v>#REF!</v>
      </c>
      <c r="K240" s="395" t="e">
        <f t="shared" si="51"/>
        <v>#REF!</v>
      </c>
      <c r="L240" s="395" t="e">
        <f t="shared" si="51"/>
        <v>#REF!</v>
      </c>
      <c r="M240" s="395" t="e">
        <f t="shared" si="51"/>
        <v>#REF!</v>
      </c>
      <c r="N240" s="395" t="e">
        <f t="shared" si="50"/>
        <v>#REF!</v>
      </c>
    </row>
    <row r="241" spans="1:14">
      <c r="A241" s="336" t="s">
        <v>170</v>
      </c>
      <c r="B241" s="337">
        <v>241299</v>
      </c>
      <c r="C241" s="337">
        <v>283588</v>
      </c>
      <c r="D241" s="337">
        <v>267782</v>
      </c>
      <c r="E241" s="337">
        <v>174168.9</v>
      </c>
      <c r="F241" s="337">
        <v>216960</v>
      </c>
      <c r="G241" s="338">
        <v>260372</v>
      </c>
      <c r="H241" s="337">
        <v>210307</v>
      </c>
      <c r="I241" s="337">
        <v>221290</v>
      </c>
      <c r="J241" s="337">
        <v>205479</v>
      </c>
      <c r="K241" s="337">
        <v>236545.7</v>
      </c>
      <c r="L241" s="337">
        <v>221664</v>
      </c>
      <c r="M241" s="337"/>
      <c r="N241" s="337">
        <f t="shared" si="50"/>
        <v>2539455.6</v>
      </c>
    </row>
    <row r="242" spans="1:14">
      <c r="A242" s="336" t="s">
        <v>274</v>
      </c>
      <c r="B242" s="337"/>
      <c r="C242" s="337">
        <v>975</v>
      </c>
      <c r="D242" s="337">
        <v>1125</v>
      </c>
      <c r="E242" s="337">
        <v>1175</v>
      </c>
      <c r="F242" s="337">
        <v>1032</v>
      </c>
      <c r="G242" s="338">
        <v>1000</v>
      </c>
      <c r="H242" s="337">
        <v>1225</v>
      </c>
      <c r="I242" s="337"/>
      <c r="J242" s="337"/>
      <c r="K242" s="337"/>
      <c r="L242" s="337"/>
      <c r="M242" s="337"/>
      <c r="N242" s="337">
        <f t="shared" si="50"/>
        <v>6532</v>
      </c>
    </row>
    <row r="243" spans="1:14">
      <c r="A243" s="228" t="s">
        <v>275</v>
      </c>
      <c r="B243" s="330">
        <v>875</v>
      </c>
      <c r="C243" s="330">
        <v>175</v>
      </c>
      <c r="D243" s="330">
        <v>3600</v>
      </c>
      <c r="E243" s="330">
        <v>1250</v>
      </c>
      <c r="F243" s="330">
        <v>375</v>
      </c>
      <c r="G243" s="339">
        <v>125</v>
      </c>
      <c r="H243" s="330">
        <v>50375</v>
      </c>
      <c r="I243" s="330">
        <v>125</v>
      </c>
      <c r="J243" s="330">
        <v>825</v>
      </c>
      <c r="K243" s="330">
        <v>5200</v>
      </c>
      <c r="L243" s="330">
        <v>2125</v>
      </c>
      <c r="M243" s="330">
        <v>175</v>
      </c>
      <c r="N243" s="337">
        <f t="shared" si="50"/>
        <v>65225</v>
      </c>
    </row>
    <row r="244" spans="1:14">
      <c r="A244" s="349" t="s">
        <v>211</v>
      </c>
      <c r="B244" s="330">
        <v>24375</v>
      </c>
      <c r="C244" s="330"/>
      <c r="D244" s="330">
        <v>4650</v>
      </c>
      <c r="E244" s="330">
        <v>20250</v>
      </c>
      <c r="F244" s="330">
        <v>8100</v>
      </c>
      <c r="G244" s="339">
        <v>2850</v>
      </c>
      <c r="H244" s="330"/>
      <c r="I244" s="330">
        <v>7500</v>
      </c>
      <c r="J244" s="330">
        <v>12150</v>
      </c>
      <c r="K244" s="330">
        <v>31600</v>
      </c>
      <c r="L244" s="330">
        <v>7950</v>
      </c>
      <c r="M244" s="330"/>
      <c r="N244" s="337">
        <f t="shared" si="50"/>
        <v>119425</v>
      </c>
    </row>
    <row r="245" spans="1:14" ht="13.5" thickBot="1">
      <c r="A245" s="228" t="s">
        <v>276</v>
      </c>
      <c r="B245" s="344"/>
      <c r="C245" s="344"/>
      <c r="D245" s="344">
        <v>29400</v>
      </c>
      <c r="E245" s="344"/>
      <c r="F245" s="344"/>
      <c r="G245" s="518"/>
      <c r="H245" s="344"/>
      <c r="I245" s="344"/>
      <c r="J245" s="344"/>
      <c r="K245" s="344"/>
      <c r="L245" s="344">
        <v>110000</v>
      </c>
      <c r="M245" s="344"/>
      <c r="N245" s="337">
        <f t="shared" si="50"/>
        <v>139400</v>
      </c>
    </row>
    <row r="246" spans="1:14" ht="13.5" thickBot="1">
      <c r="A246" s="341" t="s">
        <v>129</v>
      </c>
      <c r="B246" s="361">
        <f>SUM(B241:B245)</f>
        <v>266549</v>
      </c>
      <c r="C246" s="361">
        <f t="shared" ref="C246:M246" si="52">SUM(C241:C245)</f>
        <v>284738</v>
      </c>
      <c r="D246" s="361">
        <f t="shared" si="52"/>
        <v>306557</v>
      </c>
      <c r="E246" s="361">
        <f t="shared" si="52"/>
        <v>196843.9</v>
      </c>
      <c r="F246" s="361">
        <f t="shared" si="52"/>
        <v>226467</v>
      </c>
      <c r="G246" s="361">
        <f t="shared" si="52"/>
        <v>264347</v>
      </c>
      <c r="H246" s="361">
        <f t="shared" si="52"/>
        <v>261907</v>
      </c>
      <c r="I246" s="361">
        <f t="shared" si="52"/>
        <v>228915</v>
      </c>
      <c r="J246" s="361">
        <f t="shared" si="52"/>
        <v>218454</v>
      </c>
      <c r="K246" s="361">
        <f t="shared" si="52"/>
        <v>273345.7</v>
      </c>
      <c r="L246" s="361">
        <f t="shared" si="52"/>
        <v>341739</v>
      </c>
      <c r="M246" s="361">
        <f t="shared" si="52"/>
        <v>175</v>
      </c>
      <c r="N246" s="361">
        <f t="shared" ref="N246:N260" si="53">SUM(B246:M246)</f>
        <v>2870037.6</v>
      </c>
    </row>
    <row r="247" spans="1:14">
      <c r="A247" s="228" t="s">
        <v>127</v>
      </c>
      <c r="B247" s="332"/>
      <c r="C247" s="332"/>
      <c r="D247" s="332"/>
      <c r="E247" s="332"/>
      <c r="F247" s="332"/>
      <c r="G247" s="398"/>
      <c r="H247" s="332"/>
      <c r="I247" s="332"/>
      <c r="J247" s="332"/>
      <c r="K247" s="332"/>
      <c r="L247" s="332"/>
      <c r="M247" s="332"/>
      <c r="N247" s="332">
        <f t="shared" si="53"/>
        <v>0</v>
      </c>
    </row>
    <row r="248" spans="1:14">
      <c r="A248" s="363" t="s">
        <v>129</v>
      </c>
      <c r="B248" s="399" t="e">
        <f t="shared" ref="B248:M248" si="54">SUM(B240,B246,B247)</f>
        <v>#REF!</v>
      </c>
      <c r="C248" s="399" t="e">
        <f t="shared" si="54"/>
        <v>#REF!</v>
      </c>
      <c r="D248" s="399" t="e">
        <f t="shared" si="54"/>
        <v>#REF!</v>
      </c>
      <c r="E248" s="399" t="e">
        <f t="shared" si="54"/>
        <v>#REF!</v>
      </c>
      <c r="F248" s="399" t="e">
        <f t="shared" si="54"/>
        <v>#REF!</v>
      </c>
      <c r="G248" s="399" t="e">
        <f t="shared" si="54"/>
        <v>#REF!</v>
      </c>
      <c r="H248" s="399" t="e">
        <f t="shared" si="54"/>
        <v>#REF!</v>
      </c>
      <c r="I248" s="399" t="e">
        <f t="shared" si="54"/>
        <v>#REF!</v>
      </c>
      <c r="J248" s="399" t="e">
        <f t="shared" si="54"/>
        <v>#REF!</v>
      </c>
      <c r="K248" s="399" t="e">
        <f t="shared" si="54"/>
        <v>#REF!</v>
      </c>
      <c r="L248" s="399" t="e">
        <f t="shared" si="54"/>
        <v>#REF!</v>
      </c>
      <c r="M248" s="399" t="e">
        <f t="shared" si="54"/>
        <v>#REF!</v>
      </c>
      <c r="N248" s="399" t="e">
        <f t="shared" si="53"/>
        <v>#REF!</v>
      </c>
    </row>
    <row r="249" spans="1:14">
      <c r="A249" s="400" t="s">
        <v>172</v>
      </c>
      <c r="B249" s="331">
        <v>333625</v>
      </c>
      <c r="C249" s="331">
        <v>329280</v>
      </c>
      <c r="D249" s="331">
        <v>324721</v>
      </c>
      <c r="E249" s="331">
        <v>387187</v>
      </c>
      <c r="F249" s="331">
        <v>360265</v>
      </c>
      <c r="G249" s="331">
        <v>337554</v>
      </c>
      <c r="H249" s="331">
        <v>324572</v>
      </c>
      <c r="I249" s="331">
        <v>323329</v>
      </c>
      <c r="J249" s="331">
        <v>336558</v>
      </c>
      <c r="K249" s="331">
        <v>327491</v>
      </c>
      <c r="L249" s="331">
        <v>330000</v>
      </c>
      <c r="M249" s="331">
        <v>330000</v>
      </c>
      <c r="N249" s="331">
        <f t="shared" si="53"/>
        <v>4044582</v>
      </c>
    </row>
    <row r="250" spans="1:14">
      <c r="A250" s="228" t="s">
        <v>278</v>
      </c>
      <c r="B250" s="331"/>
      <c r="C250" s="331"/>
      <c r="D250" s="331"/>
      <c r="E250" s="331"/>
      <c r="F250" s="331"/>
      <c r="G250" s="331"/>
      <c r="H250" s="331">
        <v>250000</v>
      </c>
      <c r="I250" s="331"/>
      <c r="J250" s="331"/>
      <c r="K250" s="331"/>
      <c r="L250" s="331"/>
      <c r="M250" s="331"/>
      <c r="N250" s="331">
        <f>SUM(B250:M250)</f>
        <v>250000</v>
      </c>
    </row>
    <row r="251" spans="1:14">
      <c r="A251" s="228" t="s">
        <v>135</v>
      </c>
      <c r="B251" s="331"/>
      <c r="C251" s="331"/>
      <c r="D251" s="331"/>
      <c r="E251" s="331"/>
      <c r="F251" s="331">
        <v>23747</v>
      </c>
      <c r="G251" s="331"/>
      <c r="H251" s="331"/>
      <c r="I251" s="331"/>
      <c r="J251" s="331"/>
      <c r="K251" s="331"/>
      <c r="L251" s="331"/>
      <c r="M251" s="331"/>
      <c r="N251" s="331">
        <f>SUM(B251:M251)</f>
        <v>23747</v>
      </c>
    </row>
    <row r="252" spans="1:14">
      <c r="A252" s="228" t="s">
        <v>279</v>
      </c>
      <c r="B252" s="331">
        <v>4038</v>
      </c>
      <c r="C252" s="331">
        <v>7255</v>
      </c>
      <c r="D252" s="331">
        <v>5239</v>
      </c>
      <c r="E252" s="331">
        <v>7089</v>
      </c>
      <c r="F252" s="331">
        <v>6096</v>
      </c>
      <c r="G252" s="331">
        <v>5467</v>
      </c>
      <c r="H252" s="331">
        <v>8105</v>
      </c>
      <c r="I252" s="331">
        <v>9648</v>
      </c>
      <c r="J252" s="331">
        <v>5829</v>
      </c>
      <c r="K252" s="331">
        <v>8431</v>
      </c>
      <c r="L252" s="331">
        <v>10000</v>
      </c>
      <c r="M252" s="331">
        <v>10000</v>
      </c>
      <c r="N252" s="331">
        <f t="shared" si="53"/>
        <v>87197</v>
      </c>
    </row>
    <row r="253" spans="1:14">
      <c r="A253" s="228" t="s">
        <v>378</v>
      </c>
      <c r="B253" s="331"/>
      <c r="C253" s="331"/>
      <c r="D253" s="331">
        <v>6671</v>
      </c>
      <c r="E253" s="331">
        <v>2938</v>
      </c>
      <c r="F253" s="331">
        <v>5000</v>
      </c>
      <c r="G253" s="331">
        <v>5000</v>
      </c>
      <c r="H253" s="331">
        <v>5000</v>
      </c>
      <c r="I253" s="331">
        <v>5000</v>
      </c>
      <c r="J253" s="331">
        <v>5000</v>
      </c>
      <c r="K253" s="331">
        <v>5000</v>
      </c>
      <c r="L253" s="331">
        <v>5000</v>
      </c>
      <c r="M253" s="331">
        <v>5000</v>
      </c>
      <c r="N253" s="331">
        <f>SUM(B253:M253)</f>
        <v>49609</v>
      </c>
    </row>
    <row r="254" spans="1:14">
      <c r="A254" s="228" t="s">
        <v>280</v>
      </c>
      <c r="B254" s="331">
        <v>53852</v>
      </c>
      <c r="C254" s="331"/>
      <c r="D254" s="331"/>
      <c r="E254" s="331">
        <v>27214</v>
      </c>
      <c r="F254" s="331"/>
      <c r="G254" s="331"/>
      <c r="H254" s="331">
        <v>27214</v>
      </c>
      <c r="I254" s="331"/>
      <c r="J254" s="331"/>
      <c r="K254" s="331">
        <v>27214</v>
      </c>
      <c r="L254" s="331"/>
      <c r="M254" s="331"/>
      <c r="N254" s="331">
        <f t="shared" si="53"/>
        <v>135494</v>
      </c>
    </row>
    <row r="255" spans="1:14">
      <c r="A255" s="228" t="s">
        <v>281</v>
      </c>
      <c r="B255" s="331">
        <v>2429</v>
      </c>
      <c r="C255" s="331">
        <v>2429</v>
      </c>
      <c r="D255" s="331">
        <v>2429</v>
      </c>
      <c r="E255" s="331">
        <v>2429</v>
      </c>
      <c r="F255" s="331">
        <v>2429</v>
      </c>
      <c r="G255" s="331">
        <v>2429</v>
      </c>
      <c r="H255" s="331">
        <v>2429</v>
      </c>
      <c r="I255" s="331">
        <v>2429</v>
      </c>
      <c r="J255" s="331">
        <v>2429</v>
      </c>
      <c r="K255" s="331">
        <v>2429</v>
      </c>
      <c r="L255" s="331">
        <v>2429</v>
      </c>
      <c r="M255" s="331">
        <v>2429</v>
      </c>
      <c r="N255" s="331">
        <f t="shared" si="53"/>
        <v>29148</v>
      </c>
    </row>
    <row r="256" spans="1:14">
      <c r="A256" s="228" t="s">
        <v>282</v>
      </c>
      <c r="B256" s="331"/>
      <c r="C256" s="331"/>
      <c r="D256" s="331"/>
      <c r="E256" s="331"/>
      <c r="F256" s="331"/>
      <c r="G256" s="331"/>
      <c r="H256" s="331"/>
      <c r="I256" s="331"/>
      <c r="J256" s="331">
        <v>167546</v>
      </c>
      <c r="K256" s="331">
        <v>30000</v>
      </c>
      <c r="L256" s="331">
        <v>30000</v>
      </c>
      <c r="M256" s="331">
        <v>30000</v>
      </c>
      <c r="N256" s="331">
        <f t="shared" si="53"/>
        <v>257546</v>
      </c>
    </row>
    <row r="257" spans="1:14">
      <c r="A257" s="228" t="s">
        <v>283</v>
      </c>
      <c r="B257" s="331">
        <v>5680</v>
      </c>
      <c r="C257" s="331">
        <v>5680</v>
      </c>
      <c r="D257" s="331">
        <v>5680</v>
      </c>
      <c r="E257" s="331">
        <v>5680</v>
      </c>
      <c r="F257" s="331">
        <v>5680</v>
      </c>
      <c r="G257" s="331">
        <v>5680</v>
      </c>
      <c r="H257" s="331">
        <v>5680</v>
      </c>
      <c r="I257" s="331">
        <v>5680</v>
      </c>
      <c r="J257" s="331">
        <v>5680</v>
      </c>
      <c r="K257" s="331">
        <v>5680</v>
      </c>
      <c r="L257" s="331">
        <v>5680</v>
      </c>
      <c r="M257" s="331">
        <v>5680</v>
      </c>
      <c r="N257" s="331">
        <f t="shared" si="53"/>
        <v>68160</v>
      </c>
    </row>
    <row r="258" spans="1:14">
      <c r="A258" s="228" t="s">
        <v>182</v>
      </c>
      <c r="B258" s="329">
        <v>229965</v>
      </c>
      <c r="C258" s="329">
        <v>268945</v>
      </c>
      <c r="D258" s="329">
        <v>255187</v>
      </c>
      <c r="E258" s="329">
        <v>166648</v>
      </c>
      <c r="F258" s="329">
        <v>207215</v>
      </c>
      <c r="G258" s="329">
        <v>248244</v>
      </c>
      <c r="H258" s="329">
        <v>200491</v>
      </c>
      <c r="I258" s="329">
        <v>211029</v>
      </c>
      <c r="J258" s="329">
        <v>196060</v>
      </c>
      <c r="K258" s="329">
        <v>226734.1</v>
      </c>
      <c r="L258" s="329">
        <v>211242</v>
      </c>
      <c r="M258" s="329"/>
      <c r="N258" s="331">
        <f t="shared" si="53"/>
        <v>2421760.1</v>
      </c>
    </row>
    <row r="259" spans="1:14">
      <c r="A259" s="228" t="s">
        <v>157</v>
      </c>
      <c r="B259" s="329"/>
      <c r="C259" s="329"/>
      <c r="D259" s="329"/>
      <c r="E259" s="329"/>
      <c r="F259" s="329"/>
      <c r="G259" s="329"/>
      <c r="H259" s="329"/>
      <c r="I259" s="329">
        <v>400000</v>
      </c>
      <c r="J259" s="329"/>
      <c r="K259" s="329"/>
      <c r="L259" s="329"/>
      <c r="M259" s="329"/>
      <c r="N259" s="331">
        <f>SUM(B259:M259)</f>
        <v>400000</v>
      </c>
    </row>
    <row r="260" spans="1:14">
      <c r="A260" s="367" t="s">
        <v>146</v>
      </c>
      <c r="B260" s="368" t="e">
        <f>SUM(B248-B249-B250-B251-B252-B253-B254-B255-B256-B257-B258)</f>
        <v>#REF!</v>
      </c>
      <c r="C260" s="368" t="e">
        <f>SUM(C248-C249-C251-C252-C253-C254-C255-C256-C257-C258)</f>
        <v>#REF!</v>
      </c>
      <c r="D260" s="368" t="e">
        <f>SUM(D248-D249-D251-D252-D253-D254-D255-D256-D257-D258)</f>
        <v>#REF!</v>
      </c>
      <c r="E260" s="368" t="e">
        <f>SUM(E248-E249-E251-E252-E253-E254-E255-E256-E257-E258)</f>
        <v>#REF!</v>
      </c>
      <c r="F260" s="368" t="e">
        <f>SUM(F248-F249-F251-F252-F253-F254-F255-F256-F257-F258)</f>
        <v>#REF!</v>
      </c>
      <c r="G260" s="368" t="e">
        <f>SUM(G248-G249-G251-G252-G253-G254-G255-G256-G257-G258)</f>
        <v>#REF!</v>
      </c>
      <c r="H260" s="368" t="e">
        <f>SUM(H248-H249-H250-H251-H252-H253-H254-H255-H256-H257-H258)</f>
        <v>#REF!</v>
      </c>
      <c r="I260" s="368" t="e">
        <f>SUM(I248-I249-I251-I252-I253-I254-I255-I256-I257-I258-I259)</f>
        <v>#REF!</v>
      </c>
      <c r="J260" s="368" t="e">
        <f>SUM(J248-J249-J251-J252-J253-J254-J255-J256-J257-J258)</f>
        <v>#REF!</v>
      </c>
      <c r="K260" s="368" t="e">
        <f>SUM(K248-K249-K251-K252-K253-K254-K255-K256-K257-K258)</f>
        <v>#REF!</v>
      </c>
      <c r="L260" s="368" t="e">
        <f>SUM(L248-L249-L251-L252-L253-L254-L255-L256-L257-L258)</f>
        <v>#REF!</v>
      </c>
      <c r="M260" s="368" t="e">
        <f>SUM(M248-M249-M251-M252-M253-M254-M255-M256-M257-M258)</f>
        <v>#REF!</v>
      </c>
      <c r="N260" s="368" t="e">
        <f t="shared" si="53"/>
        <v>#REF!</v>
      </c>
    </row>
    <row r="261" spans="1:14" ht="13.5" thickBot="1">
      <c r="A261" s="401"/>
      <c r="B261" s="402"/>
      <c r="C261" s="402"/>
      <c r="D261" s="402"/>
      <c r="E261" s="402"/>
      <c r="F261" s="402"/>
      <c r="G261" s="402"/>
      <c r="H261" s="402"/>
      <c r="I261" s="402"/>
      <c r="J261" s="402"/>
      <c r="K261" s="402"/>
      <c r="L261" s="402"/>
      <c r="M261" s="402"/>
      <c r="N261" s="402"/>
    </row>
    <row r="262" spans="1:14" ht="13.5" thickBot="1">
      <c r="A262" s="281"/>
      <c r="B262" s="281"/>
      <c r="C262" s="281"/>
      <c r="D262" s="281"/>
      <c r="E262" s="281"/>
      <c r="F262" s="281"/>
      <c r="G262" s="281"/>
      <c r="H262" s="281"/>
      <c r="I262" s="281"/>
      <c r="J262" s="281"/>
      <c r="K262" s="281"/>
      <c r="L262" s="281"/>
      <c r="M262" s="281"/>
      <c r="N262" s="281"/>
    </row>
    <row r="263" spans="1:14" ht="20.25">
      <c r="A263" s="820" t="s">
        <v>379</v>
      </c>
      <c r="B263" s="820"/>
      <c r="C263" s="820"/>
      <c r="D263" s="820"/>
      <c r="E263" s="820"/>
      <c r="F263" s="820"/>
      <c r="G263" s="820"/>
      <c r="H263" s="820"/>
      <c r="I263" s="820"/>
      <c r="J263" s="820"/>
      <c r="K263" s="820"/>
      <c r="L263" s="820"/>
      <c r="M263" s="820"/>
      <c r="N263" s="820"/>
    </row>
    <row r="264" spans="1:14">
      <c r="A264" s="227"/>
      <c r="B264" s="227"/>
      <c r="C264" s="227"/>
      <c r="D264" s="227"/>
      <c r="E264" s="227"/>
      <c r="F264" s="227"/>
      <c r="G264" s="227"/>
      <c r="H264" s="227"/>
      <c r="I264" s="227"/>
      <c r="J264" s="227"/>
      <c r="K264" s="227"/>
      <c r="L264" s="227"/>
      <c r="M264" s="227"/>
    </row>
    <row r="265" spans="1:14">
      <c r="A265" s="228"/>
      <c r="B265" s="229" t="s">
        <v>44</v>
      </c>
      <c r="C265" s="229" t="s">
        <v>45</v>
      </c>
      <c r="D265" s="230" t="s">
        <v>46</v>
      </c>
      <c r="E265" s="229" t="s">
        <v>47</v>
      </c>
      <c r="F265" s="229" t="s">
        <v>48</v>
      </c>
      <c r="G265" s="230" t="s">
        <v>49</v>
      </c>
      <c r="H265" s="229" t="s">
        <v>38</v>
      </c>
      <c r="I265" s="229" t="s">
        <v>39</v>
      </c>
      <c r="J265" s="229" t="s">
        <v>40</v>
      </c>
      <c r="K265" s="229" t="s">
        <v>41</v>
      </c>
      <c r="L265" s="229" t="s">
        <v>42</v>
      </c>
      <c r="M265" s="229" t="s">
        <v>43</v>
      </c>
      <c r="N265" s="228" t="s">
        <v>64</v>
      </c>
    </row>
    <row r="266" spans="1:14">
      <c r="A266" s="231" t="s">
        <v>65</v>
      </c>
      <c r="B266" s="232">
        <v>2083</v>
      </c>
      <c r="C266" s="232">
        <v>2083</v>
      </c>
      <c r="D266" s="232">
        <v>2083</v>
      </c>
      <c r="E266" s="232">
        <v>2083</v>
      </c>
      <c r="F266" s="232">
        <v>2083</v>
      </c>
      <c r="G266" s="232">
        <v>2083</v>
      </c>
      <c r="H266" s="232">
        <v>2083</v>
      </c>
      <c r="I266" s="232">
        <v>2083</v>
      </c>
      <c r="J266" s="232">
        <v>2083</v>
      </c>
      <c r="K266" s="232">
        <v>2083</v>
      </c>
      <c r="L266" s="232">
        <v>2083</v>
      </c>
      <c r="M266" s="232">
        <v>2083</v>
      </c>
      <c r="N266" s="232">
        <f t="shared" ref="N266:N277" si="55">SUM(B266:M266)</f>
        <v>24996</v>
      </c>
    </row>
    <row r="267" spans="1:14">
      <c r="A267" s="231" t="s">
        <v>66</v>
      </c>
      <c r="B267" s="232"/>
      <c r="C267" s="232"/>
      <c r="D267" s="232"/>
      <c r="E267" s="232"/>
      <c r="F267" s="232"/>
      <c r="G267" s="233"/>
      <c r="H267" s="232"/>
      <c r="I267" s="232"/>
      <c r="J267" s="234"/>
      <c r="K267" s="232"/>
      <c r="L267" s="232"/>
      <c r="M267" s="232"/>
      <c r="N267" s="232">
        <f t="shared" si="55"/>
        <v>0</v>
      </c>
    </row>
    <row r="268" spans="1:14">
      <c r="A268" s="231" t="s">
        <v>67</v>
      </c>
      <c r="B268" s="232"/>
      <c r="C268" s="232"/>
      <c r="D268" s="232"/>
      <c r="E268" s="232"/>
      <c r="F268" s="232"/>
      <c r="G268" s="233"/>
      <c r="H268" s="232"/>
      <c r="I268" s="232"/>
      <c r="J268" s="232"/>
      <c r="K268" s="232"/>
      <c r="L268" s="232"/>
      <c r="M268" s="228"/>
      <c r="N268" s="232">
        <f t="shared" si="55"/>
        <v>0</v>
      </c>
    </row>
    <row r="269" spans="1:14">
      <c r="A269" s="231" t="s">
        <v>69</v>
      </c>
      <c r="B269" s="232">
        <v>81.75</v>
      </c>
      <c r="C269" s="232">
        <v>109.25</v>
      </c>
      <c r="D269" s="232">
        <v>142.75</v>
      </c>
      <c r="E269" s="232">
        <v>293</v>
      </c>
      <c r="F269" s="232">
        <v>98</v>
      </c>
      <c r="G269" s="233">
        <v>191</v>
      </c>
      <c r="H269" s="232">
        <v>410.5</v>
      </c>
      <c r="I269" s="232">
        <v>625.5</v>
      </c>
      <c r="J269" s="232">
        <v>118.75</v>
      </c>
      <c r="K269" s="232">
        <v>89.5</v>
      </c>
      <c r="L269" s="232"/>
      <c r="M269" s="232"/>
      <c r="N269" s="232">
        <f t="shared" si="55"/>
        <v>2160</v>
      </c>
    </row>
    <row r="270" spans="1:14">
      <c r="A270" s="231" t="s">
        <v>70</v>
      </c>
      <c r="B270" s="232">
        <v>7.75</v>
      </c>
      <c r="C270" s="232">
        <v>50.75</v>
      </c>
      <c r="D270" s="232">
        <v>93.75</v>
      </c>
      <c r="E270" s="232">
        <v>109</v>
      </c>
      <c r="F270" s="232"/>
      <c r="G270" s="233"/>
      <c r="H270" s="232">
        <v>27.5</v>
      </c>
      <c r="I270" s="232">
        <v>37</v>
      </c>
      <c r="J270" s="232"/>
      <c r="K270" s="232">
        <v>19.75</v>
      </c>
      <c r="L270" s="232"/>
      <c r="M270" s="232"/>
      <c r="N270" s="232">
        <f t="shared" si="55"/>
        <v>345.5</v>
      </c>
    </row>
    <row r="271" spans="1:14">
      <c r="A271" s="231" t="s">
        <v>71</v>
      </c>
      <c r="B271" s="232">
        <v>145.5</v>
      </c>
      <c r="C271" s="232">
        <v>23.25</v>
      </c>
      <c r="D271" s="232">
        <v>50.75</v>
      </c>
      <c r="E271" s="232"/>
      <c r="F271" s="232">
        <v>171.25</v>
      </c>
      <c r="G271" s="233">
        <v>50.75</v>
      </c>
      <c r="H271" s="232">
        <v>124.75</v>
      </c>
      <c r="I271" s="232">
        <v>97.25</v>
      </c>
      <c r="J271" s="232">
        <v>23.25</v>
      </c>
      <c r="K271" s="232">
        <v>167.75</v>
      </c>
      <c r="L271" s="232"/>
      <c r="M271" s="232"/>
      <c r="N271" s="232">
        <f t="shared" si="55"/>
        <v>854.5</v>
      </c>
    </row>
    <row r="272" spans="1:14">
      <c r="A272" s="231" t="s">
        <v>72</v>
      </c>
      <c r="B272" s="232"/>
      <c r="C272" s="232">
        <v>15.5</v>
      </c>
      <c r="D272" s="232"/>
      <c r="E272" s="232"/>
      <c r="F272" s="232"/>
      <c r="G272" s="233"/>
      <c r="H272" s="232">
        <v>7.75</v>
      </c>
      <c r="I272" s="232"/>
      <c r="J272" s="232"/>
      <c r="K272" s="232">
        <v>7.75</v>
      </c>
      <c r="L272" s="232"/>
      <c r="M272" s="232"/>
      <c r="N272" s="232">
        <f t="shared" si="55"/>
        <v>31</v>
      </c>
    </row>
    <row r="273" spans="1:14">
      <c r="A273" s="231" t="s">
        <v>73</v>
      </c>
      <c r="B273" s="232">
        <v>21.5</v>
      </c>
      <c r="C273" s="232">
        <v>27.5</v>
      </c>
      <c r="D273" s="232"/>
      <c r="E273" s="232"/>
      <c r="F273" s="232">
        <v>15</v>
      </c>
      <c r="G273" s="233">
        <v>13.75</v>
      </c>
      <c r="H273" s="232"/>
      <c r="I273" s="232"/>
      <c r="J273" s="232">
        <v>20</v>
      </c>
      <c r="K273" s="232"/>
      <c r="L273" s="232"/>
      <c r="M273" s="232"/>
      <c r="N273" s="232">
        <f t="shared" si="55"/>
        <v>97.75</v>
      </c>
    </row>
    <row r="274" spans="1:14">
      <c r="A274" s="231" t="s">
        <v>74</v>
      </c>
      <c r="B274" s="232"/>
      <c r="C274" s="232"/>
      <c r="D274" s="232"/>
      <c r="E274" s="232"/>
      <c r="F274" s="232"/>
      <c r="G274" s="233"/>
      <c r="H274" s="232"/>
      <c r="I274" s="232"/>
      <c r="J274" s="232"/>
      <c r="K274" s="232"/>
      <c r="L274" s="232"/>
      <c r="M274" s="232"/>
      <c r="N274" s="232">
        <f t="shared" si="55"/>
        <v>0</v>
      </c>
    </row>
    <row r="275" spans="1:14">
      <c r="A275" s="231" t="s">
        <v>75</v>
      </c>
      <c r="B275" s="232">
        <v>6</v>
      </c>
      <c r="C275" s="232">
        <v>23.25</v>
      </c>
      <c r="D275" s="232"/>
      <c r="E275" s="232"/>
      <c r="F275" s="232"/>
      <c r="G275" s="233"/>
      <c r="H275" s="232"/>
      <c r="I275" s="232"/>
      <c r="J275" s="232"/>
      <c r="K275" s="232"/>
      <c r="L275" s="232"/>
      <c r="M275" s="232"/>
      <c r="N275" s="232">
        <f t="shared" si="55"/>
        <v>29.25</v>
      </c>
    </row>
    <row r="276" spans="1:14" ht="13.5" thickBot="1">
      <c r="A276" s="235" t="s">
        <v>76</v>
      </c>
      <c r="B276" s="236">
        <v>7.75</v>
      </c>
      <c r="C276" s="236"/>
      <c r="D276" s="236"/>
      <c r="E276" s="236">
        <v>29.25</v>
      </c>
      <c r="F276" s="236"/>
      <c r="G276" s="237"/>
      <c r="H276" s="236">
        <v>7.75</v>
      </c>
      <c r="I276" s="236">
        <v>37</v>
      </c>
      <c r="J276" s="236"/>
      <c r="K276" s="236">
        <v>52.5</v>
      </c>
      <c r="L276" s="236"/>
      <c r="M276" s="236"/>
      <c r="N276" s="238">
        <f t="shared" si="55"/>
        <v>134.25</v>
      </c>
    </row>
    <row r="277" spans="1:14" ht="13.5" thickBot="1">
      <c r="A277" s="239" t="s">
        <v>77</v>
      </c>
      <c r="B277" s="240">
        <f t="shared" ref="B277:M277" si="56">SUM(B266+B267+B268-B269-B270-B271-B273-B274-B275-B276)</f>
        <v>1812.75</v>
      </c>
      <c r="C277" s="240">
        <f t="shared" si="56"/>
        <v>1849</v>
      </c>
      <c r="D277" s="240">
        <f t="shared" si="56"/>
        <v>1795.75</v>
      </c>
      <c r="E277" s="240">
        <f t="shared" si="56"/>
        <v>1651.75</v>
      </c>
      <c r="F277" s="240">
        <f t="shared" si="56"/>
        <v>1798.75</v>
      </c>
      <c r="G277" s="354">
        <f t="shared" si="56"/>
        <v>1827.5</v>
      </c>
      <c r="H277" s="240">
        <f t="shared" si="56"/>
        <v>1512.5</v>
      </c>
      <c r="I277" s="240">
        <f t="shared" si="56"/>
        <v>1286.25</v>
      </c>
      <c r="J277" s="240">
        <f t="shared" si="56"/>
        <v>1921</v>
      </c>
      <c r="K277" s="240">
        <f t="shared" si="56"/>
        <v>1753.5</v>
      </c>
      <c r="L277" s="240">
        <f t="shared" si="56"/>
        <v>2083</v>
      </c>
      <c r="M277" s="241">
        <f t="shared" si="56"/>
        <v>2083</v>
      </c>
      <c r="N277" s="242">
        <f t="shared" si="55"/>
        <v>21374.75</v>
      </c>
    </row>
    <row r="278" spans="1:14">
      <c r="A278" s="243"/>
      <c r="B278" s="244"/>
      <c r="C278" s="244"/>
      <c r="D278" s="244"/>
      <c r="E278" s="244"/>
      <c r="F278" s="244"/>
      <c r="G278" s="244"/>
      <c r="H278" s="244"/>
      <c r="I278" s="244"/>
      <c r="J278" s="244"/>
      <c r="K278" s="244"/>
      <c r="L278" s="244"/>
      <c r="M278" s="244"/>
      <c r="N278" s="244"/>
    </row>
    <row r="279" spans="1:14">
      <c r="A279" s="243"/>
      <c r="B279" s="244"/>
      <c r="C279" s="244"/>
      <c r="D279" s="244"/>
      <c r="E279" s="244"/>
      <c r="F279" s="244"/>
      <c r="G279" s="244"/>
      <c r="H279" s="244"/>
      <c r="I279" s="244"/>
      <c r="J279" s="244"/>
      <c r="K279" s="244"/>
      <c r="L279" s="244"/>
      <c r="M279" s="244"/>
      <c r="N279" s="245" t="s">
        <v>78</v>
      </c>
    </row>
    <row r="280" spans="1:14">
      <c r="A280" s="231" t="s">
        <v>79</v>
      </c>
      <c r="B280" s="232">
        <f t="shared" ref="B280:M280" si="57">SUM(B267*100/B277)</f>
        <v>0</v>
      </c>
      <c r="C280" s="232">
        <f t="shared" si="57"/>
        <v>0</v>
      </c>
      <c r="D280" s="232">
        <f t="shared" si="57"/>
        <v>0</v>
      </c>
      <c r="E280" s="232">
        <f t="shared" si="57"/>
        <v>0</v>
      </c>
      <c r="F280" s="232">
        <f t="shared" si="57"/>
        <v>0</v>
      </c>
      <c r="G280" s="232">
        <f t="shared" si="57"/>
        <v>0</v>
      </c>
      <c r="H280" s="232">
        <f t="shared" si="57"/>
        <v>0</v>
      </c>
      <c r="I280" s="232">
        <f t="shared" si="57"/>
        <v>0</v>
      </c>
      <c r="J280" s="232">
        <f t="shared" si="57"/>
        <v>0</v>
      </c>
      <c r="K280" s="232">
        <f t="shared" si="57"/>
        <v>0</v>
      </c>
      <c r="L280" s="232">
        <f t="shared" si="57"/>
        <v>0</v>
      </c>
      <c r="M280" s="232">
        <f t="shared" si="57"/>
        <v>0</v>
      </c>
      <c r="N280" s="246">
        <f>SUM(B280:M280)/12</f>
        <v>0</v>
      </c>
    </row>
    <row r="281" spans="1:14">
      <c r="A281" s="243"/>
      <c r="B281" s="244"/>
      <c r="C281" s="244"/>
      <c r="D281" s="244"/>
      <c r="E281" s="244"/>
      <c r="F281" s="244"/>
      <c r="G281" s="244"/>
      <c r="H281" s="244"/>
      <c r="I281" s="244"/>
      <c r="J281" s="244"/>
      <c r="K281" s="244"/>
      <c r="L281" s="244"/>
      <c r="M281" s="244"/>
      <c r="N281" s="227"/>
    </row>
    <row r="282" spans="1:14">
      <c r="A282" s="231" t="s">
        <v>80</v>
      </c>
      <c r="B282" s="232">
        <f t="shared" ref="B282:M282" si="58">SUM(B271*100/B277)</f>
        <v>8.0264791063301608</v>
      </c>
      <c r="C282" s="232">
        <f t="shared" si="58"/>
        <v>1.25743645213629</v>
      </c>
      <c r="D282" s="232">
        <f t="shared" si="58"/>
        <v>2.8261172212167618</v>
      </c>
      <c r="E282" s="232">
        <f t="shared" si="58"/>
        <v>0</v>
      </c>
      <c r="F282" s="232">
        <f t="shared" si="58"/>
        <v>9.5205003474635159</v>
      </c>
      <c r="G282" s="232">
        <f t="shared" si="58"/>
        <v>2.7770177838577292</v>
      </c>
      <c r="H282" s="232">
        <f t="shared" si="58"/>
        <v>8.2479338842975203</v>
      </c>
      <c r="I282" s="232">
        <f t="shared" si="58"/>
        <v>7.5607385811467447</v>
      </c>
      <c r="J282" s="232">
        <f t="shared" si="58"/>
        <v>1.2103071317022385</v>
      </c>
      <c r="K282" s="232">
        <f t="shared" si="58"/>
        <v>9.5665811234673512</v>
      </c>
      <c r="L282" s="232">
        <f t="shared" si="58"/>
        <v>0</v>
      </c>
      <c r="M282" s="232">
        <f t="shared" si="58"/>
        <v>0</v>
      </c>
      <c r="N282" s="246">
        <f>SUM(B282:M282)/12</f>
        <v>4.2494259693015257</v>
      </c>
    </row>
    <row r="283" spans="1:14" ht="13.5" thickBot="1">
      <c r="A283" s="247" t="s">
        <v>81</v>
      </c>
      <c r="B283" s="238">
        <f t="shared" ref="B283:M283" si="59">SUM(B272*100/B277)</f>
        <v>0</v>
      </c>
      <c r="C283" s="238">
        <f t="shared" si="59"/>
        <v>0.8382909680908599</v>
      </c>
      <c r="D283" s="238">
        <f t="shared" si="59"/>
        <v>0</v>
      </c>
      <c r="E283" s="238">
        <f t="shared" si="59"/>
        <v>0</v>
      </c>
      <c r="F283" s="238">
        <f t="shared" si="59"/>
        <v>0</v>
      </c>
      <c r="G283" s="238">
        <f t="shared" si="59"/>
        <v>0</v>
      </c>
      <c r="H283" s="238">
        <f t="shared" si="59"/>
        <v>0.51239669421487599</v>
      </c>
      <c r="I283" s="238">
        <f t="shared" si="59"/>
        <v>0</v>
      </c>
      <c r="J283" s="238">
        <f t="shared" si="59"/>
        <v>0</v>
      </c>
      <c r="K283" s="238">
        <f t="shared" si="59"/>
        <v>0.4419731964642144</v>
      </c>
      <c r="L283" s="238">
        <f t="shared" si="59"/>
        <v>0</v>
      </c>
      <c r="M283" s="238">
        <f t="shared" si="59"/>
        <v>0</v>
      </c>
      <c r="N283" s="248">
        <f>SUM(B283:M283)/12</f>
        <v>0.14938840489749586</v>
      </c>
    </row>
    <row r="284" spans="1:14" ht="13.5" thickBot="1">
      <c r="A284" s="249" t="s">
        <v>82</v>
      </c>
      <c r="B284" s="250">
        <f t="shared" ref="B284:M284" si="60">SUM(B282:B282)</f>
        <v>8.0264791063301608</v>
      </c>
      <c r="C284" s="250">
        <f t="shared" si="60"/>
        <v>1.25743645213629</v>
      </c>
      <c r="D284" s="250">
        <f t="shared" si="60"/>
        <v>2.8261172212167618</v>
      </c>
      <c r="E284" s="250">
        <f t="shared" si="60"/>
        <v>0</v>
      </c>
      <c r="F284" s="250">
        <f t="shared" si="60"/>
        <v>9.5205003474635159</v>
      </c>
      <c r="G284" s="250">
        <f t="shared" si="60"/>
        <v>2.7770177838577292</v>
      </c>
      <c r="H284" s="250">
        <f t="shared" si="60"/>
        <v>8.2479338842975203</v>
      </c>
      <c r="I284" s="250">
        <f t="shared" si="60"/>
        <v>7.5607385811467447</v>
      </c>
      <c r="J284" s="250">
        <f t="shared" si="60"/>
        <v>1.2103071317022385</v>
      </c>
      <c r="K284" s="250">
        <f t="shared" si="60"/>
        <v>9.5665811234673512</v>
      </c>
      <c r="L284" s="250">
        <f t="shared" si="60"/>
        <v>0</v>
      </c>
      <c r="M284" s="250">
        <f t="shared" si="60"/>
        <v>0</v>
      </c>
      <c r="N284" s="251">
        <f>SUM(N282:N283)</f>
        <v>4.3988143741990218</v>
      </c>
    </row>
    <row r="285" spans="1:14">
      <c r="A285" s="243" t="s">
        <v>83</v>
      </c>
      <c r="B285" s="244"/>
      <c r="C285" s="244"/>
      <c r="D285" s="252">
        <f>SUM(B284:D284)/4</f>
        <v>3.0275081949208031</v>
      </c>
      <c r="E285" s="244"/>
      <c r="F285" s="244"/>
      <c r="G285" s="252">
        <f>SUM(E284,F284,G284)/4</f>
        <v>3.0743795328303114</v>
      </c>
      <c r="H285" s="244"/>
      <c r="I285" s="244"/>
      <c r="J285" s="252">
        <f>SUM(H284,I284,J284)/3</f>
        <v>5.6729931990488334</v>
      </c>
      <c r="K285" s="244"/>
      <c r="L285" s="244"/>
      <c r="M285" s="252">
        <f>SUM(K284,L284,M284)/3</f>
        <v>3.1888603744891171</v>
      </c>
      <c r="N285" s="253">
        <f>SUM(D285:M285)/4</f>
        <v>3.7409353253222664</v>
      </c>
    </row>
    <row r="286" spans="1:14">
      <c r="A286" s="243" t="s">
        <v>84</v>
      </c>
      <c r="B286" s="244"/>
      <c r="C286" s="244"/>
      <c r="D286" s="254"/>
      <c r="E286" s="244"/>
      <c r="F286" s="244"/>
      <c r="G286" s="254"/>
      <c r="H286" s="244"/>
      <c r="I286" s="244"/>
      <c r="J286" s="254"/>
      <c r="K286" s="244"/>
      <c r="L286" s="244"/>
      <c r="M286" s="254"/>
      <c r="N286" s="246">
        <f>SUM(D286:G286,J286,M286)/4</f>
        <v>0</v>
      </c>
    </row>
    <row r="287" spans="1:14">
      <c r="A287" s="243"/>
      <c r="B287" s="244"/>
      <c r="C287" s="244"/>
      <c r="D287" s="244"/>
      <c r="E287" s="244"/>
      <c r="F287" s="244"/>
      <c r="G287" s="244"/>
      <c r="H287" s="244"/>
      <c r="I287" s="244"/>
      <c r="J287" s="244"/>
      <c r="K287" s="244"/>
      <c r="L287" s="244"/>
      <c r="M287" s="244"/>
      <c r="N287" s="244"/>
    </row>
    <row r="288" spans="1:14">
      <c r="A288" s="231" t="s">
        <v>85</v>
      </c>
      <c r="B288" s="232">
        <f t="shared" ref="B288:M288" si="61">B275*100/B277</f>
        <v>0.33098882912701694</v>
      </c>
      <c r="C288" s="232">
        <f t="shared" si="61"/>
        <v>1.25743645213629</v>
      </c>
      <c r="D288" s="232">
        <f t="shared" si="61"/>
        <v>0</v>
      </c>
      <c r="E288" s="232">
        <f t="shared" si="61"/>
        <v>0</v>
      </c>
      <c r="F288" s="232">
        <f t="shared" si="61"/>
        <v>0</v>
      </c>
      <c r="G288" s="232">
        <f t="shared" si="61"/>
        <v>0</v>
      </c>
      <c r="H288" s="232">
        <f t="shared" si="61"/>
        <v>0</v>
      </c>
      <c r="I288" s="232">
        <f t="shared" si="61"/>
        <v>0</v>
      </c>
      <c r="J288" s="232">
        <f t="shared" si="61"/>
        <v>0</v>
      </c>
      <c r="K288" s="232">
        <f t="shared" si="61"/>
        <v>0</v>
      </c>
      <c r="L288" s="232">
        <f t="shared" si="61"/>
        <v>0</v>
      </c>
      <c r="M288" s="232">
        <f t="shared" si="61"/>
        <v>0</v>
      </c>
      <c r="N288" s="246">
        <f>SUM(B288:M288)/12</f>
        <v>0.13236877343860889</v>
      </c>
    </row>
    <row r="289" spans="1:14">
      <c r="A289" s="231" t="s">
        <v>86</v>
      </c>
      <c r="B289" s="232">
        <f t="shared" ref="B289:M289" si="62">B273*100/B277</f>
        <v>1.1860433043718108</v>
      </c>
      <c r="C289" s="232">
        <f t="shared" si="62"/>
        <v>1.4872904272579772</v>
      </c>
      <c r="D289" s="232">
        <f t="shared" si="62"/>
        <v>0</v>
      </c>
      <c r="E289" s="232">
        <f t="shared" si="62"/>
        <v>0</v>
      </c>
      <c r="F289" s="232">
        <f t="shared" si="62"/>
        <v>0.83391243919388469</v>
      </c>
      <c r="G289" s="232">
        <f t="shared" si="62"/>
        <v>0.75239398084815323</v>
      </c>
      <c r="H289" s="232">
        <f t="shared" si="62"/>
        <v>0</v>
      </c>
      <c r="I289" s="232">
        <f t="shared" si="62"/>
        <v>0</v>
      </c>
      <c r="J289" s="232">
        <f t="shared" si="62"/>
        <v>1.0411244143675169</v>
      </c>
      <c r="K289" s="232">
        <f t="shared" si="62"/>
        <v>0</v>
      </c>
      <c r="L289" s="232">
        <f t="shared" si="62"/>
        <v>0</v>
      </c>
      <c r="M289" s="232">
        <f t="shared" si="62"/>
        <v>0</v>
      </c>
      <c r="N289" s="246">
        <f>SUM(B289:M289)/12</f>
        <v>0.44173038050327862</v>
      </c>
    </row>
    <row r="290" spans="1:14" ht="13.5" thickBot="1">
      <c r="A290" s="231" t="s">
        <v>87</v>
      </c>
      <c r="B290" s="232">
        <f t="shared" ref="B290:M290" si="63">B269*100/B277</f>
        <v>4.5097227968556064</v>
      </c>
      <c r="C290" s="232">
        <f t="shared" si="63"/>
        <v>5.9085992428339642</v>
      </c>
      <c r="D290" s="232">
        <f t="shared" si="63"/>
        <v>7.9493247946540446</v>
      </c>
      <c r="E290" s="232">
        <f t="shared" si="63"/>
        <v>17.738761919176632</v>
      </c>
      <c r="F290" s="232">
        <f t="shared" si="63"/>
        <v>5.4482279360667132</v>
      </c>
      <c r="G290" s="232">
        <f t="shared" si="63"/>
        <v>10.451436388508892</v>
      </c>
      <c r="H290" s="232">
        <f t="shared" si="63"/>
        <v>27.140495867768596</v>
      </c>
      <c r="I290" s="232">
        <f t="shared" si="63"/>
        <v>48.629737609329446</v>
      </c>
      <c r="J290" s="232">
        <f t="shared" si="63"/>
        <v>6.1816762103071321</v>
      </c>
      <c r="K290" s="232">
        <f t="shared" si="63"/>
        <v>5.1040775591673793</v>
      </c>
      <c r="L290" s="232">
        <f t="shared" si="63"/>
        <v>0</v>
      </c>
      <c r="M290" s="232">
        <f t="shared" si="63"/>
        <v>0</v>
      </c>
      <c r="N290" s="246">
        <f>SUM(B290:M290)/12</f>
        <v>11.588505027055698</v>
      </c>
    </row>
    <row r="291" spans="1:14" ht="13.5" thickBot="1">
      <c r="A291" s="255" t="s">
        <v>88</v>
      </c>
      <c r="B291" s="256">
        <f t="shared" ref="B291:M291" si="64">SUM(B266-B277)*100/B277</f>
        <v>14.908288511929388</v>
      </c>
      <c r="C291" s="256">
        <f t="shared" si="64"/>
        <v>12.655489453758788</v>
      </c>
      <c r="D291" s="256">
        <f t="shared" si="64"/>
        <v>15.99610190728108</v>
      </c>
      <c r="E291" s="256">
        <f t="shared" si="64"/>
        <v>26.108672619948539</v>
      </c>
      <c r="F291" s="256">
        <f t="shared" si="64"/>
        <v>15.802640722724114</v>
      </c>
      <c r="G291" s="256">
        <f t="shared" si="64"/>
        <v>13.980848153214774</v>
      </c>
      <c r="H291" s="256">
        <f t="shared" si="64"/>
        <v>37.719008264462808</v>
      </c>
      <c r="I291" s="256">
        <f t="shared" si="64"/>
        <v>61.943634596695823</v>
      </c>
      <c r="J291" s="256">
        <f t="shared" si="64"/>
        <v>8.4331077563768879</v>
      </c>
      <c r="K291" s="256">
        <f t="shared" si="64"/>
        <v>18.790989449672086</v>
      </c>
      <c r="L291" s="256">
        <f t="shared" si="64"/>
        <v>0</v>
      </c>
      <c r="M291" s="256">
        <f t="shared" si="64"/>
        <v>0</v>
      </c>
      <c r="N291" s="257">
        <f>SUM(B291:M291)/12</f>
        <v>18.861565119672026</v>
      </c>
    </row>
    <row r="292" spans="1:14">
      <c r="A292" s="243"/>
      <c r="B292" s="244"/>
      <c r="C292" s="244"/>
      <c r="D292" s="244"/>
      <c r="E292" s="244"/>
      <c r="F292" s="244"/>
      <c r="G292" s="244"/>
      <c r="H292" s="244"/>
      <c r="I292" s="244"/>
      <c r="J292" s="244"/>
      <c r="K292" s="244"/>
      <c r="L292" s="244"/>
      <c r="M292" s="244"/>
      <c r="N292" s="227"/>
    </row>
    <row r="293" spans="1:14">
      <c r="A293" s="258" t="s">
        <v>89</v>
      </c>
      <c r="B293" s="244"/>
      <c r="C293" s="244"/>
      <c r="D293" s="244"/>
      <c r="E293" s="244"/>
      <c r="F293" s="244"/>
      <c r="G293" s="244"/>
      <c r="H293" s="244"/>
      <c r="I293" s="244"/>
      <c r="J293" s="244"/>
      <c r="K293" s="244"/>
      <c r="L293" s="244"/>
      <c r="M293" s="244"/>
      <c r="N293" s="227"/>
    </row>
    <row r="294" spans="1:14">
      <c r="A294" s="231" t="s">
        <v>90</v>
      </c>
      <c r="B294" s="259">
        <v>13</v>
      </c>
      <c r="C294" s="259">
        <v>13</v>
      </c>
      <c r="D294" s="259">
        <v>13</v>
      </c>
      <c r="E294" s="259">
        <v>13</v>
      </c>
      <c r="F294" s="259">
        <v>13</v>
      </c>
      <c r="G294" s="259">
        <v>13</v>
      </c>
      <c r="H294" s="259">
        <v>13</v>
      </c>
      <c r="I294" s="259">
        <v>13</v>
      </c>
      <c r="J294" s="259">
        <f>I297</f>
        <v>13</v>
      </c>
      <c r="K294" s="259">
        <f>J297</f>
        <v>13</v>
      </c>
      <c r="L294" s="259">
        <f>K297</f>
        <v>13</v>
      </c>
      <c r="M294" s="259">
        <f>L297</f>
        <v>13</v>
      </c>
      <c r="N294" s="259">
        <f>M297</f>
        <v>13</v>
      </c>
    </row>
    <row r="295" spans="1:14">
      <c r="A295" s="231" t="s">
        <v>91</v>
      </c>
      <c r="B295" s="259"/>
      <c r="C295" s="259"/>
      <c r="D295" s="259"/>
      <c r="E295" s="259"/>
      <c r="F295" s="259"/>
      <c r="G295" s="259"/>
      <c r="H295" s="259"/>
      <c r="I295" s="259"/>
      <c r="J295" s="259"/>
      <c r="K295" s="259"/>
      <c r="L295" s="259"/>
      <c r="M295" s="259"/>
      <c r="N295" s="259">
        <f>SUM(B295:M295)/12</f>
        <v>0</v>
      </c>
    </row>
    <row r="296" spans="1:14">
      <c r="A296" s="231" t="s">
        <v>92</v>
      </c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59"/>
      <c r="N296" s="259">
        <f>SUM(B295:M295)/12</f>
        <v>0</v>
      </c>
    </row>
    <row r="297" spans="1:14">
      <c r="A297" s="231" t="s">
        <v>89</v>
      </c>
      <c r="B297" s="259">
        <f t="shared" ref="B297:M297" si="65">SUM(B294+B295-B296)</f>
        <v>13</v>
      </c>
      <c r="C297" s="259">
        <f t="shared" si="65"/>
        <v>13</v>
      </c>
      <c r="D297" s="259">
        <f t="shared" si="65"/>
        <v>13</v>
      </c>
      <c r="E297" s="259">
        <f t="shared" si="65"/>
        <v>13</v>
      </c>
      <c r="F297" s="259">
        <f t="shared" si="65"/>
        <v>13</v>
      </c>
      <c r="G297" s="259">
        <f t="shared" si="65"/>
        <v>13</v>
      </c>
      <c r="H297" s="259">
        <f t="shared" si="65"/>
        <v>13</v>
      </c>
      <c r="I297" s="259">
        <f t="shared" si="65"/>
        <v>13</v>
      </c>
      <c r="J297" s="259">
        <f t="shared" si="65"/>
        <v>13</v>
      </c>
      <c r="K297" s="259">
        <f t="shared" si="65"/>
        <v>13</v>
      </c>
      <c r="L297" s="259">
        <f t="shared" si="65"/>
        <v>13</v>
      </c>
      <c r="M297" s="259">
        <f t="shared" si="65"/>
        <v>13</v>
      </c>
      <c r="N297" s="259">
        <f>SUM(B296:M296)/12</f>
        <v>0</v>
      </c>
    </row>
    <row r="298" spans="1:14">
      <c r="A298" s="231" t="s">
        <v>93</v>
      </c>
      <c r="B298" s="260">
        <f t="shared" ref="B298:M298" si="66">SUM(B297*100)/B294-100</f>
        <v>0</v>
      </c>
      <c r="C298" s="260">
        <f t="shared" si="66"/>
        <v>0</v>
      </c>
      <c r="D298" s="260">
        <f t="shared" si="66"/>
        <v>0</v>
      </c>
      <c r="E298" s="260">
        <f t="shared" si="66"/>
        <v>0</v>
      </c>
      <c r="F298" s="260">
        <f t="shared" si="66"/>
        <v>0</v>
      </c>
      <c r="G298" s="260">
        <f t="shared" si="66"/>
        <v>0</v>
      </c>
      <c r="H298" s="260">
        <f t="shared" si="66"/>
        <v>0</v>
      </c>
      <c r="I298" s="260">
        <f t="shared" si="66"/>
        <v>0</v>
      </c>
      <c r="J298" s="260">
        <f t="shared" si="66"/>
        <v>0</v>
      </c>
      <c r="K298" s="260">
        <f t="shared" si="66"/>
        <v>0</v>
      </c>
      <c r="L298" s="260">
        <f t="shared" si="66"/>
        <v>0</v>
      </c>
      <c r="M298" s="260">
        <f t="shared" si="66"/>
        <v>0</v>
      </c>
      <c r="N298" s="259"/>
    </row>
    <row r="299" spans="1:14">
      <c r="A299" s="243" t="s">
        <v>94</v>
      </c>
      <c r="B299" s="261"/>
      <c r="C299" s="261"/>
      <c r="D299" s="262">
        <f>SUM(B298:D298/3)</f>
        <v>0</v>
      </c>
      <c r="E299" s="261"/>
      <c r="F299" s="261"/>
      <c r="G299" s="262">
        <f>SUM(E298:G298)/3</f>
        <v>0</v>
      </c>
      <c r="H299" s="261"/>
      <c r="I299" s="261"/>
      <c r="J299" s="262">
        <f>SUM(H298:J298)/3</f>
        <v>0</v>
      </c>
      <c r="K299" s="261"/>
      <c r="L299" s="261"/>
      <c r="M299" s="262">
        <f>SUM(K298:M298)/3</f>
        <v>0</v>
      </c>
      <c r="N299" s="261"/>
    </row>
    <row r="300" spans="1:14" ht="13.5" thickBot="1">
      <c r="A300" s="372"/>
      <c r="B300" s="373"/>
      <c r="C300" s="373"/>
      <c r="D300" s="373"/>
      <c r="E300" s="373"/>
      <c r="F300" s="373"/>
      <c r="G300" s="373"/>
      <c r="H300" s="373"/>
      <c r="I300" s="373"/>
      <c r="J300" s="373"/>
      <c r="K300" s="373"/>
      <c r="L300" s="373"/>
      <c r="M300" s="373"/>
      <c r="N300" s="374"/>
    </row>
    <row r="301" spans="1:14">
      <c r="A301" s="243"/>
      <c r="B301" s="244"/>
      <c r="C301" s="244"/>
      <c r="D301" s="244"/>
      <c r="E301" s="244"/>
      <c r="F301" s="244"/>
      <c r="G301" s="244"/>
      <c r="H301" s="244"/>
      <c r="I301" s="244"/>
      <c r="J301" s="244"/>
      <c r="K301" s="244"/>
      <c r="L301" s="244"/>
      <c r="M301" s="244"/>
      <c r="N301" s="227"/>
    </row>
    <row r="302" spans="1:14" ht="15.75">
      <c r="A302" s="403" t="s">
        <v>296</v>
      </c>
      <c r="B302" s="403"/>
      <c r="C302" s="403"/>
      <c r="D302" s="403"/>
      <c r="E302" s="403"/>
      <c r="F302" s="403"/>
      <c r="G302" s="403"/>
      <c r="H302" s="403"/>
      <c r="I302" s="403"/>
      <c r="J302" s="403"/>
      <c r="K302" s="403"/>
      <c r="L302" s="403"/>
      <c r="M302" s="403"/>
      <c r="N302" s="403"/>
    </row>
    <row r="303" spans="1:14" ht="15.75">
      <c r="E303" s="282"/>
      <c r="M303" s="244"/>
      <c r="N303" s="227"/>
    </row>
    <row r="304" spans="1:14">
      <c r="A304" s="376" t="s">
        <v>185</v>
      </c>
      <c r="B304" s="377"/>
      <c r="C304" s="378"/>
      <c r="D304" s="292" t="s">
        <v>186</v>
      </c>
      <c r="G304" s="299"/>
      <c r="K304" s="299"/>
      <c r="M304" s="244"/>
      <c r="N304" s="227"/>
    </row>
    <row r="305" spans="1:14">
      <c r="A305" s="379"/>
      <c r="B305" s="380"/>
      <c r="C305" s="381"/>
      <c r="D305" s="290"/>
      <c r="E305" s="291"/>
      <c r="G305" s="494"/>
      <c r="H305" s="494"/>
      <c r="I305" s="494"/>
      <c r="J305" s="494"/>
      <c r="K305" s="494"/>
      <c r="M305" s="244"/>
      <c r="N305" s="227"/>
    </row>
    <row r="306" spans="1:14" ht="13.5" thickBot="1">
      <c r="A306" s="387"/>
      <c r="C306" s="388"/>
      <c r="D306" s="290"/>
      <c r="E306" s="291"/>
      <c r="H306" s="404"/>
      <c r="K306" s="291"/>
      <c r="L306" s="320"/>
      <c r="M306" s="244"/>
      <c r="N306" s="227"/>
    </row>
    <row r="307" spans="1:14" ht="13.5" thickBot="1">
      <c r="A307" s="294" t="s">
        <v>167</v>
      </c>
      <c r="B307" s="296"/>
      <c r="C307" s="389"/>
      <c r="D307" s="488">
        <v>6165000</v>
      </c>
      <c r="E307" s="291"/>
      <c r="H307" s="404"/>
      <c r="K307" s="291"/>
      <c r="L307" s="320"/>
      <c r="M307" s="244"/>
      <c r="N307" s="227"/>
    </row>
    <row r="308" spans="1:14">
      <c r="A308" s="390" t="s">
        <v>168</v>
      </c>
      <c r="B308" s="391"/>
      <c r="C308" s="392"/>
      <c r="D308" s="393">
        <f>D307/12</f>
        <v>513750</v>
      </c>
      <c r="E308" s="291"/>
      <c r="K308" s="300"/>
      <c r="L308" s="320"/>
      <c r="M308" s="244"/>
      <c r="N308" s="227"/>
    </row>
    <row r="309" spans="1:14">
      <c r="C309" s="394"/>
      <c r="E309" s="291"/>
      <c r="J309" s="394"/>
      <c r="K309" s="300"/>
      <c r="L309" s="517"/>
      <c r="M309" s="244"/>
      <c r="N309" s="227"/>
    </row>
    <row r="310" spans="1:14">
      <c r="A310" s="258" t="s">
        <v>113</v>
      </c>
      <c r="B310" s="244"/>
      <c r="C310" s="244"/>
      <c r="D310" s="244"/>
      <c r="E310" s="244"/>
      <c r="F310" s="244"/>
      <c r="G310" s="244"/>
      <c r="H310" s="244"/>
      <c r="I310" s="244"/>
      <c r="J310" s="244"/>
      <c r="K310" s="244"/>
      <c r="L310" s="244"/>
      <c r="M310" s="244"/>
      <c r="N310" s="227"/>
    </row>
    <row r="311" spans="1:14">
      <c r="A311" s="328"/>
      <c r="B311" s="232" t="s">
        <v>44</v>
      </c>
      <c r="C311" s="232" t="s">
        <v>45</v>
      </c>
      <c r="D311" s="232" t="s">
        <v>46</v>
      </c>
      <c r="E311" s="232" t="s">
        <v>47</v>
      </c>
      <c r="F311" s="232" t="s">
        <v>48</v>
      </c>
      <c r="G311" s="232" t="s">
        <v>49</v>
      </c>
      <c r="H311" s="232" t="s">
        <v>38</v>
      </c>
      <c r="I311" s="232" t="s">
        <v>39</v>
      </c>
      <c r="J311" s="232" t="s">
        <v>40</v>
      </c>
      <c r="K311" s="232" t="s">
        <v>41</v>
      </c>
      <c r="L311" s="232" t="s">
        <v>42</v>
      </c>
      <c r="M311" s="232" t="s">
        <v>43</v>
      </c>
      <c r="N311" s="228"/>
    </row>
    <row r="312" spans="1:14">
      <c r="A312" s="231" t="s">
        <v>208</v>
      </c>
      <c r="B312" s="329">
        <f t="shared" ref="B312:M312" si="67">$D$308</f>
        <v>513750</v>
      </c>
      <c r="C312" s="329">
        <f t="shared" si="67"/>
        <v>513750</v>
      </c>
      <c r="D312" s="329">
        <f t="shared" si="67"/>
        <v>513750</v>
      </c>
      <c r="E312" s="329">
        <f t="shared" si="67"/>
        <v>513750</v>
      </c>
      <c r="F312" s="329">
        <f t="shared" si="67"/>
        <v>513750</v>
      </c>
      <c r="G312" s="329">
        <f t="shared" si="67"/>
        <v>513750</v>
      </c>
      <c r="H312" s="329">
        <f t="shared" si="67"/>
        <v>513750</v>
      </c>
      <c r="I312" s="329">
        <f t="shared" si="67"/>
        <v>513750</v>
      </c>
      <c r="J312" s="329">
        <f t="shared" si="67"/>
        <v>513750</v>
      </c>
      <c r="K312" s="329">
        <f t="shared" si="67"/>
        <v>513750</v>
      </c>
      <c r="L312" s="329">
        <f t="shared" si="67"/>
        <v>513750</v>
      </c>
      <c r="M312" s="329">
        <f t="shared" si="67"/>
        <v>513750</v>
      </c>
      <c r="N312" s="329">
        <f t="shared" ref="N312:N321" si="68">SUM(B312:M312)</f>
        <v>6165000</v>
      </c>
    </row>
    <row r="313" spans="1:14" ht="13.5" thickBot="1">
      <c r="A313" s="231"/>
      <c r="B313" s="329">
        <v>0</v>
      </c>
      <c r="C313" s="329">
        <v>0</v>
      </c>
      <c r="D313" s="329"/>
      <c r="E313" s="329"/>
      <c r="F313" s="329"/>
      <c r="G313" s="358"/>
      <c r="H313" s="329"/>
      <c r="I313" s="329"/>
      <c r="J313" s="329"/>
      <c r="K313" s="329"/>
      <c r="L313" s="329"/>
      <c r="M313" s="329"/>
      <c r="N313" s="329">
        <f t="shared" si="68"/>
        <v>0</v>
      </c>
    </row>
    <row r="314" spans="1:14" ht="13.5" thickBot="1">
      <c r="A314" s="333" t="s">
        <v>208</v>
      </c>
      <c r="B314" s="395">
        <f t="shared" ref="B314:M314" si="69">SUM(B312,B313)</f>
        <v>513750</v>
      </c>
      <c r="C314" s="395">
        <f t="shared" si="69"/>
        <v>513750</v>
      </c>
      <c r="D314" s="395">
        <f t="shared" si="69"/>
        <v>513750</v>
      </c>
      <c r="E314" s="395">
        <f t="shared" si="69"/>
        <v>513750</v>
      </c>
      <c r="F314" s="395">
        <f t="shared" si="69"/>
        <v>513750</v>
      </c>
      <c r="G314" s="395">
        <f t="shared" si="69"/>
        <v>513750</v>
      </c>
      <c r="H314" s="395">
        <f t="shared" si="69"/>
        <v>513750</v>
      </c>
      <c r="I314" s="395">
        <f t="shared" si="69"/>
        <v>513750</v>
      </c>
      <c r="J314" s="395">
        <f t="shared" si="69"/>
        <v>513750</v>
      </c>
      <c r="K314" s="395">
        <f t="shared" si="69"/>
        <v>513750</v>
      </c>
      <c r="L314" s="395">
        <f t="shared" si="69"/>
        <v>513750</v>
      </c>
      <c r="M314" s="395">
        <f t="shared" si="69"/>
        <v>513750</v>
      </c>
      <c r="N314" s="396">
        <f t="shared" si="68"/>
        <v>6165000</v>
      </c>
    </row>
    <row r="315" spans="1:14">
      <c r="A315" s="228" t="s">
        <v>209</v>
      </c>
      <c r="B315" s="330">
        <v>15275</v>
      </c>
      <c r="C315" s="330">
        <v>23807</v>
      </c>
      <c r="D315" s="330">
        <v>2400</v>
      </c>
      <c r="E315" s="330">
        <v>0</v>
      </c>
      <c r="F315" s="330">
        <v>0</v>
      </c>
      <c r="G315" s="330"/>
      <c r="H315" s="330"/>
      <c r="I315" s="330">
        <v>920</v>
      </c>
      <c r="J315" s="330">
        <v>1400</v>
      </c>
      <c r="K315" s="330"/>
      <c r="L315" s="330"/>
      <c r="M315" s="330"/>
      <c r="N315" s="330">
        <f t="shared" si="68"/>
        <v>43802</v>
      </c>
    </row>
    <row r="316" spans="1:14">
      <c r="A316" s="349" t="s">
        <v>210</v>
      </c>
      <c r="B316" s="330">
        <v>0</v>
      </c>
      <c r="C316" s="330">
        <v>25000</v>
      </c>
      <c r="D316" s="330"/>
      <c r="E316" s="330">
        <v>110000</v>
      </c>
      <c r="F316" s="330">
        <v>20000</v>
      </c>
      <c r="G316" s="330">
        <v>10000</v>
      </c>
      <c r="H316" s="330"/>
      <c r="I316" s="330">
        <v>10000</v>
      </c>
      <c r="J316" s="330">
        <v>5000</v>
      </c>
      <c r="K316" s="330">
        <v>10000</v>
      </c>
      <c r="L316" s="330">
        <v>25000</v>
      </c>
      <c r="M316" s="330">
        <v>100000</v>
      </c>
      <c r="N316" s="330">
        <f t="shared" si="68"/>
        <v>315000</v>
      </c>
    </row>
    <row r="317" spans="1:14">
      <c r="A317" s="349" t="s">
        <v>211</v>
      </c>
      <c r="B317" s="330">
        <v>97775</v>
      </c>
      <c r="C317" s="330">
        <v>31300</v>
      </c>
      <c r="D317" s="330">
        <v>78713.5</v>
      </c>
      <c r="E317" s="330">
        <v>100889</v>
      </c>
      <c r="F317" s="330">
        <v>50075</v>
      </c>
      <c r="G317" s="330">
        <v>30350</v>
      </c>
      <c r="H317" s="330"/>
      <c r="I317" s="330">
        <v>53475</v>
      </c>
      <c r="J317" s="330">
        <v>42610</v>
      </c>
      <c r="K317" s="330">
        <v>80175</v>
      </c>
      <c r="L317" s="330">
        <v>62450</v>
      </c>
      <c r="M317" s="330"/>
      <c r="N317" s="330">
        <f t="shared" si="68"/>
        <v>627812.5</v>
      </c>
    </row>
    <row r="318" spans="1:14" ht="13.5" thickBot="1">
      <c r="A318" s="359" t="s">
        <v>208</v>
      </c>
      <c r="B318" s="344"/>
      <c r="C318" s="344"/>
      <c r="D318" s="344"/>
      <c r="E318" s="344"/>
      <c r="F318" s="344"/>
      <c r="G318" s="344"/>
      <c r="H318" s="344"/>
      <c r="I318" s="344"/>
      <c r="J318" s="344"/>
      <c r="K318" s="344"/>
      <c r="L318" s="344"/>
      <c r="M318" s="344"/>
      <c r="N318" s="330">
        <f t="shared" si="68"/>
        <v>0</v>
      </c>
    </row>
    <row r="319" spans="1:14" ht="13.5" thickBot="1">
      <c r="A319" s="360" t="s">
        <v>126</v>
      </c>
      <c r="B319" s="361">
        <f>SUM(B315:B318)</f>
        <v>113050</v>
      </c>
      <c r="C319" s="361">
        <f t="shared" ref="C319:M319" si="70">SUM(C315:C318)</f>
        <v>80107</v>
      </c>
      <c r="D319" s="361">
        <f t="shared" si="70"/>
        <v>81113.5</v>
      </c>
      <c r="E319" s="361">
        <f t="shared" si="70"/>
        <v>210889</v>
      </c>
      <c r="F319" s="361">
        <f t="shared" si="70"/>
        <v>70075</v>
      </c>
      <c r="G319" s="361">
        <f t="shared" si="70"/>
        <v>40350</v>
      </c>
      <c r="H319" s="361">
        <f t="shared" si="70"/>
        <v>0</v>
      </c>
      <c r="I319" s="361">
        <f t="shared" si="70"/>
        <v>64395</v>
      </c>
      <c r="J319" s="361">
        <f t="shared" si="70"/>
        <v>49010</v>
      </c>
      <c r="K319" s="361">
        <f t="shared" si="70"/>
        <v>90175</v>
      </c>
      <c r="L319" s="361">
        <f t="shared" si="70"/>
        <v>87450</v>
      </c>
      <c r="M319" s="361">
        <f t="shared" si="70"/>
        <v>100000</v>
      </c>
      <c r="N319" s="361">
        <f t="shared" si="68"/>
        <v>986614.5</v>
      </c>
    </row>
    <row r="320" spans="1:14">
      <c r="A320" s="228" t="s">
        <v>127</v>
      </c>
      <c r="B320" s="332"/>
      <c r="C320" s="332"/>
      <c r="D320" s="332"/>
      <c r="E320" s="332"/>
      <c r="F320" s="332"/>
      <c r="G320" s="398"/>
      <c r="H320" s="332"/>
      <c r="I320" s="332"/>
      <c r="J320" s="332"/>
      <c r="K320" s="332"/>
      <c r="L320" s="332"/>
      <c r="M320" s="332"/>
      <c r="N320" s="330">
        <f t="shared" si="68"/>
        <v>0</v>
      </c>
    </row>
    <row r="321" spans="1:14">
      <c r="A321" s="363" t="s">
        <v>129</v>
      </c>
      <c r="B321" s="405">
        <f>SUM(B314+B319)</f>
        <v>626800</v>
      </c>
      <c r="C321" s="405">
        <f t="shared" ref="C321:M321" si="71">SUM(C314+C319)</f>
        <v>593857</v>
      </c>
      <c r="D321" s="405">
        <f t="shared" si="71"/>
        <v>594863.5</v>
      </c>
      <c r="E321" s="405">
        <f t="shared" si="71"/>
        <v>724639</v>
      </c>
      <c r="F321" s="405">
        <f t="shared" si="71"/>
        <v>583825</v>
      </c>
      <c r="G321" s="405">
        <f t="shared" si="71"/>
        <v>554100</v>
      </c>
      <c r="H321" s="405">
        <f t="shared" si="71"/>
        <v>513750</v>
      </c>
      <c r="I321" s="405">
        <f t="shared" si="71"/>
        <v>578145</v>
      </c>
      <c r="J321" s="405">
        <f t="shared" si="71"/>
        <v>562760</v>
      </c>
      <c r="K321" s="405">
        <f t="shared" si="71"/>
        <v>603925</v>
      </c>
      <c r="L321" s="405">
        <f t="shared" si="71"/>
        <v>601200</v>
      </c>
      <c r="M321" s="405">
        <f t="shared" si="71"/>
        <v>613750</v>
      </c>
      <c r="N321" s="405">
        <f t="shared" si="68"/>
        <v>7151614.5</v>
      </c>
    </row>
    <row r="322" spans="1:14">
      <c r="A322" s="400" t="s">
        <v>131</v>
      </c>
      <c r="B322" s="332">
        <v>443053</v>
      </c>
      <c r="C322" s="332">
        <v>449487</v>
      </c>
      <c r="D322" s="332">
        <v>441041</v>
      </c>
      <c r="E322" s="332">
        <v>559040</v>
      </c>
      <c r="F322" s="332">
        <v>464972</v>
      </c>
      <c r="G322" s="332">
        <v>444483</v>
      </c>
      <c r="H322" s="332">
        <v>437858</v>
      </c>
      <c r="I322" s="332">
        <v>367799</v>
      </c>
      <c r="J322" s="332">
        <v>440481</v>
      </c>
      <c r="K322" s="332">
        <v>445385</v>
      </c>
      <c r="L322" s="332">
        <v>445000</v>
      </c>
      <c r="M322" s="332">
        <v>445000</v>
      </c>
      <c r="N322" s="332">
        <f>SUM(B322:M322)</f>
        <v>5383599</v>
      </c>
    </row>
    <row r="323" spans="1:14">
      <c r="A323" s="228" t="s">
        <v>130</v>
      </c>
      <c r="B323" s="329">
        <v>75000</v>
      </c>
      <c r="C323" s="329">
        <v>75000</v>
      </c>
      <c r="D323" s="329">
        <v>75000</v>
      </c>
      <c r="E323" s="329">
        <v>75000</v>
      </c>
      <c r="F323" s="329">
        <v>75000</v>
      </c>
      <c r="G323" s="329">
        <v>75000</v>
      </c>
      <c r="H323" s="329">
        <v>75000</v>
      </c>
      <c r="I323" s="329">
        <v>75000</v>
      </c>
      <c r="J323" s="329">
        <v>75000</v>
      </c>
      <c r="K323" s="329">
        <v>75000</v>
      </c>
      <c r="L323" s="329">
        <v>75000</v>
      </c>
      <c r="M323" s="329">
        <v>75000</v>
      </c>
      <c r="N323" s="332">
        <f>SUM(B323:M323)</f>
        <v>900000</v>
      </c>
    </row>
    <row r="324" spans="1:14">
      <c r="A324" s="228" t="s">
        <v>212</v>
      </c>
      <c r="B324" s="329"/>
      <c r="C324" s="329"/>
      <c r="D324" s="329"/>
      <c r="E324" s="329"/>
      <c r="F324" s="329"/>
      <c r="G324" s="329"/>
      <c r="H324" s="329"/>
      <c r="I324" s="329">
        <v>400000</v>
      </c>
      <c r="J324" s="329"/>
      <c r="K324" s="329"/>
      <c r="L324" s="329"/>
      <c r="M324" s="329"/>
      <c r="N324" s="332">
        <f>SUM(B324:M324)</f>
        <v>400000</v>
      </c>
    </row>
    <row r="325" spans="1:14">
      <c r="A325" s="367" t="s">
        <v>146</v>
      </c>
      <c r="B325" s="368">
        <f t="shared" ref="B325:M325" si="72">SUM(B321-B322-B323)</f>
        <v>108747</v>
      </c>
      <c r="C325" s="368">
        <f t="shared" si="72"/>
        <v>69370</v>
      </c>
      <c r="D325" s="368">
        <f t="shared" si="72"/>
        <v>78822.5</v>
      </c>
      <c r="E325" s="368">
        <f t="shared" si="72"/>
        <v>90599</v>
      </c>
      <c r="F325" s="368">
        <f t="shared" si="72"/>
        <v>43853</v>
      </c>
      <c r="G325" s="368">
        <f t="shared" si="72"/>
        <v>34617</v>
      </c>
      <c r="H325" s="368">
        <f t="shared" si="72"/>
        <v>892</v>
      </c>
      <c r="I325" s="368">
        <f>SUM(I321-I322-I323-I324)</f>
        <v>-264654</v>
      </c>
      <c r="J325" s="368">
        <f t="shared" si="72"/>
        <v>47279</v>
      </c>
      <c r="K325" s="368">
        <f t="shared" si="72"/>
        <v>83540</v>
      </c>
      <c r="L325" s="368">
        <f t="shared" si="72"/>
        <v>81200</v>
      </c>
      <c r="M325" s="368">
        <f t="shared" si="72"/>
        <v>93750</v>
      </c>
      <c r="N325" s="368">
        <f>SUM(N321-N322-N323-N324)</f>
        <v>468015.5</v>
      </c>
    </row>
    <row r="326" spans="1:14">
      <c r="A326" s="406"/>
      <c r="B326" s="407"/>
      <c r="C326" s="407"/>
      <c r="D326" s="407"/>
      <c r="E326" s="407"/>
      <c r="F326" s="407"/>
      <c r="G326" s="407"/>
      <c r="H326" s="407"/>
      <c r="I326" s="407"/>
      <c r="J326" s="407"/>
      <c r="K326" s="407"/>
      <c r="L326" s="407"/>
      <c r="M326" s="407"/>
      <c r="N326" s="407"/>
    </row>
    <row r="328" spans="1:14">
      <c r="A328" s="525" t="s">
        <v>213</v>
      </c>
      <c r="B328" s="226">
        <v>2405</v>
      </c>
    </row>
  </sheetData>
  <mergeCells count="6">
    <mergeCell ref="A263:N263"/>
    <mergeCell ref="A1:N1"/>
    <mergeCell ref="A57:N57"/>
    <mergeCell ref="I61:M61"/>
    <mergeCell ref="A122:N122"/>
    <mergeCell ref="A180:N180"/>
  </mergeCells>
  <pageMargins left="0.19685039370078741" right="0" top="0.19685039370078741" bottom="0.19685039370078741" header="0.51181102362204722" footer="0.51181102362204722"/>
  <pageSetup paperSize="9" scale="80" orientation="landscape" horizontalDpi="4294967293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23">
    <tabColor indexed="39"/>
  </sheetPr>
  <dimension ref="A1:Q312"/>
  <sheetViews>
    <sheetView topLeftCell="A130" zoomScale="75" workbookViewId="0" xr3:uid="{274F5AE0-5452-572F-8038-C13FFDA59D49}">
      <selection activeCell="B256" sqref="B256"/>
    </sheetView>
  </sheetViews>
  <sheetFormatPr defaultColWidth="9.140625" defaultRowHeight="12.75"/>
  <cols>
    <col min="1" max="1" width="23.85546875" style="226" customWidth="1"/>
    <col min="2" max="2" width="11.140625" style="226" customWidth="1"/>
    <col min="3" max="5" width="11.7109375" style="226" customWidth="1"/>
    <col min="6" max="6" width="12.28515625" style="226" customWidth="1"/>
    <col min="7" max="7" width="11.140625" style="226" bestFit="1" customWidth="1"/>
    <col min="8" max="8" width="12.28515625" style="226" customWidth="1"/>
    <col min="9" max="9" width="13" style="226" customWidth="1"/>
    <col min="10" max="10" width="12.5703125" style="226" customWidth="1"/>
    <col min="11" max="11" width="12.140625" style="226" customWidth="1"/>
    <col min="12" max="12" width="11.140625" style="226" customWidth="1"/>
    <col min="13" max="13" width="10.7109375" style="226" customWidth="1"/>
    <col min="14" max="14" width="12" style="226" customWidth="1"/>
    <col min="15" max="16384" width="9.140625" style="226"/>
  </cols>
  <sheetData>
    <row r="1" spans="1:14" ht="20.25">
      <c r="A1" s="822" t="s">
        <v>380</v>
      </c>
      <c r="B1" s="822"/>
      <c r="C1" s="822"/>
      <c r="D1" s="822"/>
      <c r="E1" s="822"/>
      <c r="F1" s="822"/>
      <c r="G1" s="822"/>
      <c r="H1" s="822"/>
      <c r="I1" s="822"/>
      <c r="J1" s="822"/>
      <c r="K1" s="822"/>
      <c r="L1" s="822"/>
      <c r="M1" s="822"/>
      <c r="N1" s="822"/>
    </row>
    <row r="2" spans="1:14">
      <c r="A2" s="227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</row>
    <row r="3" spans="1:14">
      <c r="A3" s="228"/>
      <c r="B3" s="229" t="s">
        <v>44</v>
      </c>
      <c r="C3" s="229" t="s">
        <v>45</v>
      </c>
      <c r="D3" s="230" t="s">
        <v>46</v>
      </c>
      <c r="E3" s="229" t="s">
        <v>47</v>
      </c>
      <c r="F3" s="229" t="s">
        <v>48</v>
      </c>
      <c r="G3" s="230" t="s">
        <v>49</v>
      </c>
      <c r="H3" s="229" t="s">
        <v>38</v>
      </c>
      <c r="I3" s="229" t="s">
        <v>39</v>
      </c>
      <c r="J3" s="229" t="s">
        <v>40</v>
      </c>
      <c r="K3" s="229" t="s">
        <v>41</v>
      </c>
      <c r="L3" s="229" t="s">
        <v>42</v>
      </c>
      <c r="M3" s="229" t="s">
        <v>43</v>
      </c>
      <c r="N3" s="228" t="s">
        <v>64</v>
      </c>
    </row>
    <row r="4" spans="1:14">
      <c r="A4" s="231" t="s">
        <v>65</v>
      </c>
      <c r="B4" s="232">
        <v>6575</v>
      </c>
      <c r="C4" s="232">
        <v>6575</v>
      </c>
      <c r="D4" s="232">
        <v>6575</v>
      </c>
      <c r="E4" s="232">
        <v>6575</v>
      </c>
      <c r="F4" s="232">
        <v>6575</v>
      </c>
      <c r="G4" s="232">
        <v>6575</v>
      </c>
      <c r="H4" s="232">
        <v>6575</v>
      </c>
      <c r="I4" s="232">
        <v>6575</v>
      </c>
      <c r="J4" s="232">
        <v>6575</v>
      </c>
      <c r="K4" s="232">
        <v>6575</v>
      </c>
      <c r="L4" s="232">
        <v>6575</v>
      </c>
      <c r="M4" s="232">
        <v>6575</v>
      </c>
      <c r="N4" s="232">
        <f t="shared" ref="N4:N16" si="0">SUM(B4:M4)</f>
        <v>78900</v>
      </c>
    </row>
    <row r="5" spans="1:14">
      <c r="A5" s="231" t="s">
        <v>66</v>
      </c>
      <c r="B5" s="232">
        <v>174.5</v>
      </c>
      <c r="C5" s="232">
        <v>102</v>
      </c>
      <c r="D5" s="232">
        <v>56.75</v>
      </c>
      <c r="E5" s="232">
        <v>27.75</v>
      </c>
      <c r="F5" s="232">
        <v>12</v>
      </c>
      <c r="G5" s="233"/>
      <c r="H5" s="232">
        <v>244.25</v>
      </c>
      <c r="I5" s="232">
        <v>46.25</v>
      </c>
      <c r="J5" s="234">
        <v>160.5</v>
      </c>
      <c r="K5" s="232"/>
      <c r="L5" s="232">
        <v>35</v>
      </c>
      <c r="M5" s="232"/>
      <c r="N5" s="232">
        <f t="shared" si="0"/>
        <v>859</v>
      </c>
    </row>
    <row r="6" spans="1:14">
      <c r="A6" s="231" t="s">
        <v>67</v>
      </c>
      <c r="B6" s="232"/>
      <c r="C6" s="232"/>
      <c r="D6" s="232"/>
      <c r="E6" s="232"/>
      <c r="F6" s="232"/>
      <c r="G6" s="233"/>
      <c r="H6" s="232"/>
      <c r="I6" s="232"/>
      <c r="J6" s="232"/>
      <c r="K6" s="232"/>
      <c r="L6" s="232"/>
      <c r="M6" s="228"/>
      <c r="N6" s="232">
        <f t="shared" si="0"/>
        <v>0</v>
      </c>
    </row>
    <row r="7" spans="1:14">
      <c r="A7" s="231" t="s">
        <v>68</v>
      </c>
      <c r="B7" s="232">
        <v>10</v>
      </c>
      <c r="C7" s="232">
        <v>7.75</v>
      </c>
      <c r="D7" s="232">
        <v>13</v>
      </c>
      <c r="E7" s="232">
        <v>14.5</v>
      </c>
      <c r="F7" s="232">
        <v>12</v>
      </c>
      <c r="G7" s="233">
        <v>10.5</v>
      </c>
      <c r="H7" s="232">
        <v>8</v>
      </c>
      <c r="I7" s="232">
        <v>9</v>
      </c>
      <c r="J7" s="232">
        <v>4.5</v>
      </c>
      <c r="K7" s="232">
        <v>2</v>
      </c>
      <c r="L7" s="232">
        <v>1.5</v>
      </c>
      <c r="M7" s="228"/>
      <c r="N7" s="232">
        <f t="shared" si="0"/>
        <v>92.75</v>
      </c>
    </row>
    <row r="8" spans="1:14">
      <c r="A8" s="231" t="s">
        <v>69</v>
      </c>
      <c r="B8" s="232">
        <v>217.25</v>
      </c>
      <c r="C8" s="232">
        <v>724.5</v>
      </c>
      <c r="D8" s="232">
        <v>672.25</v>
      </c>
      <c r="E8" s="232">
        <v>831.25</v>
      </c>
      <c r="F8" s="232">
        <v>421</v>
      </c>
      <c r="G8" s="233">
        <v>977.75</v>
      </c>
      <c r="H8" s="232">
        <v>1411</v>
      </c>
      <c r="I8" s="232">
        <v>1477.25</v>
      </c>
      <c r="J8" s="232">
        <v>697.75</v>
      </c>
      <c r="K8" s="232">
        <v>711.5</v>
      </c>
      <c r="L8" s="232">
        <v>186.25</v>
      </c>
      <c r="M8" s="232"/>
      <c r="N8" s="232">
        <f t="shared" si="0"/>
        <v>8327.75</v>
      </c>
    </row>
    <row r="9" spans="1:14">
      <c r="A9" s="231" t="s">
        <v>70</v>
      </c>
      <c r="B9" s="232"/>
      <c r="C9" s="232">
        <v>8</v>
      </c>
      <c r="D9" s="232">
        <v>87.75</v>
      </c>
      <c r="E9" s="232">
        <v>188.75</v>
      </c>
      <c r="F9" s="232"/>
      <c r="G9" s="233">
        <v>6</v>
      </c>
      <c r="H9" s="232"/>
      <c r="I9" s="232"/>
      <c r="J9" s="232"/>
      <c r="K9" s="232">
        <v>21.75</v>
      </c>
      <c r="L9" s="232">
        <v>23</v>
      </c>
      <c r="M9" s="232"/>
      <c r="N9" s="232">
        <f t="shared" si="0"/>
        <v>335.25</v>
      </c>
    </row>
    <row r="10" spans="1:14">
      <c r="A10" s="231" t="s">
        <v>71</v>
      </c>
      <c r="B10" s="232">
        <v>346</v>
      </c>
      <c r="C10" s="232">
        <v>169.25</v>
      </c>
      <c r="D10" s="232">
        <v>317.25</v>
      </c>
      <c r="E10" s="232">
        <v>210.5</v>
      </c>
      <c r="F10" s="232">
        <v>42.5</v>
      </c>
      <c r="G10" s="233">
        <v>48</v>
      </c>
      <c r="H10" s="232">
        <v>183</v>
      </c>
      <c r="I10" s="232">
        <v>42.25</v>
      </c>
      <c r="J10" s="232">
        <v>286.25</v>
      </c>
      <c r="K10" s="232">
        <v>112.5</v>
      </c>
      <c r="L10" s="232">
        <v>316.75</v>
      </c>
      <c r="M10" s="232"/>
      <c r="N10" s="232">
        <f t="shared" si="0"/>
        <v>2074.25</v>
      </c>
    </row>
    <row r="11" spans="1:14">
      <c r="A11" s="231" t="s">
        <v>72</v>
      </c>
      <c r="B11" s="232"/>
      <c r="C11" s="232">
        <v>7.75</v>
      </c>
      <c r="D11" s="232">
        <v>7.5</v>
      </c>
      <c r="E11" s="232"/>
      <c r="F11" s="232"/>
      <c r="G11" s="233">
        <v>7.75</v>
      </c>
      <c r="H11" s="232"/>
      <c r="I11" s="232">
        <v>7</v>
      </c>
      <c r="J11" s="232"/>
      <c r="K11" s="232">
        <v>8.5</v>
      </c>
      <c r="L11" s="232">
        <v>7.75</v>
      </c>
      <c r="M11" s="232"/>
      <c r="N11" s="232">
        <f t="shared" si="0"/>
        <v>46.25</v>
      </c>
    </row>
    <row r="12" spans="1:14">
      <c r="A12" s="231" t="s">
        <v>73</v>
      </c>
      <c r="B12" s="232">
        <v>394</v>
      </c>
      <c r="C12" s="232">
        <v>257.25</v>
      </c>
      <c r="D12" s="232">
        <v>186.5</v>
      </c>
      <c r="E12" s="232">
        <v>231.5</v>
      </c>
      <c r="F12" s="232">
        <v>480.5</v>
      </c>
      <c r="G12" s="233">
        <v>321</v>
      </c>
      <c r="H12" s="232">
        <v>127.5</v>
      </c>
      <c r="I12" s="232">
        <v>193</v>
      </c>
      <c r="J12" s="232">
        <v>347</v>
      </c>
      <c r="K12" s="232">
        <v>316.75</v>
      </c>
      <c r="L12" s="232">
        <v>456.5</v>
      </c>
      <c r="M12" s="232"/>
      <c r="N12" s="232">
        <f t="shared" si="0"/>
        <v>3311.5</v>
      </c>
    </row>
    <row r="13" spans="1:14">
      <c r="A13" s="231" t="s">
        <v>74</v>
      </c>
      <c r="B13" s="232"/>
      <c r="C13" s="232"/>
      <c r="D13" s="232"/>
      <c r="E13" s="232"/>
      <c r="F13" s="232"/>
      <c r="G13" s="233"/>
      <c r="H13" s="232"/>
      <c r="I13" s="232"/>
      <c r="J13" s="232"/>
      <c r="K13" s="232"/>
      <c r="L13" s="232"/>
      <c r="M13" s="232"/>
      <c r="N13" s="232">
        <f t="shared" si="0"/>
        <v>0</v>
      </c>
    </row>
    <row r="14" spans="1:14">
      <c r="A14" s="231" t="s">
        <v>75</v>
      </c>
      <c r="B14" s="232">
        <v>130.5</v>
      </c>
      <c r="C14" s="232">
        <v>185.75</v>
      </c>
      <c r="D14" s="232">
        <v>196.5</v>
      </c>
      <c r="E14" s="232">
        <v>30.5</v>
      </c>
      <c r="F14" s="232">
        <v>92.75</v>
      </c>
      <c r="G14" s="233">
        <v>23.25</v>
      </c>
      <c r="H14" s="232"/>
      <c r="I14" s="232"/>
      <c r="J14" s="232">
        <v>50.75</v>
      </c>
      <c r="K14" s="232">
        <v>148</v>
      </c>
      <c r="L14" s="232">
        <v>58.5</v>
      </c>
      <c r="M14" s="232"/>
      <c r="N14" s="232">
        <f t="shared" si="0"/>
        <v>916.5</v>
      </c>
    </row>
    <row r="15" spans="1:14" ht="13.5" thickBot="1">
      <c r="A15" s="235" t="s">
        <v>76</v>
      </c>
      <c r="B15" s="236"/>
      <c r="C15" s="236">
        <v>30.5</v>
      </c>
      <c r="D15" s="236"/>
      <c r="E15" s="236">
        <v>21.5</v>
      </c>
      <c r="F15" s="236"/>
      <c r="G15" s="237"/>
      <c r="H15" s="236">
        <v>6.75</v>
      </c>
      <c r="I15" s="236"/>
      <c r="J15" s="236"/>
      <c r="K15" s="236"/>
      <c r="L15" s="236">
        <v>7.5</v>
      </c>
      <c r="M15" s="236"/>
      <c r="N15" s="238">
        <f t="shared" si="0"/>
        <v>66.25</v>
      </c>
    </row>
    <row r="16" spans="1:14" ht="13.5" thickBot="1">
      <c r="A16" s="239" t="s">
        <v>77</v>
      </c>
      <c r="B16" s="240">
        <f t="shared" ref="B16:M16" si="1">SUM(B4+B5+B6+B7-B8-B9-B10-B12-B13-B14-B15)</f>
        <v>5671.75</v>
      </c>
      <c r="C16" s="240">
        <f t="shared" si="1"/>
        <v>5309.5</v>
      </c>
      <c r="D16" s="240">
        <f t="shared" si="1"/>
        <v>5184.5</v>
      </c>
      <c r="E16" s="240">
        <f t="shared" si="1"/>
        <v>5103.25</v>
      </c>
      <c r="F16" s="240">
        <f t="shared" si="1"/>
        <v>5562.25</v>
      </c>
      <c r="G16" s="240">
        <f t="shared" si="1"/>
        <v>5209.5</v>
      </c>
      <c r="H16" s="240">
        <f t="shared" si="1"/>
        <v>5099</v>
      </c>
      <c r="I16" s="240">
        <f t="shared" si="1"/>
        <v>4917.75</v>
      </c>
      <c r="J16" s="240">
        <f t="shared" si="1"/>
        <v>5358.25</v>
      </c>
      <c r="K16" s="240">
        <f t="shared" si="1"/>
        <v>5266.5</v>
      </c>
      <c r="L16" s="240">
        <f t="shared" si="1"/>
        <v>5563</v>
      </c>
      <c r="M16" s="241">
        <f t="shared" si="1"/>
        <v>6575</v>
      </c>
      <c r="N16" s="242">
        <f t="shared" si="0"/>
        <v>64820.25</v>
      </c>
    </row>
    <row r="17" spans="1:14">
      <c r="A17" s="243"/>
      <c r="B17" s="244"/>
      <c r="C17" s="244"/>
      <c r="D17" s="244"/>
      <c r="E17" s="244"/>
      <c r="F17" s="244"/>
      <c r="G17" s="244"/>
      <c r="H17" s="244"/>
      <c r="I17" s="244"/>
      <c r="J17" s="244"/>
      <c r="K17" s="244"/>
      <c r="L17" s="244"/>
      <c r="M17" s="244"/>
      <c r="N17" s="244"/>
    </row>
    <row r="18" spans="1:14">
      <c r="A18" s="243"/>
      <c r="B18" s="244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5" t="s">
        <v>78</v>
      </c>
    </row>
    <row r="19" spans="1:14">
      <c r="A19" s="231" t="s">
        <v>79</v>
      </c>
      <c r="B19" s="232">
        <f t="shared" ref="B19:M19" si="2">SUM(B5*100/B16)</f>
        <v>3.0766518270375105</v>
      </c>
      <c r="C19" s="232">
        <f t="shared" si="2"/>
        <v>1.9210848479141163</v>
      </c>
      <c r="D19" s="232">
        <f t="shared" si="2"/>
        <v>1.0946089304658115</v>
      </c>
      <c r="E19" s="232">
        <f t="shared" si="2"/>
        <v>0.54377112624308044</v>
      </c>
      <c r="F19" s="232">
        <f t="shared" si="2"/>
        <v>0.2157400332599218</v>
      </c>
      <c r="G19" s="232">
        <f t="shared" si="2"/>
        <v>0</v>
      </c>
      <c r="H19" s="232">
        <f t="shared" si="2"/>
        <v>4.7901549323396742</v>
      </c>
      <c r="I19" s="232">
        <f t="shared" si="2"/>
        <v>0.9404707437344314</v>
      </c>
      <c r="J19" s="232">
        <f t="shared" si="2"/>
        <v>2.9953809546027155</v>
      </c>
      <c r="K19" s="232">
        <f t="shared" si="2"/>
        <v>0</v>
      </c>
      <c r="L19" s="232">
        <f t="shared" si="2"/>
        <v>0.62915692971418302</v>
      </c>
      <c r="M19" s="232">
        <f t="shared" si="2"/>
        <v>0</v>
      </c>
      <c r="N19" s="246">
        <f>SUM(B19:M19)/12</f>
        <v>1.3505850271092872</v>
      </c>
    </row>
    <row r="20" spans="1:14">
      <c r="A20" s="243"/>
      <c r="B20" s="244"/>
      <c r="C20" s="244"/>
      <c r="D20" s="244"/>
      <c r="E20" s="244"/>
      <c r="F20" s="244"/>
      <c r="G20" s="244"/>
      <c r="H20" s="244"/>
      <c r="I20" s="244"/>
      <c r="J20" s="244"/>
      <c r="K20" s="244"/>
      <c r="L20" s="244"/>
      <c r="M20" s="244"/>
      <c r="N20" s="227"/>
    </row>
    <row r="21" spans="1:14">
      <c r="A21" s="231" t="s">
        <v>80</v>
      </c>
      <c r="B21" s="232">
        <f t="shared" ref="B21:M21" si="3">SUM(B10*100/B16)</f>
        <v>6.1004099263895624</v>
      </c>
      <c r="C21" s="232">
        <f t="shared" si="3"/>
        <v>3.1876824559751391</v>
      </c>
      <c r="D21" s="232">
        <f t="shared" si="3"/>
        <v>6.1192014659079952</v>
      </c>
      <c r="E21" s="232">
        <f t="shared" si="3"/>
        <v>4.1248224170871506</v>
      </c>
      <c r="F21" s="232">
        <f t="shared" si="3"/>
        <v>0.76407928446222306</v>
      </c>
      <c r="G21" s="232">
        <f t="shared" si="3"/>
        <v>0.92139360783184565</v>
      </c>
      <c r="H21" s="232">
        <f t="shared" si="3"/>
        <v>3.5889390076485586</v>
      </c>
      <c r="I21" s="232">
        <f t="shared" si="3"/>
        <v>0.85913273346550756</v>
      </c>
      <c r="J21" s="232">
        <f t="shared" si="3"/>
        <v>5.3422292726169927</v>
      </c>
      <c r="K21" s="232">
        <f t="shared" si="3"/>
        <v>2.1361435488464826</v>
      </c>
      <c r="L21" s="232">
        <f t="shared" si="3"/>
        <v>5.6938702139133559</v>
      </c>
      <c r="M21" s="232">
        <f t="shared" si="3"/>
        <v>0</v>
      </c>
      <c r="N21" s="246">
        <f>SUM(B21:M21)/12</f>
        <v>3.2364919945120678</v>
      </c>
    </row>
    <row r="22" spans="1:14" ht="13.5" thickBot="1">
      <c r="A22" s="247" t="s">
        <v>81</v>
      </c>
      <c r="B22" s="238">
        <f t="shared" ref="B22:M22" si="4">SUM(B11*100/B16)</f>
        <v>0</v>
      </c>
      <c r="C22" s="238">
        <f t="shared" si="4"/>
        <v>0.14596478011112157</v>
      </c>
      <c r="D22" s="238">
        <f t="shared" si="4"/>
        <v>0.14466197318931431</v>
      </c>
      <c r="E22" s="238">
        <f t="shared" si="4"/>
        <v>0</v>
      </c>
      <c r="F22" s="238">
        <f t="shared" si="4"/>
        <v>0</v>
      </c>
      <c r="G22" s="238">
        <f t="shared" si="4"/>
        <v>0.14876667626451676</v>
      </c>
      <c r="H22" s="238">
        <f t="shared" si="4"/>
        <v>0</v>
      </c>
      <c r="I22" s="238">
        <f t="shared" si="4"/>
        <v>0.14234151797061664</v>
      </c>
      <c r="J22" s="238">
        <f t="shared" si="4"/>
        <v>0</v>
      </c>
      <c r="K22" s="238">
        <f t="shared" si="4"/>
        <v>0.16139751257951201</v>
      </c>
      <c r="L22" s="238">
        <f t="shared" si="4"/>
        <v>0.13931332015099765</v>
      </c>
      <c r="M22" s="238">
        <f t="shared" si="4"/>
        <v>0</v>
      </c>
      <c r="N22" s="248">
        <f>SUM(B22:M22)/12</f>
        <v>7.3537148355506579E-2</v>
      </c>
    </row>
    <row r="23" spans="1:14" ht="13.5" thickBot="1">
      <c r="A23" s="249" t="s">
        <v>82</v>
      </c>
      <c r="B23" s="250">
        <f t="shared" ref="B23:M23" si="5">SUM(B21:B21)</f>
        <v>6.1004099263895624</v>
      </c>
      <c r="C23" s="250">
        <f t="shared" si="5"/>
        <v>3.1876824559751391</v>
      </c>
      <c r="D23" s="250">
        <f t="shared" si="5"/>
        <v>6.1192014659079952</v>
      </c>
      <c r="E23" s="250">
        <f t="shared" si="5"/>
        <v>4.1248224170871506</v>
      </c>
      <c r="F23" s="250">
        <f t="shared" si="5"/>
        <v>0.76407928446222306</v>
      </c>
      <c r="G23" s="250">
        <f t="shared" si="5"/>
        <v>0.92139360783184565</v>
      </c>
      <c r="H23" s="250">
        <f t="shared" si="5"/>
        <v>3.5889390076485586</v>
      </c>
      <c r="I23" s="250">
        <f t="shared" si="5"/>
        <v>0.85913273346550756</v>
      </c>
      <c r="J23" s="250">
        <f t="shared" si="5"/>
        <v>5.3422292726169927</v>
      </c>
      <c r="K23" s="250">
        <f t="shared" si="5"/>
        <v>2.1361435488464826</v>
      </c>
      <c r="L23" s="250">
        <f t="shared" si="5"/>
        <v>5.6938702139133559</v>
      </c>
      <c r="M23" s="250">
        <f t="shared" si="5"/>
        <v>0</v>
      </c>
      <c r="N23" s="251">
        <f>SUM(N21:N22)</f>
        <v>3.3100291428675743</v>
      </c>
    </row>
    <row r="24" spans="1:14">
      <c r="A24" s="243" t="s">
        <v>83</v>
      </c>
      <c r="B24" s="244"/>
      <c r="C24" s="244"/>
      <c r="D24" s="252">
        <f>SUM(B23:D23)/3</f>
        <v>5.1357646160908992</v>
      </c>
      <c r="E24" s="244"/>
      <c r="F24" s="244"/>
      <c r="G24" s="252">
        <f>SUM(E23,F23,G23)/3</f>
        <v>1.9367651031270732</v>
      </c>
      <c r="H24" s="244"/>
      <c r="I24" s="244"/>
      <c r="J24" s="252">
        <f>SUM(H23,I23,J23)/3</f>
        <v>3.263433671243686</v>
      </c>
      <c r="K24" s="244"/>
      <c r="L24" s="244"/>
      <c r="M24" s="252">
        <f>SUM(K23,L23,M23)/3</f>
        <v>2.6100045875866127</v>
      </c>
      <c r="N24" s="253">
        <f>SUM(D24:M24)/4</f>
        <v>3.2364919945120678</v>
      </c>
    </row>
    <row r="25" spans="1:14">
      <c r="A25" s="243" t="s">
        <v>84</v>
      </c>
      <c r="B25" s="244"/>
      <c r="C25" s="244"/>
      <c r="D25" s="254"/>
      <c r="E25" s="244"/>
      <c r="F25" s="244"/>
      <c r="G25" s="254"/>
      <c r="H25" s="244"/>
      <c r="I25" s="244"/>
      <c r="J25" s="254"/>
      <c r="K25" s="244"/>
      <c r="L25" s="244"/>
      <c r="M25" s="254"/>
      <c r="N25" s="246">
        <f>SUM(D25:G25,J25,M25)/4</f>
        <v>0</v>
      </c>
    </row>
    <row r="26" spans="1:14">
      <c r="A26" s="243"/>
      <c r="B26" s="244"/>
      <c r="C26" s="244"/>
      <c r="D26" s="244"/>
      <c r="E26" s="244"/>
      <c r="F26" s="244"/>
      <c r="G26" s="244"/>
      <c r="H26" s="244"/>
      <c r="I26" s="244"/>
      <c r="J26" s="244"/>
      <c r="K26" s="244"/>
      <c r="L26" s="244"/>
      <c r="M26" s="244"/>
      <c r="N26" s="244"/>
    </row>
    <row r="27" spans="1:14">
      <c r="A27" s="231" t="s">
        <v>85</v>
      </c>
      <c r="B27" s="232">
        <f t="shared" ref="B27:M27" si="6">B14*100/B16</f>
        <v>2.3008771543174507</v>
      </c>
      <c r="C27" s="232">
        <f t="shared" si="6"/>
        <v>3.4984461813730108</v>
      </c>
      <c r="D27" s="232">
        <f t="shared" si="6"/>
        <v>3.7901436975600347</v>
      </c>
      <c r="E27" s="232">
        <f t="shared" si="6"/>
        <v>0.59765835496987219</v>
      </c>
      <c r="F27" s="232">
        <f t="shared" si="6"/>
        <v>1.6674906737381456</v>
      </c>
      <c r="G27" s="232">
        <f t="shared" si="6"/>
        <v>0.44630002879355024</v>
      </c>
      <c r="H27" s="232">
        <f t="shared" si="6"/>
        <v>0</v>
      </c>
      <c r="I27" s="232">
        <f t="shared" si="6"/>
        <v>0</v>
      </c>
      <c r="J27" s="232">
        <f t="shared" si="6"/>
        <v>0.94713759156441002</v>
      </c>
      <c r="K27" s="232">
        <f t="shared" si="6"/>
        <v>2.8102155131491502</v>
      </c>
      <c r="L27" s="232">
        <f t="shared" si="6"/>
        <v>1.0515908682365631</v>
      </c>
      <c r="M27" s="232">
        <f t="shared" si="6"/>
        <v>0</v>
      </c>
      <c r="N27" s="246">
        <f>SUM(B27:M27)/12</f>
        <v>1.4258216719751822</v>
      </c>
    </row>
    <row r="28" spans="1:14">
      <c r="A28" s="231" t="s">
        <v>86</v>
      </c>
      <c r="B28" s="232">
        <f t="shared" ref="B28:M28" si="7">B12*100/B16</f>
        <v>6.9467095693569005</v>
      </c>
      <c r="C28" s="232">
        <f t="shared" si="7"/>
        <v>4.8450889914304547</v>
      </c>
      <c r="D28" s="232">
        <f t="shared" si="7"/>
        <v>3.5972610666409488</v>
      </c>
      <c r="E28" s="232">
        <f t="shared" si="7"/>
        <v>4.5363248910008327</v>
      </c>
      <c r="F28" s="232">
        <f t="shared" si="7"/>
        <v>8.6385904984493678</v>
      </c>
      <c r="G28" s="232">
        <f t="shared" si="7"/>
        <v>6.1618197523754681</v>
      </c>
      <c r="H28" s="232">
        <f t="shared" si="7"/>
        <v>2.5004902922141596</v>
      </c>
      <c r="I28" s="232">
        <f t="shared" si="7"/>
        <v>3.9245589954755733</v>
      </c>
      <c r="J28" s="232">
        <f t="shared" si="7"/>
        <v>6.4759949610413852</v>
      </c>
      <c r="K28" s="232">
        <f t="shared" si="7"/>
        <v>6.0144308364188737</v>
      </c>
      <c r="L28" s="232">
        <f t="shared" si="7"/>
        <v>8.2060039547007015</v>
      </c>
      <c r="M28" s="232">
        <f t="shared" si="7"/>
        <v>0</v>
      </c>
      <c r="N28" s="246">
        <f>SUM(B28:M28)/12</f>
        <v>5.1539394840920556</v>
      </c>
    </row>
    <row r="29" spans="1:14" ht="13.5" thickBot="1">
      <c r="A29" s="231" t="s">
        <v>87</v>
      </c>
      <c r="B29" s="232">
        <f t="shared" ref="B29:M29" si="8">B8*100/B16</f>
        <v>3.8303874465552958</v>
      </c>
      <c r="C29" s="232">
        <f t="shared" si="8"/>
        <v>13.645352669742914</v>
      </c>
      <c r="D29" s="232">
        <f t="shared" si="8"/>
        <v>12.966534863535539</v>
      </c>
      <c r="E29" s="232">
        <f t="shared" si="8"/>
        <v>16.288639592416597</v>
      </c>
      <c r="F29" s="232">
        <f t="shared" si="8"/>
        <v>7.5688795002022564</v>
      </c>
      <c r="G29" s="232">
        <f t="shared" si="8"/>
        <v>18.768595834533066</v>
      </c>
      <c r="H29" s="232">
        <f t="shared" si="8"/>
        <v>27.672092567170033</v>
      </c>
      <c r="I29" s="232">
        <f t="shared" si="8"/>
        <v>30.039143917441919</v>
      </c>
      <c r="J29" s="232">
        <f t="shared" si="8"/>
        <v>13.021975458405263</v>
      </c>
      <c r="K29" s="232">
        <f t="shared" si="8"/>
        <v>13.509921200037976</v>
      </c>
      <c r="L29" s="232">
        <f t="shared" si="8"/>
        <v>3.3480136616933311</v>
      </c>
      <c r="M29" s="232">
        <f t="shared" si="8"/>
        <v>0</v>
      </c>
      <c r="N29" s="246">
        <f>SUM(B29:M29)/12</f>
        <v>13.388294725977849</v>
      </c>
    </row>
    <row r="30" spans="1:14" ht="13.5" thickBot="1">
      <c r="A30" s="255" t="s">
        <v>88</v>
      </c>
      <c r="B30" s="256">
        <f t="shared" ref="B30:M30" si="9">SUM(B4-B16)*100/B16</f>
        <v>15.925419843963503</v>
      </c>
      <c r="C30" s="256">
        <f t="shared" si="9"/>
        <v>23.834636029757981</v>
      </c>
      <c r="D30" s="256">
        <f t="shared" si="9"/>
        <v>26.820329829298871</v>
      </c>
      <c r="E30" s="256">
        <f t="shared" si="9"/>
        <v>28.839465046783911</v>
      </c>
      <c r="F30" s="256">
        <f t="shared" si="9"/>
        <v>18.207559890332149</v>
      </c>
      <c r="G30" s="256">
        <f t="shared" si="9"/>
        <v>26.211728572799693</v>
      </c>
      <c r="H30" s="256">
        <f t="shared" si="9"/>
        <v>28.946852323985095</v>
      </c>
      <c r="I30" s="256">
        <f t="shared" si="9"/>
        <v>33.699354379543493</v>
      </c>
      <c r="J30" s="256">
        <f t="shared" si="9"/>
        <v>22.707973685438343</v>
      </c>
      <c r="K30" s="256">
        <f t="shared" si="9"/>
        <v>24.845722965916643</v>
      </c>
      <c r="L30" s="256">
        <f t="shared" si="9"/>
        <v>18.191623224878661</v>
      </c>
      <c r="M30" s="256">
        <f t="shared" si="9"/>
        <v>0</v>
      </c>
      <c r="N30" s="257">
        <f>SUM(B30:M30)/12</f>
        <v>22.352555482724863</v>
      </c>
    </row>
    <row r="31" spans="1:14">
      <c r="A31" s="243"/>
      <c r="B31" s="244"/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27"/>
    </row>
    <row r="32" spans="1:14">
      <c r="A32" s="258" t="s">
        <v>89</v>
      </c>
      <c r="B32" s="244"/>
      <c r="C32" s="244"/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27"/>
    </row>
    <row r="33" spans="1:14">
      <c r="A33" s="231" t="s">
        <v>90</v>
      </c>
      <c r="B33" s="259">
        <v>47</v>
      </c>
      <c r="C33" s="259">
        <f t="shared" ref="C33:N33" si="10">B36</f>
        <v>45</v>
      </c>
      <c r="D33" s="259">
        <f t="shared" si="10"/>
        <v>47</v>
      </c>
      <c r="E33" s="259">
        <f t="shared" si="10"/>
        <v>44</v>
      </c>
      <c r="F33" s="259">
        <f t="shared" si="10"/>
        <v>44</v>
      </c>
      <c r="G33" s="259">
        <f t="shared" si="10"/>
        <v>44</v>
      </c>
      <c r="H33" s="259">
        <f t="shared" si="10"/>
        <v>46</v>
      </c>
      <c r="I33" s="259">
        <f t="shared" si="10"/>
        <v>45</v>
      </c>
      <c r="J33" s="259">
        <f t="shared" si="10"/>
        <v>43</v>
      </c>
      <c r="K33" s="259">
        <f t="shared" si="10"/>
        <v>43</v>
      </c>
      <c r="L33" s="259">
        <f t="shared" si="10"/>
        <v>43</v>
      </c>
      <c r="M33" s="259">
        <f t="shared" si="10"/>
        <v>43</v>
      </c>
      <c r="N33" s="259">
        <f t="shared" si="10"/>
        <v>43</v>
      </c>
    </row>
    <row r="34" spans="1:14">
      <c r="A34" s="231" t="s">
        <v>91</v>
      </c>
      <c r="B34" s="259">
        <v>1</v>
      </c>
      <c r="C34" s="259">
        <v>2</v>
      </c>
      <c r="D34" s="259"/>
      <c r="E34" s="259"/>
      <c r="F34" s="259"/>
      <c r="G34" s="259">
        <v>2</v>
      </c>
      <c r="H34" s="259">
        <v>1</v>
      </c>
      <c r="I34" s="259"/>
      <c r="J34" s="259"/>
      <c r="K34" s="259"/>
      <c r="L34" s="259"/>
      <c r="M34" s="259"/>
      <c r="N34" s="259"/>
    </row>
    <row r="35" spans="1:14">
      <c r="A35" s="231" t="s">
        <v>92</v>
      </c>
      <c r="B35" s="259">
        <v>3</v>
      </c>
      <c r="C35" s="259"/>
      <c r="D35" s="259">
        <v>3</v>
      </c>
      <c r="E35" s="259"/>
      <c r="F35" s="259"/>
      <c r="G35" s="259"/>
      <c r="H35" s="259">
        <v>2</v>
      </c>
      <c r="I35" s="259">
        <v>2</v>
      </c>
      <c r="J35" s="259"/>
      <c r="K35" s="259"/>
      <c r="L35" s="259"/>
      <c r="M35" s="259"/>
      <c r="N35" s="259"/>
    </row>
    <row r="36" spans="1:14">
      <c r="A36" s="231" t="s">
        <v>89</v>
      </c>
      <c r="B36" s="259">
        <f t="shared" ref="B36:M36" si="11">SUM(B33+B34-B35)</f>
        <v>45</v>
      </c>
      <c r="C36" s="259">
        <f t="shared" si="11"/>
        <v>47</v>
      </c>
      <c r="D36" s="259">
        <f t="shared" si="11"/>
        <v>44</v>
      </c>
      <c r="E36" s="259">
        <f t="shared" si="11"/>
        <v>44</v>
      </c>
      <c r="F36" s="259">
        <f t="shared" si="11"/>
        <v>44</v>
      </c>
      <c r="G36" s="259">
        <f t="shared" si="11"/>
        <v>46</v>
      </c>
      <c r="H36" s="259">
        <f t="shared" si="11"/>
        <v>45</v>
      </c>
      <c r="I36" s="259">
        <f t="shared" si="11"/>
        <v>43</v>
      </c>
      <c r="J36" s="259">
        <f t="shared" si="11"/>
        <v>43</v>
      </c>
      <c r="K36" s="259">
        <f t="shared" si="11"/>
        <v>43</v>
      </c>
      <c r="L36" s="259">
        <f t="shared" si="11"/>
        <v>43</v>
      </c>
      <c r="M36" s="259">
        <f t="shared" si="11"/>
        <v>43</v>
      </c>
      <c r="N36" s="259">
        <f>SUM(B36:M36)/12</f>
        <v>44.166666666666664</v>
      </c>
    </row>
    <row r="37" spans="1:14">
      <c r="A37" s="231" t="s">
        <v>93</v>
      </c>
      <c r="B37" s="260">
        <f t="shared" ref="B37:M37" si="12">SUM(B36*100)/B33-100</f>
        <v>-4.2553191489361666</v>
      </c>
      <c r="C37" s="260">
        <f t="shared" si="12"/>
        <v>4.4444444444444429</v>
      </c>
      <c r="D37" s="260">
        <f t="shared" si="12"/>
        <v>-6.3829787234042499</v>
      </c>
      <c r="E37" s="260">
        <f t="shared" si="12"/>
        <v>0</v>
      </c>
      <c r="F37" s="260">
        <f t="shared" si="12"/>
        <v>0</v>
      </c>
      <c r="G37" s="260">
        <f t="shared" si="12"/>
        <v>4.5454545454545467</v>
      </c>
      <c r="H37" s="260">
        <f t="shared" si="12"/>
        <v>-2.1739130434782652</v>
      </c>
      <c r="I37" s="260">
        <f t="shared" si="12"/>
        <v>-4.4444444444444429</v>
      </c>
      <c r="J37" s="260">
        <f t="shared" si="12"/>
        <v>0</v>
      </c>
      <c r="K37" s="260">
        <f t="shared" si="12"/>
        <v>0</v>
      </c>
      <c r="L37" s="260">
        <f t="shared" si="12"/>
        <v>0</v>
      </c>
      <c r="M37" s="260">
        <f t="shared" si="12"/>
        <v>0</v>
      </c>
      <c r="N37" s="259"/>
    </row>
    <row r="38" spans="1:14">
      <c r="A38" s="243" t="s">
        <v>94</v>
      </c>
      <c r="B38" s="261"/>
      <c r="C38" s="261"/>
      <c r="D38" s="262">
        <f>SUM(B37:D37/3)</f>
        <v>-2.1276595744680833</v>
      </c>
      <c r="E38" s="261"/>
      <c r="F38" s="261"/>
      <c r="G38" s="262">
        <f>SUM(E37:G37)/3</f>
        <v>1.5151515151515156</v>
      </c>
      <c r="H38" s="261"/>
      <c r="I38" s="261"/>
      <c r="J38" s="262">
        <f>SUM(H37:J37)/3</f>
        <v>-2.2061191626409027</v>
      </c>
      <c r="K38" s="261"/>
      <c r="L38" s="261"/>
      <c r="M38" s="262">
        <f>SUM(K37:M37)/3</f>
        <v>0</v>
      </c>
      <c r="N38" s="261"/>
    </row>
    <row r="39" spans="1:14">
      <c r="A39" s="243"/>
      <c r="B39" s="244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27"/>
    </row>
    <row r="40" spans="1:14" ht="16.5" thickBot="1">
      <c r="E40" s="263" t="s">
        <v>253</v>
      </c>
      <c r="F40" s="264"/>
      <c r="G40" s="265">
        <v>2011</v>
      </c>
    </row>
    <row r="41" spans="1:14">
      <c r="A41" s="266" t="s">
        <v>96</v>
      </c>
      <c r="B41" s="267" t="s">
        <v>44</v>
      </c>
      <c r="C41" s="267" t="s">
        <v>45</v>
      </c>
      <c r="D41" s="267" t="s">
        <v>46</v>
      </c>
      <c r="E41" s="267" t="s">
        <v>47</v>
      </c>
      <c r="F41" s="267" t="s">
        <v>48</v>
      </c>
      <c r="G41" s="267" t="s">
        <v>49</v>
      </c>
      <c r="H41" s="267" t="s">
        <v>38</v>
      </c>
      <c r="I41" s="267" t="s">
        <v>39</v>
      </c>
      <c r="J41" s="267" t="s">
        <v>40</v>
      </c>
      <c r="K41" s="267" t="s">
        <v>41</v>
      </c>
      <c r="L41" s="267" t="s">
        <v>42</v>
      </c>
      <c r="M41" s="267" t="s">
        <v>43</v>
      </c>
      <c r="N41" s="268" t="s">
        <v>64</v>
      </c>
    </row>
    <row r="42" spans="1:14">
      <c r="A42" s="269" t="s">
        <v>97</v>
      </c>
      <c r="B42" s="270">
        <v>43</v>
      </c>
      <c r="C42" s="270">
        <v>40</v>
      </c>
      <c r="D42" s="270">
        <v>64</v>
      </c>
      <c r="E42" s="270">
        <v>29</v>
      </c>
      <c r="F42" s="270">
        <v>41</v>
      </c>
      <c r="G42" s="270">
        <v>29</v>
      </c>
      <c r="H42" s="270">
        <v>37</v>
      </c>
      <c r="I42" s="270">
        <v>52</v>
      </c>
      <c r="J42" s="270">
        <v>44</v>
      </c>
      <c r="K42" s="270">
        <v>48</v>
      </c>
      <c r="L42" s="270">
        <v>45</v>
      </c>
      <c r="M42" s="270">
        <v>30</v>
      </c>
      <c r="N42" s="271">
        <f>SUM(B42:M42)</f>
        <v>502</v>
      </c>
    </row>
    <row r="43" spans="1:14">
      <c r="A43" s="269" t="s">
        <v>98</v>
      </c>
      <c r="B43" s="270">
        <v>1091</v>
      </c>
      <c r="C43" s="270">
        <v>1388</v>
      </c>
      <c r="D43" s="270">
        <v>1816</v>
      </c>
      <c r="E43" s="270">
        <v>1049</v>
      </c>
      <c r="F43" s="270">
        <v>1411</v>
      </c>
      <c r="G43" s="270">
        <v>1406</v>
      </c>
      <c r="H43" s="270">
        <v>1509</v>
      </c>
      <c r="I43" s="270">
        <v>1777</v>
      </c>
      <c r="J43" s="270">
        <v>2493</v>
      </c>
      <c r="K43" s="270">
        <v>2393</v>
      </c>
      <c r="L43" s="270">
        <v>2425</v>
      </c>
      <c r="M43" s="270">
        <v>1846</v>
      </c>
      <c r="N43" s="271">
        <f>SUM(B43:M43)</f>
        <v>20604</v>
      </c>
    </row>
    <row r="44" spans="1:14">
      <c r="A44" s="269" t="s">
        <v>99</v>
      </c>
      <c r="B44" s="270">
        <v>121</v>
      </c>
      <c r="C44" s="270">
        <v>111</v>
      </c>
      <c r="D44" s="270">
        <v>302</v>
      </c>
      <c r="E44" s="270">
        <v>616</v>
      </c>
      <c r="F44" s="270">
        <v>1341</v>
      </c>
      <c r="G44" s="270">
        <v>2147</v>
      </c>
      <c r="H44" s="270">
        <v>1890</v>
      </c>
      <c r="I44" s="270">
        <v>2468</v>
      </c>
      <c r="J44" s="270">
        <v>1412</v>
      </c>
      <c r="K44" s="270">
        <v>854</v>
      </c>
      <c r="L44" s="270">
        <v>372</v>
      </c>
      <c r="M44" s="270">
        <v>170</v>
      </c>
      <c r="N44" s="271">
        <f>SUM(B44:M44)</f>
        <v>11804</v>
      </c>
    </row>
    <row r="45" spans="1:14">
      <c r="A45" s="269" t="s">
        <v>100</v>
      </c>
      <c r="B45" s="270">
        <v>756</v>
      </c>
      <c r="C45" s="270">
        <v>552</v>
      </c>
      <c r="D45" s="270">
        <v>902</v>
      </c>
      <c r="E45" s="270">
        <v>571</v>
      </c>
      <c r="F45" s="270">
        <v>763</v>
      </c>
      <c r="G45" s="270">
        <v>803</v>
      </c>
      <c r="H45" s="270">
        <v>675</v>
      </c>
      <c r="I45" s="270">
        <v>840</v>
      </c>
      <c r="J45" s="270">
        <v>917</v>
      </c>
      <c r="K45" s="270">
        <v>845</v>
      </c>
      <c r="L45" s="270">
        <v>918</v>
      </c>
      <c r="M45" s="270">
        <v>628</v>
      </c>
      <c r="N45" s="271">
        <f>SUM(B45:M45)</f>
        <v>9170</v>
      </c>
    </row>
    <row r="46" spans="1:14" ht="13.5" thickBot="1">
      <c r="A46" s="272" t="s">
        <v>101</v>
      </c>
      <c r="B46" s="273"/>
      <c r="C46" s="273">
        <v>4</v>
      </c>
      <c r="D46" s="273">
        <v>3</v>
      </c>
      <c r="E46" s="273">
        <v>1</v>
      </c>
      <c r="F46" s="273">
        <v>4</v>
      </c>
      <c r="G46" s="273">
        <v>1</v>
      </c>
      <c r="H46" s="273">
        <v>2</v>
      </c>
      <c r="I46" s="273">
        <v>1</v>
      </c>
      <c r="J46" s="273">
        <v>2</v>
      </c>
      <c r="K46" s="273">
        <v>2</v>
      </c>
      <c r="L46" s="273">
        <v>2</v>
      </c>
      <c r="M46" s="273">
        <v>9</v>
      </c>
      <c r="N46" s="274">
        <f>SUM(B46:M46)</f>
        <v>31</v>
      </c>
    </row>
    <row r="48" spans="1:14" ht="16.5" thickBot="1">
      <c r="E48" s="263" t="s">
        <v>287</v>
      </c>
      <c r="F48" s="264"/>
      <c r="G48" s="265">
        <v>2011</v>
      </c>
    </row>
    <row r="49" spans="1:17">
      <c r="A49" s="266" t="s">
        <v>102</v>
      </c>
      <c r="B49" s="267" t="s">
        <v>44</v>
      </c>
      <c r="C49" s="267" t="s">
        <v>45</v>
      </c>
      <c r="D49" s="267" t="s">
        <v>46</v>
      </c>
      <c r="E49" s="267" t="s">
        <v>47</v>
      </c>
      <c r="F49" s="267" t="s">
        <v>48</v>
      </c>
      <c r="G49" s="267" t="s">
        <v>49</v>
      </c>
      <c r="H49" s="267" t="s">
        <v>38</v>
      </c>
      <c r="I49" s="267" t="s">
        <v>39</v>
      </c>
      <c r="J49" s="267" t="s">
        <v>40</v>
      </c>
      <c r="K49" s="267" t="s">
        <v>41</v>
      </c>
      <c r="L49" s="267" t="s">
        <v>42</v>
      </c>
      <c r="M49" s="267" t="s">
        <v>43</v>
      </c>
      <c r="N49" s="268" t="s">
        <v>64</v>
      </c>
    </row>
    <row r="50" spans="1:17">
      <c r="A50" s="838" t="s">
        <v>103</v>
      </c>
      <c r="B50" s="275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6">
        <f>SUM(B50:M50)</f>
        <v>0</v>
      </c>
    </row>
    <row r="51" spans="1:17">
      <c r="A51" s="269" t="s">
        <v>104</v>
      </c>
      <c r="B51" s="277">
        <v>20</v>
      </c>
      <c r="C51" s="277">
        <v>24</v>
      </c>
      <c r="D51" s="277">
        <v>17</v>
      </c>
      <c r="E51" s="277">
        <v>21</v>
      </c>
      <c r="F51" s="277">
        <v>23</v>
      </c>
      <c r="G51" s="277">
        <v>16</v>
      </c>
      <c r="H51" s="277">
        <v>24</v>
      </c>
      <c r="I51" s="277">
        <v>24</v>
      </c>
      <c r="J51" s="277">
        <v>16</v>
      </c>
      <c r="K51" s="277">
        <v>13</v>
      </c>
      <c r="L51" s="277">
        <v>15</v>
      </c>
      <c r="M51" s="277"/>
      <c r="N51" s="276">
        <f>SUM(B51:M51)</f>
        <v>213</v>
      </c>
    </row>
    <row r="52" spans="1:17">
      <c r="A52" s="269" t="s">
        <v>105</v>
      </c>
      <c r="B52" s="277">
        <v>53</v>
      </c>
      <c r="C52" s="277">
        <v>41</v>
      </c>
      <c r="D52" s="277">
        <v>24</v>
      </c>
      <c r="E52" s="277">
        <v>38</v>
      </c>
      <c r="F52" s="277">
        <v>38</v>
      </c>
      <c r="G52" s="277">
        <v>48</v>
      </c>
      <c r="H52" s="277">
        <v>68</v>
      </c>
      <c r="I52" s="277">
        <v>25</v>
      </c>
      <c r="J52" s="277">
        <v>14</v>
      </c>
      <c r="K52" s="277">
        <v>20</v>
      </c>
      <c r="L52" s="277">
        <v>24</v>
      </c>
      <c r="M52" s="277"/>
      <c r="N52" s="276">
        <f>SUM(B52:M52)</f>
        <v>393</v>
      </c>
    </row>
    <row r="53" spans="1:17">
      <c r="A53" s="269" t="s">
        <v>106</v>
      </c>
      <c r="B53" s="278">
        <v>2</v>
      </c>
      <c r="C53" s="278">
        <v>4</v>
      </c>
      <c r="D53" s="278">
        <v>4</v>
      </c>
      <c r="E53" s="278">
        <v>10</v>
      </c>
      <c r="F53" s="278">
        <v>2</v>
      </c>
      <c r="G53" s="278">
        <v>2</v>
      </c>
      <c r="H53" s="278">
        <v>4</v>
      </c>
      <c r="I53" s="278">
        <v>2</v>
      </c>
      <c r="J53" s="278">
        <v>2</v>
      </c>
      <c r="K53" s="278">
        <v>2</v>
      </c>
      <c r="L53" s="278">
        <v>2</v>
      </c>
      <c r="M53" s="278"/>
      <c r="N53" s="276">
        <f>SUM(B53:M53)</f>
        <v>36</v>
      </c>
    </row>
    <row r="54" spans="1:17" ht="13.5" thickBot="1">
      <c r="A54" s="272" t="s">
        <v>107</v>
      </c>
      <c r="B54" s="279">
        <v>83</v>
      </c>
      <c r="C54" s="279">
        <v>59</v>
      </c>
      <c r="D54" s="279">
        <v>46</v>
      </c>
      <c r="E54" s="279">
        <v>54</v>
      </c>
      <c r="F54" s="279">
        <v>50</v>
      </c>
      <c r="G54" s="279">
        <v>59</v>
      </c>
      <c r="H54" s="279">
        <v>61</v>
      </c>
      <c r="I54" s="279">
        <v>54</v>
      </c>
      <c r="J54" s="279">
        <v>34</v>
      </c>
      <c r="K54" s="279">
        <v>35</v>
      </c>
      <c r="L54" s="279">
        <v>45</v>
      </c>
      <c r="M54" s="279"/>
      <c r="N54" s="280">
        <f>SUM(B54:M54)</f>
        <v>580</v>
      </c>
    </row>
    <row r="55" spans="1:17" ht="13.5" thickBot="1">
      <c r="A55" s="281"/>
      <c r="B55" s="281"/>
      <c r="C55" s="281"/>
      <c r="D55" s="281"/>
      <c r="E55" s="281"/>
      <c r="F55" s="281"/>
      <c r="G55" s="281"/>
      <c r="H55" s="281"/>
      <c r="I55" s="281"/>
      <c r="J55" s="281"/>
      <c r="K55" s="281"/>
      <c r="L55" s="281"/>
      <c r="M55" s="281"/>
      <c r="N55" s="281"/>
    </row>
    <row r="56" spans="1:17" ht="18">
      <c r="A56" s="824" t="s">
        <v>381</v>
      </c>
      <c r="B56" s="824"/>
      <c r="C56" s="824"/>
      <c r="D56" s="824"/>
      <c r="E56" s="824"/>
      <c r="F56" s="824"/>
      <c r="G56" s="824"/>
      <c r="H56" s="824"/>
      <c r="I56" s="824"/>
      <c r="J56" s="824"/>
      <c r="K56" s="824"/>
      <c r="L56" s="824"/>
      <c r="M56" s="824"/>
      <c r="N56" s="824"/>
    </row>
    <row r="57" spans="1:17" ht="15.75">
      <c r="E57" s="282"/>
      <c r="M57" s="244"/>
      <c r="N57" s="227"/>
    </row>
    <row r="58" spans="1:17">
      <c r="A58" s="283" t="s">
        <v>299</v>
      </c>
      <c r="B58" s="284"/>
      <c r="C58" s="285"/>
      <c r="D58" s="839" t="s">
        <v>186</v>
      </c>
      <c r="E58" s="840"/>
      <c r="F58" s="840"/>
      <c r="G58" s="840"/>
      <c r="H58" s="840"/>
      <c r="I58" s="286"/>
      <c r="J58" s="287" t="s">
        <v>300</v>
      </c>
      <c r="K58" s="284"/>
      <c r="L58" s="284"/>
      <c r="M58" s="284"/>
      <c r="N58" s="288"/>
      <c r="P58" s="244"/>
      <c r="Q58" s="227"/>
    </row>
    <row r="59" spans="1:17">
      <c r="A59" s="286">
        <v>722</v>
      </c>
      <c r="B59" s="286" t="s">
        <v>301</v>
      </c>
      <c r="C59" s="289"/>
      <c r="D59" s="290">
        <v>9593648</v>
      </c>
      <c r="E59" s="291"/>
      <c r="F59" s="291"/>
      <c r="G59" s="291"/>
      <c r="H59" s="291"/>
      <c r="I59" s="292" t="s">
        <v>302</v>
      </c>
      <c r="J59" s="841" t="s">
        <v>303</v>
      </c>
      <c r="K59" s="841" t="s">
        <v>304</v>
      </c>
      <c r="L59" s="842" t="s">
        <v>161</v>
      </c>
      <c r="M59" s="843"/>
      <c r="N59" s="841" t="s">
        <v>163</v>
      </c>
      <c r="P59" s="244"/>
      <c r="Q59" s="227"/>
    </row>
    <row r="60" spans="1:17" ht="13.5" thickBot="1">
      <c r="A60" s="286"/>
      <c r="B60" s="286"/>
      <c r="C60" s="289"/>
      <c r="D60" s="290"/>
      <c r="E60" s="291"/>
      <c r="F60" s="291"/>
      <c r="G60" s="291"/>
      <c r="H60" s="291"/>
      <c r="I60" s="828" t="s">
        <v>305</v>
      </c>
      <c r="J60" s="829"/>
      <c r="K60" s="829"/>
      <c r="L60" s="829"/>
      <c r="M60" s="830"/>
      <c r="N60" s="293">
        <f>F89</f>
        <v>2850284</v>
      </c>
      <c r="O60" s="844"/>
      <c r="P60" s="244"/>
      <c r="Q60" s="227"/>
    </row>
    <row r="61" spans="1:17" ht="13.5" thickBot="1">
      <c r="A61" s="294" t="s">
        <v>167</v>
      </c>
      <c r="B61" s="295"/>
      <c r="C61" s="296"/>
      <c r="D61" s="488">
        <f>SUM(D59:D60)</f>
        <v>9593648</v>
      </c>
      <c r="E61" s="300"/>
      <c r="F61" s="300"/>
      <c r="G61" s="300"/>
      <c r="H61" s="291"/>
      <c r="I61" s="490">
        <v>11820</v>
      </c>
      <c r="J61" s="491">
        <v>147</v>
      </c>
      <c r="K61" s="492">
        <v>40664</v>
      </c>
      <c r="L61" s="845" t="s">
        <v>306</v>
      </c>
      <c r="M61" s="489"/>
      <c r="N61" s="297">
        <v>47144</v>
      </c>
      <c r="O61" s="298" t="s">
        <v>382</v>
      </c>
      <c r="P61" s="244"/>
      <c r="Q61" s="227"/>
    </row>
    <row r="62" spans="1:17">
      <c r="A62" s="226" t="s">
        <v>168</v>
      </c>
      <c r="B62" s="299"/>
      <c r="C62" s="299"/>
      <c r="D62" s="300">
        <f>D61/12</f>
        <v>799470.66666666663</v>
      </c>
      <c r="E62" s="301"/>
      <c r="F62" s="301"/>
      <c r="G62" s="301"/>
      <c r="H62" s="291"/>
      <c r="I62" s="270">
        <v>62300</v>
      </c>
      <c r="J62" s="491">
        <v>150</v>
      </c>
      <c r="K62" s="492">
        <v>40544</v>
      </c>
      <c r="L62" s="286" t="s">
        <v>307</v>
      </c>
      <c r="M62" s="289"/>
      <c r="N62" s="297">
        <v>61903</v>
      </c>
      <c r="O62" s="320"/>
      <c r="P62" s="244"/>
      <c r="Q62" s="227"/>
    </row>
    <row r="63" spans="1:17">
      <c r="B63" s="299"/>
      <c r="C63" s="299"/>
      <c r="H63" s="291"/>
      <c r="I63" s="270">
        <v>62011</v>
      </c>
      <c r="J63" s="302" t="s">
        <v>308</v>
      </c>
      <c r="K63" s="303">
        <v>38048</v>
      </c>
      <c r="L63" s="286" t="s">
        <v>309</v>
      </c>
      <c r="M63" s="289"/>
      <c r="N63" s="297">
        <v>19599</v>
      </c>
      <c r="O63" s="320"/>
      <c r="P63" s="244"/>
      <c r="Q63" s="227"/>
    </row>
    <row r="64" spans="1:17">
      <c r="B64" s="299"/>
      <c r="C64" s="299"/>
      <c r="H64" s="291"/>
      <c r="I64" s="270" t="s">
        <v>310</v>
      </c>
      <c r="J64" s="302" t="s">
        <v>311</v>
      </c>
      <c r="K64" s="303">
        <v>38047</v>
      </c>
      <c r="L64" s="286" t="s">
        <v>312</v>
      </c>
      <c r="M64" s="289"/>
      <c r="N64" s="297">
        <v>19599</v>
      </c>
      <c r="O64" s="320"/>
      <c r="P64" s="244"/>
      <c r="Q64" s="227"/>
    </row>
    <row r="65" spans="1:17">
      <c r="A65" s="286"/>
      <c r="B65" s="287" t="s">
        <v>300</v>
      </c>
      <c r="C65" s="284"/>
      <c r="D65" s="284"/>
      <c r="E65" s="284"/>
      <c r="F65" s="288"/>
      <c r="G65" s="299"/>
      <c r="H65" s="844" t="s">
        <v>313</v>
      </c>
      <c r="I65" s="490"/>
      <c r="J65" s="491"/>
      <c r="K65" s="492"/>
      <c r="L65" s="491"/>
      <c r="M65" s="489"/>
      <c r="N65" s="493"/>
      <c r="O65" s="291"/>
      <c r="P65" s="244"/>
      <c r="Q65" s="227"/>
    </row>
    <row r="66" spans="1:17">
      <c r="A66" s="292" t="s">
        <v>302</v>
      </c>
      <c r="B66" s="841" t="s">
        <v>303</v>
      </c>
      <c r="C66" s="841" t="s">
        <v>304</v>
      </c>
      <c r="D66" s="842" t="s">
        <v>161</v>
      </c>
      <c r="E66" s="841"/>
      <c r="F66" s="841" t="s">
        <v>163</v>
      </c>
      <c r="G66" s="846"/>
      <c r="H66" s="847" t="s">
        <v>314</v>
      </c>
      <c r="I66" s="304">
        <v>31400</v>
      </c>
      <c r="J66" s="305">
        <v>758</v>
      </c>
      <c r="K66" s="306">
        <v>37500</v>
      </c>
      <c r="L66" s="305" t="s">
        <v>315</v>
      </c>
      <c r="M66" s="307"/>
      <c r="N66" s="308">
        <v>39412</v>
      </c>
      <c r="O66" s="317"/>
      <c r="P66" s="244"/>
      <c r="Q66" s="227"/>
    </row>
    <row r="67" spans="1:17">
      <c r="A67" s="270">
        <v>31139</v>
      </c>
      <c r="B67" s="848">
        <v>111</v>
      </c>
      <c r="C67" s="492">
        <v>40634</v>
      </c>
      <c r="D67" s="286" t="s">
        <v>316</v>
      </c>
      <c r="E67" s="496"/>
      <c r="F67" s="497">
        <v>43110</v>
      </c>
      <c r="G67" s="298" t="s">
        <v>383</v>
      </c>
      <c r="H67" s="847" t="s">
        <v>317</v>
      </c>
      <c r="I67" s="304">
        <v>51302</v>
      </c>
      <c r="J67" s="849">
        <v>114</v>
      </c>
      <c r="K67" s="850">
        <v>40544</v>
      </c>
      <c r="L67" s="305" t="s">
        <v>318</v>
      </c>
      <c r="M67" s="307"/>
      <c r="N67" s="308">
        <v>16500</v>
      </c>
      <c r="O67" s="320"/>
      <c r="P67" s="244"/>
      <c r="Q67" s="227"/>
    </row>
    <row r="68" spans="1:17">
      <c r="A68" s="498" t="s">
        <v>319</v>
      </c>
      <c r="B68" s="286">
        <v>112</v>
      </c>
      <c r="C68" s="303">
        <v>37956</v>
      </c>
      <c r="D68" s="286" t="s">
        <v>320</v>
      </c>
      <c r="E68" s="289"/>
      <c r="F68" s="297">
        <v>116310</v>
      </c>
      <c r="G68" s="844"/>
      <c r="H68" s="847" t="s">
        <v>321</v>
      </c>
      <c r="I68" s="304">
        <v>53204</v>
      </c>
      <c r="J68" s="849">
        <v>114</v>
      </c>
      <c r="K68" s="850">
        <v>40544</v>
      </c>
      <c r="L68" s="305" t="s">
        <v>322</v>
      </c>
      <c r="M68" s="307"/>
      <c r="N68" s="308">
        <v>35100</v>
      </c>
      <c r="O68" s="320"/>
      <c r="P68" s="244"/>
      <c r="Q68" s="227"/>
    </row>
    <row r="69" spans="1:17">
      <c r="A69" s="498" t="s">
        <v>323</v>
      </c>
      <c r="B69" s="309">
        <v>113</v>
      </c>
      <c r="C69" s="310">
        <v>38012</v>
      </c>
      <c r="D69" s="309" t="s">
        <v>324</v>
      </c>
      <c r="E69" s="311"/>
      <c r="F69" s="312">
        <v>146191</v>
      </c>
      <c r="G69" s="844"/>
      <c r="I69" s="270">
        <v>62300</v>
      </c>
      <c r="J69" s="491">
        <v>149</v>
      </c>
      <c r="K69" s="492">
        <v>40544</v>
      </c>
      <c r="L69" s="286" t="s">
        <v>325</v>
      </c>
      <c r="M69" s="289"/>
      <c r="N69" s="312">
        <v>49158</v>
      </c>
      <c r="O69" s="291"/>
      <c r="P69" s="244"/>
      <c r="Q69" s="227"/>
    </row>
    <row r="70" spans="1:17">
      <c r="A70" s="270">
        <v>64796</v>
      </c>
      <c r="B70" s="318">
        <v>115</v>
      </c>
      <c r="C70" s="319">
        <v>40603</v>
      </c>
      <c r="D70" s="286" t="s">
        <v>384</v>
      </c>
      <c r="E70" s="289"/>
      <c r="F70" s="290">
        <v>23945</v>
      </c>
      <c r="G70" s="298" t="s">
        <v>385</v>
      </c>
      <c r="H70" s="291"/>
      <c r="I70" s="270">
        <v>62300</v>
      </c>
      <c r="J70" s="491">
        <v>148</v>
      </c>
      <c r="K70" s="492">
        <v>40544</v>
      </c>
      <c r="L70" s="286" t="s">
        <v>327</v>
      </c>
      <c r="M70" s="289"/>
      <c r="N70" s="312">
        <v>56406</v>
      </c>
      <c r="O70" s="291"/>
      <c r="P70" s="244"/>
      <c r="Q70" s="227"/>
    </row>
    <row r="71" spans="1:17">
      <c r="A71" s="270">
        <v>23140</v>
      </c>
      <c r="B71" s="309">
        <v>116</v>
      </c>
      <c r="C71" s="310">
        <v>38412</v>
      </c>
      <c r="D71" s="309" t="s">
        <v>328</v>
      </c>
      <c r="E71" s="311"/>
      <c r="F71" s="312">
        <v>60404</v>
      </c>
      <c r="G71" s="844"/>
      <c r="H71" s="291"/>
      <c r="I71" s="270">
        <v>49500</v>
      </c>
      <c r="J71" s="309">
        <v>900</v>
      </c>
      <c r="K71" s="310">
        <v>38353</v>
      </c>
      <c r="L71" s="309" t="s">
        <v>329</v>
      </c>
      <c r="M71" s="311"/>
      <c r="N71" s="312">
        <v>4100</v>
      </c>
      <c r="O71" s="291"/>
      <c r="P71" s="244"/>
      <c r="Q71" s="227"/>
    </row>
    <row r="72" spans="1:17">
      <c r="A72" s="270">
        <v>54100</v>
      </c>
      <c r="B72" s="286">
        <v>119</v>
      </c>
      <c r="C72" s="303">
        <v>38808</v>
      </c>
      <c r="D72" s="286" t="s">
        <v>330</v>
      </c>
      <c r="E72" s="289"/>
      <c r="F72" s="297">
        <v>1631561</v>
      </c>
      <c r="G72" s="844"/>
      <c r="H72" s="291"/>
      <c r="I72" s="270">
        <v>82500</v>
      </c>
      <c r="J72" s="286">
        <v>740</v>
      </c>
      <c r="K72" s="303">
        <v>37834</v>
      </c>
      <c r="L72" s="286" t="s">
        <v>331</v>
      </c>
      <c r="M72" s="289"/>
      <c r="N72" s="297">
        <v>93177</v>
      </c>
      <c r="O72" s="291"/>
      <c r="P72" s="244"/>
      <c r="Q72" s="227"/>
    </row>
    <row r="73" spans="1:17">
      <c r="A73" s="270">
        <v>62005</v>
      </c>
      <c r="B73" s="286">
        <v>121</v>
      </c>
      <c r="C73" s="303">
        <v>39264</v>
      </c>
      <c r="D73" s="286" t="s">
        <v>332</v>
      </c>
      <c r="E73" s="289"/>
      <c r="F73" s="297">
        <v>98317</v>
      </c>
      <c r="G73" s="844"/>
      <c r="H73" s="291"/>
      <c r="I73" s="270">
        <v>62006</v>
      </c>
      <c r="J73" s="302" t="s">
        <v>333</v>
      </c>
      <c r="K73" s="303">
        <v>39173</v>
      </c>
      <c r="L73" s="286" t="s">
        <v>334</v>
      </c>
      <c r="M73" s="289"/>
      <c r="N73" s="297">
        <v>30683</v>
      </c>
      <c r="O73" s="501" t="s">
        <v>386</v>
      </c>
      <c r="P73" s="244"/>
      <c r="Q73" s="227"/>
    </row>
    <row r="74" spans="1:17">
      <c r="A74" s="270">
        <v>38350</v>
      </c>
      <c r="B74" s="286">
        <v>122</v>
      </c>
      <c r="C74" s="303">
        <v>39264</v>
      </c>
      <c r="D74" s="286" t="s">
        <v>335</v>
      </c>
      <c r="E74" s="289"/>
      <c r="F74" s="297">
        <v>18528</v>
      </c>
      <c r="G74" s="844"/>
      <c r="H74" s="291"/>
      <c r="I74" s="270">
        <v>38050</v>
      </c>
      <c r="J74" s="313" t="s">
        <v>336</v>
      </c>
      <c r="K74" s="310">
        <v>39448</v>
      </c>
      <c r="L74" s="286" t="s">
        <v>387</v>
      </c>
      <c r="M74" s="314"/>
      <c r="N74" s="312">
        <v>30090</v>
      </c>
      <c r="O74" s="291"/>
      <c r="P74" s="244"/>
      <c r="Q74" s="227"/>
    </row>
    <row r="75" spans="1:17">
      <c r="A75" s="270">
        <v>60111</v>
      </c>
      <c r="B75" s="313">
        <v>128</v>
      </c>
      <c r="C75" s="310">
        <v>39815</v>
      </c>
      <c r="D75" s="286" t="s">
        <v>338</v>
      </c>
      <c r="E75" s="496"/>
      <c r="F75" s="290">
        <v>175591</v>
      </c>
      <c r="G75" s="844"/>
      <c r="H75" s="315"/>
      <c r="I75" s="270">
        <v>28100</v>
      </c>
      <c r="J75" s="309">
        <v>728</v>
      </c>
      <c r="K75" s="310">
        <v>38846</v>
      </c>
      <c r="L75" s="286" t="s">
        <v>339</v>
      </c>
      <c r="M75" s="311"/>
      <c r="N75" s="311">
        <v>72450</v>
      </c>
      <c r="O75" s="291"/>
      <c r="P75" s="244"/>
      <c r="Q75" s="227"/>
    </row>
    <row r="76" spans="1:17">
      <c r="A76" s="270">
        <v>37105</v>
      </c>
      <c r="B76" s="313">
        <v>129</v>
      </c>
      <c r="C76" s="310">
        <v>39904</v>
      </c>
      <c r="D76" s="286" t="s">
        <v>340</v>
      </c>
      <c r="E76" s="496"/>
      <c r="F76" s="290">
        <v>18893</v>
      </c>
      <c r="G76" s="844"/>
      <c r="H76" s="844"/>
      <c r="I76" s="490">
        <v>38400</v>
      </c>
      <c r="J76" s="491">
        <v>138</v>
      </c>
      <c r="K76" s="492">
        <v>40544</v>
      </c>
      <c r="L76" s="286" t="s">
        <v>341</v>
      </c>
      <c r="M76" s="489"/>
      <c r="N76" s="290">
        <v>28743</v>
      </c>
      <c r="O76" s="291"/>
      <c r="P76" s="244"/>
      <c r="Q76" s="227"/>
    </row>
    <row r="77" spans="1:17">
      <c r="A77" s="270">
        <v>69725</v>
      </c>
      <c r="B77" s="313">
        <v>130</v>
      </c>
      <c r="C77" s="310">
        <v>39918</v>
      </c>
      <c r="D77" s="286" t="s">
        <v>342</v>
      </c>
      <c r="E77" s="496"/>
      <c r="F77" s="290">
        <v>29264</v>
      </c>
      <c r="G77" s="844"/>
      <c r="H77" s="844"/>
      <c r="I77" s="490">
        <v>37100</v>
      </c>
      <c r="J77" s="318">
        <v>139</v>
      </c>
      <c r="K77" s="492">
        <v>40544</v>
      </c>
      <c r="L77" s="286" t="s">
        <v>343</v>
      </c>
      <c r="M77" s="311"/>
      <c r="N77" s="312">
        <v>9581</v>
      </c>
      <c r="O77" s="291"/>
      <c r="P77" s="244"/>
      <c r="Q77" s="227"/>
    </row>
    <row r="78" spans="1:17">
      <c r="A78" s="270">
        <v>19020</v>
      </c>
      <c r="B78" s="313">
        <v>131</v>
      </c>
      <c r="C78" s="310">
        <v>40238</v>
      </c>
      <c r="D78" s="316" t="s">
        <v>344</v>
      </c>
      <c r="F78" s="290">
        <v>206336</v>
      </c>
      <c r="G78" s="844"/>
      <c r="H78" s="844"/>
      <c r="I78" s="270"/>
      <c r="J78" s="309"/>
      <c r="K78" s="310"/>
      <c r="L78" s="309"/>
      <c r="M78" s="311"/>
      <c r="N78" s="312"/>
      <c r="O78" s="291"/>
      <c r="P78" s="244"/>
      <c r="Q78" s="227"/>
    </row>
    <row r="79" spans="1:17">
      <c r="A79" s="270">
        <v>54100</v>
      </c>
      <c r="B79" s="313">
        <v>133</v>
      </c>
      <c r="C79" s="310">
        <v>40040</v>
      </c>
      <c r="D79" s="286" t="s">
        <v>345</v>
      </c>
      <c r="E79" s="496"/>
      <c r="F79" s="503"/>
      <c r="G79" s="844" t="s">
        <v>388</v>
      </c>
      <c r="H79" s="844"/>
      <c r="I79" s="270"/>
      <c r="J79" s="309"/>
      <c r="K79" s="310"/>
      <c r="L79" s="309"/>
      <c r="M79" s="311"/>
      <c r="N79" s="312"/>
      <c r="O79" s="291"/>
      <c r="P79" s="244"/>
      <c r="Q79" s="227"/>
    </row>
    <row r="80" spans="1:17">
      <c r="A80" s="270">
        <v>50005</v>
      </c>
      <c r="B80" s="286">
        <v>132</v>
      </c>
      <c r="C80" s="303">
        <v>40057</v>
      </c>
      <c r="D80" s="286" t="s">
        <v>347</v>
      </c>
      <c r="E80" s="290"/>
      <c r="F80" s="297">
        <v>178857</v>
      </c>
      <c r="G80" s="844"/>
      <c r="H80" s="844"/>
      <c r="I80" s="270">
        <v>20100</v>
      </c>
      <c r="J80" s="491" t="s">
        <v>301</v>
      </c>
      <c r="K80" s="303">
        <v>40179</v>
      </c>
      <c r="L80" s="286" t="s">
        <v>294</v>
      </c>
      <c r="M80" s="289"/>
      <c r="N80" s="312">
        <v>536360</v>
      </c>
      <c r="O80" s="317" t="s">
        <v>389</v>
      </c>
      <c r="P80" s="244"/>
      <c r="Q80" s="227"/>
    </row>
    <row r="81" spans="1:17">
      <c r="A81" s="505"/>
      <c r="B81" s="318">
        <v>140</v>
      </c>
      <c r="C81" s="319">
        <v>40575</v>
      </c>
      <c r="D81" s="851" t="s">
        <v>348</v>
      </c>
      <c r="F81" s="312"/>
      <c r="G81" s="320" t="s">
        <v>390</v>
      </c>
      <c r="H81" s="844"/>
      <c r="I81" s="270">
        <v>80005</v>
      </c>
      <c r="J81" s="491" t="s">
        <v>301</v>
      </c>
      <c r="K81" s="303">
        <v>40179</v>
      </c>
      <c r="L81" s="286" t="s">
        <v>350</v>
      </c>
      <c r="M81" s="289"/>
      <c r="N81" s="312">
        <v>496511</v>
      </c>
      <c r="O81" s="317" t="s">
        <v>389</v>
      </c>
      <c r="P81" s="244"/>
      <c r="Q81" s="227"/>
    </row>
    <row r="82" spans="1:17">
      <c r="A82" s="270">
        <v>62400</v>
      </c>
      <c r="B82" s="318">
        <v>141</v>
      </c>
      <c r="C82" s="319">
        <v>40544</v>
      </c>
      <c r="D82" s="309" t="s">
        <v>351</v>
      </c>
      <c r="E82" s="311"/>
      <c r="F82" s="312">
        <v>17957</v>
      </c>
      <c r="G82" s="298" t="s">
        <v>352</v>
      </c>
      <c r="H82" s="844"/>
      <c r="I82" s="270">
        <v>39630</v>
      </c>
      <c r="J82" s="491" t="s">
        <v>301</v>
      </c>
      <c r="K82" s="303">
        <v>40179</v>
      </c>
      <c r="L82" s="286" t="s">
        <v>353</v>
      </c>
      <c r="M82" s="289"/>
      <c r="N82" s="312">
        <v>567857</v>
      </c>
      <c r="O82" s="317" t="s">
        <v>389</v>
      </c>
      <c r="P82" s="244"/>
      <c r="Q82" s="227"/>
    </row>
    <row r="83" spans="1:17">
      <c r="A83" s="270">
        <v>60109</v>
      </c>
      <c r="B83" s="852">
        <v>142</v>
      </c>
      <c r="C83" s="492">
        <v>40544</v>
      </c>
      <c r="D83" s="286" t="s">
        <v>354</v>
      </c>
      <c r="E83" s="289"/>
      <c r="F83" s="297">
        <v>53279</v>
      </c>
      <c r="G83" s="298" t="s">
        <v>355</v>
      </c>
      <c r="H83" s="844"/>
      <c r="I83" s="270">
        <v>49500</v>
      </c>
      <c r="J83" s="491" t="s">
        <v>301</v>
      </c>
      <c r="K83" s="303">
        <v>40179</v>
      </c>
      <c r="L83" s="286" t="s">
        <v>356</v>
      </c>
      <c r="M83" s="289"/>
      <c r="N83" s="312">
        <v>532376</v>
      </c>
      <c r="O83" s="317" t="s">
        <v>389</v>
      </c>
      <c r="P83" s="244"/>
      <c r="Q83" s="227"/>
    </row>
    <row r="84" spans="1:17">
      <c r="A84" s="270">
        <v>67004</v>
      </c>
      <c r="B84" s="852">
        <v>143</v>
      </c>
      <c r="C84" s="492">
        <v>40544</v>
      </c>
      <c r="D84" s="286" t="s">
        <v>357</v>
      </c>
      <c r="E84" s="289"/>
      <c r="F84" s="297">
        <v>1635</v>
      </c>
      <c r="G84" s="298" t="s">
        <v>358</v>
      </c>
      <c r="H84" s="844"/>
      <c r="I84" s="270">
        <v>60111</v>
      </c>
      <c r="J84" s="491" t="s">
        <v>301</v>
      </c>
      <c r="K84" s="303">
        <v>40179</v>
      </c>
      <c r="L84" s="286" t="s">
        <v>359</v>
      </c>
      <c r="M84" s="289"/>
      <c r="N84" s="312">
        <v>703724</v>
      </c>
      <c r="O84" s="317" t="s">
        <v>389</v>
      </c>
      <c r="P84" s="244"/>
      <c r="Q84" s="227"/>
    </row>
    <row r="85" spans="1:17">
      <c r="A85" s="321">
        <v>62300</v>
      </c>
      <c r="B85" s="852">
        <v>144</v>
      </c>
      <c r="C85" s="853">
        <v>40544</v>
      </c>
      <c r="D85" s="286" t="s">
        <v>360</v>
      </c>
      <c r="E85" s="289"/>
      <c r="F85" s="297">
        <v>3664</v>
      </c>
      <c r="G85" s="298" t="s">
        <v>361</v>
      </c>
      <c r="H85" s="854"/>
      <c r="I85" s="270">
        <v>11023</v>
      </c>
      <c r="J85" s="491" t="s">
        <v>301</v>
      </c>
      <c r="K85" s="303">
        <v>40179</v>
      </c>
      <c r="L85" s="309" t="s">
        <v>362</v>
      </c>
      <c r="M85" s="311"/>
      <c r="N85" s="312">
        <v>4041309</v>
      </c>
      <c r="O85" s="317" t="s">
        <v>391</v>
      </c>
      <c r="P85" s="244"/>
      <c r="Q85" s="227"/>
    </row>
    <row r="86" spans="1:17">
      <c r="A86" s="270">
        <v>33410</v>
      </c>
      <c r="B86" s="852">
        <v>145</v>
      </c>
      <c r="C86" s="492">
        <v>40544</v>
      </c>
      <c r="D86" s="286" t="s">
        <v>363</v>
      </c>
      <c r="E86" s="289"/>
      <c r="F86" s="292">
        <v>15865</v>
      </c>
      <c r="G86" s="322" t="s">
        <v>364</v>
      </c>
      <c r="H86" s="844"/>
      <c r="I86" s="270">
        <v>11023</v>
      </c>
      <c r="J86" s="491" t="s">
        <v>301</v>
      </c>
      <c r="K86" s="303">
        <v>40179</v>
      </c>
      <c r="L86" s="286" t="s">
        <v>365</v>
      </c>
      <c r="M86" s="289"/>
      <c r="N86" s="312">
        <v>1065731</v>
      </c>
      <c r="O86" s="317" t="s">
        <v>391</v>
      </c>
      <c r="P86" s="244"/>
      <c r="Q86" s="227"/>
    </row>
    <row r="87" spans="1:17" ht="13.5" thickBot="1">
      <c r="A87" s="270">
        <v>39851</v>
      </c>
      <c r="B87" s="852">
        <v>146</v>
      </c>
      <c r="C87" s="492">
        <v>40544</v>
      </c>
      <c r="D87" s="286" t="s">
        <v>366</v>
      </c>
      <c r="E87" s="289"/>
      <c r="F87" s="292">
        <v>10577</v>
      </c>
      <c r="G87" s="322" t="s">
        <v>367</v>
      </c>
      <c r="H87" s="854"/>
      <c r="I87" s="270" t="s">
        <v>368</v>
      </c>
      <c r="J87" s="491" t="s">
        <v>301</v>
      </c>
      <c r="K87" s="303">
        <v>40179</v>
      </c>
      <c r="L87" s="309" t="s">
        <v>310</v>
      </c>
      <c r="M87" s="311"/>
      <c r="N87" s="312">
        <v>1649780</v>
      </c>
      <c r="O87" s="317" t="s">
        <v>389</v>
      </c>
      <c r="P87" s="244"/>
      <c r="Q87" s="227"/>
    </row>
    <row r="88" spans="1:17" ht="13.5" thickBot="1">
      <c r="A88" s="270"/>
      <c r="B88" s="848"/>
      <c r="C88" s="492"/>
      <c r="D88" s="286"/>
      <c r="E88" s="496"/>
      <c r="F88" s="497"/>
      <c r="G88" s="298"/>
      <c r="H88" s="854"/>
      <c r="J88" s="294" t="s">
        <v>167</v>
      </c>
      <c r="K88" s="296"/>
      <c r="L88" s="295"/>
      <c r="M88" s="296"/>
      <c r="N88" s="488">
        <f>SUM(N60:N87)</f>
        <v>13057577</v>
      </c>
      <c r="O88" s="320"/>
      <c r="P88" s="244"/>
      <c r="Q88" s="227"/>
    </row>
    <row r="89" spans="1:17" ht="13.5" thickBot="1">
      <c r="A89" s="840"/>
      <c r="B89" s="294" t="s">
        <v>370</v>
      </c>
      <c r="C89" s="296"/>
      <c r="D89" s="295"/>
      <c r="E89" s="296"/>
      <c r="F89" s="323">
        <f>SUM(F66:F88)</f>
        <v>2850284</v>
      </c>
      <c r="G89" s="844"/>
      <c r="H89" s="854"/>
      <c r="J89" s="324" t="s">
        <v>168</v>
      </c>
      <c r="K89" s="324"/>
      <c r="L89" s="324"/>
      <c r="M89" s="325"/>
      <c r="N89" s="508">
        <f>N88/12</f>
        <v>1088131.4166666667</v>
      </c>
      <c r="O89" s="320"/>
      <c r="P89" s="244"/>
      <c r="Q89" s="227"/>
    </row>
    <row r="90" spans="1:17">
      <c r="A90" s="840"/>
      <c r="C90" s="844"/>
      <c r="D90" s="844"/>
      <c r="E90" s="844"/>
      <c r="F90" s="844"/>
      <c r="G90" s="844"/>
      <c r="H90" s="844"/>
      <c r="L90" s="300"/>
      <c r="M90" s="326"/>
      <c r="N90" s="326"/>
      <c r="O90" s="320"/>
      <c r="P90" s="244"/>
      <c r="Q90" s="227"/>
    </row>
    <row r="91" spans="1:17">
      <c r="A91" s="840"/>
      <c r="C91" s="844"/>
      <c r="D91" s="844"/>
      <c r="E91" s="844"/>
      <c r="F91" s="844"/>
      <c r="G91" s="844"/>
      <c r="H91" s="844"/>
      <c r="L91" s="300"/>
      <c r="M91" s="326"/>
      <c r="N91" s="326"/>
      <c r="O91" s="291"/>
      <c r="P91" s="244"/>
      <c r="Q91" s="227"/>
    </row>
    <row r="92" spans="1:17">
      <c r="A92" s="840"/>
      <c r="C92" s="844"/>
      <c r="D92" s="844"/>
      <c r="E92" s="844"/>
      <c r="F92" s="844"/>
      <c r="G92" s="844"/>
      <c r="H92" s="844"/>
      <c r="L92" s="300"/>
      <c r="M92" s="326"/>
      <c r="N92" s="326"/>
      <c r="O92" s="327"/>
      <c r="P92" s="244"/>
      <c r="Q92" s="227"/>
    </row>
    <row r="93" spans="1:17">
      <c r="A93" s="840"/>
      <c r="C93" s="844"/>
      <c r="D93" s="844"/>
      <c r="E93" s="844"/>
      <c r="F93" s="844"/>
      <c r="G93" s="844"/>
      <c r="L93" s="300"/>
      <c r="M93" s="326"/>
      <c r="N93" s="326"/>
      <c r="O93" s="327"/>
      <c r="P93" s="244"/>
      <c r="Q93" s="227"/>
    </row>
    <row r="94" spans="1:17">
      <c r="A94" s="840"/>
      <c r="C94" s="844"/>
      <c r="D94" s="844"/>
      <c r="E94" s="844"/>
      <c r="F94" s="844"/>
      <c r="G94" s="844"/>
      <c r="L94" s="300"/>
      <c r="M94" s="326"/>
      <c r="N94" s="326"/>
      <c r="O94" s="320"/>
      <c r="P94" s="244"/>
      <c r="Q94" s="227"/>
    </row>
    <row r="95" spans="1:17">
      <c r="A95" s="840"/>
      <c r="C95" s="844"/>
      <c r="D95" s="844"/>
      <c r="E95" s="844"/>
      <c r="F95" s="844"/>
      <c r="G95" s="844"/>
      <c r="L95" s="300"/>
      <c r="M95" s="326"/>
      <c r="N95" s="326"/>
      <c r="O95" s="291"/>
      <c r="P95" s="244"/>
      <c r="Q95" s="227"/>
    </row>
    <row r="96" spans="1:17">
      <c r="A96" s="840"/>
      <c r="C96" s="844"/>
      <c r="D96" s="844"/>
      <c r="L96" s="300"/>
      <c r="M96" s="326"/>
      <c r="N96" s="326"/>
    </row>
    <row r="97" spans="1:14">
      <c r="A97" s="328" t="s">
        <v>113</v>
      </c>
      <c r="B97" s="232" t="s">
        <v>44</v>
      </c>
      <c r="C97" s="232" t="s">
        <v>45</v>
      </c>
      <c r="D97" s="232" t="s">
        <v>46</v>
      </c>
      <c r="E97" s="232" t="s">
        <v>47</v>
      </c>
      <c r="F97" s="232" t="s">
        <v>48</v>
      </c>
      <c r="G97" s="232" t="s">
        <v>49</v>
      </c>
      <c r="H97" s="232" t="s">
        <v>38</v>
      </c>
      <c r="I97" s="232" t="s">
        <v>39</v>
      </c>
      <c r="J97" s="232" t="s">
        <v>40</v>
      </c>
      <c r="K97" s="232" t="s">
        <v>41</v>
      </c>
      <c r="L97" s="232" t="s">
        <v>42</v>
      </c>
      <c r="M97" s="232" t="s">
        <v>43</v>
      </c>
      <c r="N97" s="228"/>
    </row>
    <row r="98" spans="1:14">
      <c r="A98" s="231" t="s">
        <v>115</v>
      </c>
      <c r="B98" s="329"/>
      <c r="C98" s="329"/>
      <c r="D98" s="329"/>
      <c r="E98" s="329"/>
      <c r="F98" s="329"/>
      <c r="G98" s="329"/>
      <c r="H98" s="329"/>
      <c r="I98" s="329"/>
      <c r="J98" s="329"/>
      <c r="K98" s="329"/>
      <c r="L98" s="329"/>
      <c r="M98" s="329"/>
      <c r="N98" s="330">
        <f>SUM(B98:M98)</f>
        <v>0</v>
      </c>
    </row>
    <row r="99" spans="1:14" ht="13.5" thickBot="1">
      <c r="A99" s="247" t="s">
        <v>116</v>
      </c>
      <c r="B99" s="331">
        <f>N89</f>
        <v>1088131.4166666667</v>
      </c>
      <c r="C99" s="331">
        <f>N89</f>
        <v>1088131.4166666667</v>
      </c>
      <c r="D99" s="331">
        <f>N89</f>
        <v>1088131.4166666667</v>
      </c>
      <c r="E99" s="331">
        <f>N89</f>
        <v>1088131.4166666667</v>
      </c>
      <c r="F99" s="331">
        <f>N89</f>
        <v>1088131.4166666667</v>
      </c>
      <c r="G99" s="331">
        <f>N89</f>
        <v>1088131.4166666667</v>
      </c>
      <c r="H99" s="331">
        <f>N89</f>
        <v>1088131.4166666667</v>
      </c>
      <c r="I99" s="331">
        <f>N89</f>
        <v>1088131.4166666667</v>
      </c>
      <c r="J99" s="331">
        <f>N89</f>
        <v>1088131.4166666667</v>
      </c>
      <c r="K99" s="331">
        <f>N89</f>
        <v>1088131.4166666667</v>
      </c>
      <c r="L99" s="331">
        <f>N89</f>
        <v>1088131.4166666667</v>
      </c>
      <c r="M99" s="331">
        <f>N89</f>
        <v>1088131.4166666667</v>
      </c>
      <c r="N99" s="332">
        <f>SUM(B99:M99)</f>
        <v>13057576.999999998</v>
      </c>
    </row>
    <row r="100" spans="1:14" ht="13.5" thickBot="1">
      <c r="A100" s="333" t="s">
        <v>117</v>
      </c>
      <c r="B100" s="334">
        <f t="shared" ref="B100:N100" si="13">SUM(B98:B99)</f>
        <v>1088131.4166666667</v>
      </c>
      <c r="C100" s="334">
        <f t="shared" si="13"/>
        <v>1088131.4166666667</v>
      </c>
      <c r="D100" s="334">
        <f t="shared" si="13"/>
        <v>1088131.4166666667</v>
      </c>
      <c r="E100" s="334">
        <f t="shared" si="13"/>
        <v>1088131.4166666667</v>
      </c>
      <c r="F100" s="334">
        <f t="shared" si="13"/>
        <v>1088131.4166666667</v>
      </c>
      <c r="G100" s="334">
        <f t="shared" si="13"/>
        <v>1088131.4166666667</v>
      </c>
      <c r="H100" s="334">
        <f t="shared" si="13"/>
        <v>1088131.4166666667</v>
      </c>
      <c r="I100" s="334">
        <f t="shared" si="13"/>
        <v>1088131.4166666667</v>
      </c>
      <c r="J100" s="334">
        <f t="shared" si="13"/>
        <v>1088131.4166666667</v>
      </c>
      <c r="K100" s="334">
        <f t="shared" si="13"/>
        <v>1088131.4166666667</v>
      </c>
      <c r="L100" s="334">
        <f t="shared" si="13"/>
        <v>1088131.4166666667</v>
      </c>
      <c r="M100" s="334">
        <f t="shared" si="13"/>
        <v>1088131.4166666667</v>
      </c>
      <c r="N100" s="335">
        <f t="shared" si="13"/>
        <v>13057576.999999998</v>
      </c>
    </row>
    <row r="101" spans="1:14">
      <c r="A101" s="336" t="s">
        <v>255</v>
      </c>
      <c r="B101" s="337">
        <v>3550</v>
      </c>
      <c r="C101" s="337">
        <v>2712</v>
      </c>
      <c r="D101" s="337">
        <v>5950</v>
      </c>
      <c r="E101" s="337">
        <v>5075</v>
      </c>
      <c r="F101" s="337">
        <v>4175</v>
      </c>
      <c r="G101" s="338">
        <v>3675</v>
      </c>
      <c r="H101" s="337">
        <v>2800</v>
      </c>
      <c r="I101" s="337">
        <v>3150</v>
      </c>
      <c r="J101" s="337">
        <v>1575</v>
      </c>
      <c r="K101" s="337">
        <v>700</v>
      </c>
      <c r="L101" s="337">
        <v>525</v>
      </c>
      <c r="M101" s="337"/>
      <c r="N101" s="337">
        <f t="shared" ref="N101:N106" si="14">SUM(B101:M101)</f>
        <v>33887</v>
      </c>
    </row>
    <row r="102" spans="1:14">
      <c r="A102" s="228" t="s">
        <v>256</v>
      </c>
      <c r="B102" s="330">
        <v>156690</v>
      </c>
      <c r="C102" s="330">
        <v>158800</v>
      </c>
      <c r="D102" s="330">
        <v>159275</v>
      </c>
      <c r="E102" s="330">
        <v>245300</v>
      </c>
      <c r="F102" s="330">
        <v>180595</v>
      </c>
      <c r="G102" s="339">
        <v>218637</v>
      </c>
      <c r="H102" s="330">
        <v>271600</v>
      </c>
      <c r="I102" s="330">
        <v>169675</v>
      </c>
      <c r="J102" s="330">
        <v>227225</v>
      </c>
      <c r="K102" s="330">
        <v>183575</v>
      </c>
      <c r="L102" s="330">
        <v>171250</v>
      </c>
      <c r="M102" s="330">
        <v>350</v>
      </c>
      <c r="N102" s="337">
        <f t="shared" si="14"/>
        <v>2142972</v>
      </c>
    </row>
    <row r="103" spans="1:14">
      <c r="A103" s="228" t="s">
        <v>257</v>
      </c>
      <c r="B103" s="330">
        <v>45036</v>
      </c>
      <c r="C103" s="330">
        <v>26304</v>
      </c>
      <c r="D103" s="330">
        <v>50239</v>
      </c>
      <c r="E103" s="330">
        <v>37697</v>
      </c>
      <c r="F103" s="330">
        <v>26092</v>
      </c>
      <c r="G103" s="339">
        <v>25392</v>
      </c>
      <c r="H103" s="330">
        <v>26642</v>
      </c>
      <c r="I103" s="330">
        <v>27442</v>
      </c>
      <c r="J103" s="330">
        <v>25392</v>
      </c>
      <c r="K103" s="330">
        <v>26092</v>
      </c>
      <c r="L103" s="330">
        <v>26092</v>
      </c>
      <c r="M103" s="330"/>
      <c r="N103" s="337">
        <f t="shared" si="14"/>
        <v>342420</v>
      </c>
    </row>
    <row r="104" spans="1:14">
      <c r="A104" s="228" t="s">
        <v>211</v>
      </c>
      <c r="B104" s="330">
        <v>147667.5</v>
      </c>
      <c r="C104" s="329">
        <v>180556.25</v>
      </c>
      <c r="D104" s="329">
        <v>74900</v>
      </c>
      <c r="E104" s="340">
        <v>39225</v>
      </c>
      <c r="F104" s="329">
        <v>99688.25</v>
      </c>
      <c r="G104" s="329">
        <v>12662.5</v>
      </c>
      <c r="H104" s="329">
        <v>18587.5</v>
      </c>
      <c r="I104" s="329">
        <v>209287.5</v>
      </c>
      <c r="J104" s="329">
        <v>55000</v>
      </c>
      <c r="K104" s="329">
        <v>189900</v>
      </c>
      <c r="L104" s="329">
        <v>47887.5</v>
      </c>
      <c r="M104" s="329"/>
      <c r="N104" s="337">
        <f t="shared" si="14"/>
        <v>1075362</v>
      </c>
    </row>
    <row r="105" spans="1:14">
      <c r="A105" s="228" t="s">
        <v>258</v>
      </c>
      <c r="B105" s="330">
        <v>1775</v>
      </c>
      <c r="C105" s="329">
        <v>325</v>
      </c>
      <c r="D105" s="329">
        <v>775</v>
      </c>
      <c r="E105" s="329"/>
      <c r="F105" s="329">
        <v>550</v>
      </c>
      <c r="G105" s="329">
        <v>600</v>
      </c>
      <c r="H105" s="329">
        <v>100</v>
      </c>
      <c r="I105" s="329">
        <v>1775</v>
      </c>
      <c r="J105" s="329">
        <v>425</v>
      </c>
      <c r="K105" s="329">
        <v>350</v>
      </c>
      <c r="L105" s="329">
        <v>4450</v>
      </c>
      <c r="M105" s="329">
        <v>3600</v>
      </c>
      <c r="N105" s="337">
        <f t="shared" si="14"/>
        <v>14725</v>
      </c>
    </row>
    <row r="106" spans="1:14">
      <c r="A106" s="228" t="s">
        <v>371</v>
      </c>
      <c r="B106" s="330">
        <v>10</v>
      </c>
      <c r="C106" s="329">
        <v>9</v>
      </c>
      <c r="D106" s="329">
        <v>21</v>
      </c>
      <c r="E106" s="329">
        <v>13</v>
      </c>
      <c r="F106" s="329">
        <v>25</v>
      </c>
      <c r="G106" s="329">
        <v>19</v>
      </c>
      <c r="H106" s="329"/>
      <c r="I106" s="329">
        <v>11</v>
      </c>
      <c r="J106" s="329">
        <v>27</v>
      </c>
      <c r="K106" s="329">
        <v>21</v>
      </c>
      <c r="L106" s="329">
        <v>40</v>
      </c>
      <c r="M106" s="329">
        <v>6</v>
      </c>
      <c r="N106" s="337">
        <f t="shared" si="14"/>
        <v>202</v>
      </c>
    </row>
    <row r="107" spans="1:14">
      <c r="A107" s="228" t="s">
        <v>120</v>
      </c>
      <c r="B107" s="330">
        <v>7250</v>
      </c>
      <c r="C107" s="329">
        <v>14140</v>
      </c>
      <c r="D107" s="329">
        <v>25860</v>
      </c>
      <c r="E107" s="329">
        <v>26660</v>
      </c>
      <c r="F107" s="329">
        <v>54570</v>
      </c>
      <c r="G107" s="329">
        <v>33300</v>
      </c>
      <c r="H107" s="329"/>
      <c r="I107" s="329">
        <v>25635</v>
      </c>
      <c r="J107" s="329">
        <v>58110</v>
      </c>
      <c r="K107" s="329">
        <v>31965</v>
      </c>
      <c r="L107" s="329">
        <v>58720</v>
      </c>
      <c r="M107" s="329">
        <v>24960</v>
      </c>
      <c r="N107" s="330">
        <f>SUM(B107:M107)</f>
        <v>361170</v>
      </c>
    </row>
    <row r="108" spans="1:14">
      <c r="A108" s="228" t="s">
        <v>125</v>
      </c>
      <c r="B108" s="330"/>
      <c r="C108" s="329"/>
      <c r="D108" s="329"/>
      <c r="E108" s="329"/>
      <c r="F108" s="329"/>
      <c r="G108" s="329"/>
      <c r="H108" s="329"/>
      <c r="I108" s="329"/>
      <c r="J108" s="329">
        <v>89125</v>
      </c>
      <c r="K108" s="329"/>
      <c r="L108" s="329"/>
      <c r="M108" s="329"/>
      <c r="N108" s="330">
        <f>SUM(B108:M108)</f>
        <v>89125</v>
      </c>
    </row>
    <row r="109" spans="1:14" ht="13.5" thickBot="1">
      <c r="A109" s="341" t="s">
        <v>126</v>
      </c>
      <c r="B109" s="342">
        <f t="shared" ref="B109:N109" si="15">SUM(B101:B108)</f>
        <v>361978.5</v>
      </c>
      <c r="C109" s="342">
        <f t="shared" si="15"/>
        <v>382846.25</v>
      </c>
      <c r="D109" s="342">
        <f t="shared" si="15"/>
        <v>317020</v>
      </c>
      <c r="E109" s="342">
        <f t="shared" si="15"/>
        <v>353970</v>
      </c>
      <c r="F109" s="342">
        <f t="shared" si="15"/>
        <v>365695.25</v>
      </c>
      <c r="G109" s="342">
        <f t="shared" si="15"/>
        <v>294285.5</v>
      </c>
      <c r="H109" s="342">
        <f t="shared" si="15"/>
        <v>319729.5</v>
      </c>
      <c r="I109" s="342">
        <f t="shared" si="15"/>
        <v>436975.5</v>
      </c>
      <c r="J109" s="342">
        <f t="shared" si="15"/>
        <v>456879</v>
      </c>
      <c r="K109" s="342">
        <f t="shared" si="15"/>
        <v>432603</v>
      </c>
      <c r="L109" s="342">
        <f t="shared" si="15"/>
        <v>308964.5</v>
      </c>
      <c r="M109" s="342">
        <f t="shared" si="15"/>
        <v>28916</v>
      </c>
      <c r="N109" s="342">
        <f t="shared" si="15"/>
        <v>4059863</v>
      </c>
    </row>
    <row r="110" spans="1:14">
      <c r="A110" s="336" t="s">
        <v>127</v>
      </c>
      <c r="B110" s="343" t="s">
        <v>392</v>
      </c>
      <c r="C110" s="344">
        <v>19150</v>
      </c>
      <c r="D110" s="344"/>
      <c r="E110" s="344">
        <v>6498</v>
      </c>
      <c r="F110" s="344">
        <v>50883.34</v>
      </c>
      <c r="G110" s="344"/>
      <c r="H110" s="344"/>
      <c r="I110" s="344"/>
      <c r="J110" s="344"/>
      <c r="K110" s="344">
        <v>24248.2</v>
      </c>
      <c r="L110" s="344"/>
      <c r="M110" s="344">
        <v>23746</v>
      </c>
      <c r="N110" s="337">
        <f>SUM(B110:M110)</f>
        <v>124525.54</v>
      </c>
    </row>
    <row r="111" spans="1:14">
      <c r="A111" s="345" t="s">
        <v>129</v>
      </c>
      <c r="B111" s="346">
        <f t="shared" ref="B111:N111" si="16">SUM(B100,B109,B110)</f>
        <v>1450109.9166666667</v>
      </c>
      <c r="C111" s="346">
        <f t="shared" si="16"/>
        <v>1490127.6666666667</v>
      </c>
      <c r="D111" s="346">
        <f t="shared" si="16"/>
        <v>1405151.4166666667</v>
      </c>
      <c r="E111" s="346">
        <f t="shared" si="16"/>
        <v>1448599.4166666667</v>
      </c>
      <c r="F111" s="346">
        <f t="shared" si="16"/>
        <v>1504710.0066666668</v>
      </c>
      <c r="G111" s="346">
        <f t="shared" si="16"/>
        <v>1382416.9166666667</v>
      </c>
      <c r="H111" s="346">
        <f t="shared" si="16"/>
        <v>1407860.9166666667</v>
      </c>
      <c r="I111" s="346">
        <f t="shared" si="16"/>
        <v>1525106.9166666667</v>
      </c>
      <c r="J111" s="346">
        <f t="shared" si="16"/>
        <v>1545010.4166666667</v>
      </c>
      <c r="K111" s="346">
        <f t="shared" si="16"/>
        <v>1544982.6166666667</v>
      </c>
      <c r="L111" s="346">
        <f t="shared" si="16"/>
        <v>1397095.9166666667</v>
      </c>
      <c r="M111" s="346">
        <f t="shared" si="16"/>
        <v>1140793.4166666667</v>
      </c>
      <c r="N111" s="346">
        <f t="shared" si="16"/>
        <v>17241965.539999999</v>
      </c>
    </row>
    <row r="112" spans="1:14">
      <c r="A112" s="347" t="s">
        <v>131</v>
      </c>
      <c r="B112" s="331">
        <v>1356361.31</v>
      </c>
      <c r="C112" s="331">
        <v>1459863</v>
      </c>
      <c r="D112" s="331">
        <v>1240208</v>
      </c>
      <c r="E112" s="331">
        <v>1541509</v>
      </c>
      <c r="F112" s="331">
        <v>1501129</v>
      </c>
      <c r="G112" s="331">
        <v>1318965</v>
      </c>
      <c r="H112" s="331">
        <v>1333191</v>
      </c>
      <c r="I112" s="331">
        <v>1213285</v>
      </c>
      <c r="J112" s="331">
        <v>1404274</v>
      </c>
      <c r="K112" s="331">
        <v>1302418</v>
      </c>
      <c r="L112" s="331">
        <v>1370012</v>
      </c>
      <c r="M112" s="331"/>
      <c r="N112" s="348">
        <f>SUM(B112:M112)</f>
        <v>15041215.310000001</v>
      </c>
    </row>
    <row r="113" spans="1:14" ht="13.5" thickBot="1">
      <c r="A113" s="349" t="s">
        <v>130</v>
      </c>
      <c r="B113" s="331">
        <v>10000</v>
      </c>
      <c r="C113" s="331">
        <v>10000</v>
      </c>
      <c r="D113" s="331">
        <v>10000</v>
      </c>
      <c r="E113" s="331">
        <v>10000</v>
      </c>
      <c r="F113" s="331">
        <v>10000</v>
      </c>
      <c r="G113" s="331">
        <v>10000</v>
      </c>
      <c r="H113" s="331">
        <v>10000</v>
      </c>
      <c r="I113" s="331">
        <v>10000</v>
      </c>
      <c r="J113" s="331">
        <v>10000</v>
      </c>
      <c r="K113" s="331">
        <v>10000</v>
      </c>
      <c r="L113" s="331">
        <v>10000</v>
      </c>
      <c r="M113" s="331">
        <v>10000</v>
      </c>
      <c r="N113" s="331">
        <f>SUM(B113:M113)</f>
        <v>120000</v>
      </c>
    </row>
    <row r="114" spans="1:14" ht="13.5" thickBot="1">
      <c r="A114" s="350" t="s">
        <v>146</v>
      </c>
      <c r="B114" s="351">
        <f t="shared" ref="B114:N114" si="17">SUM(B111-B112-B113)</f>
        <v>83748.606666666688</v>
      </c>
      <c r="C114" s="351">
        <f t="shared" si="17"/>
        <v>20264.666666666744</v>
      </c>
      <c r="D114" s="351">
        <f t="shared" si="17"/>
        <v>154943.41666666674</v>
      </c>
      <c r="E114" s="351">
        <f t="shared" si="17"/>
        <v>-102909.58333333326</v>
      </c>
      <c r="F114" s="351">
        <f t="shared" si="17"/>
        <v>-6418.9933333331719</v>
      </c>
      <c r="G114" s="351">
        <f t="shared" si="17"/>
        <v>53451.916666666744</v>
      </c>
      <c r="H114" s="351">
        <f t="shared" si="17"/>
        <v>64669.916666666744</v>
      </c>
      <c r="I114" s="351">
        <f t="shared" si="17"/>
        <v>301821.91666666674</v>
      </c>
      <c r="J114" s="351">
        <f t="shared" si="17"/>
        <v>130736.41666666674</v>
      </c>
      <c r="K114" s="351">
        <f t="shared" si="17"/>
        <v>232564.6166666667</v>
      </c>
      <c r="L114" s="351">
        <f t="shared" si="17"/>
        <v>17083.916666666744</v>
      </c>
      <c r="M114" s="351">
        <f t="shared" si="17"/>
        <v>1130793.4166666667</v>
      </c>
      <c r="N114" s="351">
        <f t="shared" si="17"/>
        <v>2080750.2299999986</v>
      </c>
    </row>
    <row r="115" spans="1:14" ht="13.5" thickBot="1">
      <c r="A115" s="352"/>
      <c r="B115" s="353"/>
      <c r="C115" s="353"/>
      <c r="D115" s="353"/>
      <c r="E115" s="353"/>
      <c r="F115" s="353"/>
      <c r="G115" s="353"/>
      <c r="H115" s="353"/>
      <c r="I115" s="353"/>
      <c r="J115" s="353"/>
      <c r="K115" s="353"/>
      <c r="L115" s="353"/>
      <c r="M115" s="353"/>
      <c r="N115" s="353"/>
    </row>
    <row r="116" spans="1:14" ht="20.25">
      <c r="A116" s="825" t="s">
        <v>393</v>
      </c>
      <c r="B116" s="825"/>
      <c r="C116" s="825"/>
      <c r="D116" s="825"/>
      <c r="E116" s="825"/>
      <c r="F116" s="825"/>
      <c r="G116" s="825"/>
      <c r="H116" s="825"/>
      <c r="I116" s="825"/>
      <c r="J116" s="825"/>
      <c r="K116" s="825"/>
      <c r="L116" s="825"/>
      <c r="M116" s="825"/>
      <c r="N116" s="825"/>
    </row>
    <row r="117" spans="1:14">
      <c r="A117" s="227"/>
      <c r="B117" s="227"/>
      <c r="C117" s="227"/>
      <c r="D117" s="227"/>
      <c r="E117" s="227"/>
      <c r="F117" s="227"/>
      <c r="G117" s="227"/>
      <c r="H117" s="227"/>
      <c r="I117" s="227"/>
      <c r="J117" s="227"/>
      <c r="K117" s="227"/>
      <c r="L117" s="227"/>
      <c r="M117" s="227"/>
    </row>
    <row r="118" spans="1:14">
      <c r="A118" s="228"/>
      <c r="B118" s="229" t="s">
        <v>44</v>
      </c>
      <c r="C118" s="229" t="s">
        <v>45</v>
      </c>
      <c r="D118" s="230" t="s">
        <v>46</v>
      </c>
      <c r="E118" s="229" t="s">
        <v>47</v>
      </c>
      <c r="F118" s="229" t="s">
        <v>48</v>
      </c>
      <c r="G118" s="230" t="s">
        <v>49</v>
      </c>
      <c r="H118" s="229" t="s">
        <v>38</v>
      </c>
      <c r="I118" s="229" t="s">
        <v>39</v>
      </c>
      <c r="J118" s="229" t="s">
        <v>40</v>
      </c>
      <c r="K118" s="229" t="s">
        <v>41</v>
      </c>
      <c r="L118" s="229" t="s">
        <v>42</v>
      </c>
      <c r="M118" s="229" t="s">
        <v>43</v>
      </c>
      <c r="N118" s="228" t="s">
        <v>64</v>
      </c>
    </row>
    <row r="119" spans="1:14">
      <c r="A119" s="231" t="s">
        <v>65</v>
      </c>
      <c r="B119" s="232">
        <v>2886</v>
      </c>
      <c r="C119" s="232">
        <v>2886</v>
      </c>
      <c r="D119" s="232">
        <v>2886</v>
      </c>
      <c r="E119" s="232">
        <v>2886</v>
      </c>
      <c r="F119" s="232">
        <v>2886</v>
      </c>
      <c r="G119" s="232">
        <v>2886</v>
      </c>
      <c r="H119" s="232">
        <v>2886</v>
      </c>
      <c r="I119" s="232">
        <v>2886</v>
      </c>
      <c r="J119" s="232">
        <v>2886</v>
      </c>
      <c r="K119" s="232">
        <v>2886</v>
      </c>
      <c r="L119" s="232">
        <v>2886</v>
      </c>
      <c r="M119" s="232">
        <v>2886</v>
      </c>
      <c r="N119" s="232">
        <f t="shared" ref="N119:N130" si="18">SUM(B119:M119)</f>
        <v>34632</v>
      </c>
    </row>
    <row r="120" spans="1:14">
      <c r="A120" s="231" t="s">
        <v>66</v>
      </c>
      <c r="B120" s="232"/>
      <c r="C120" s="232">
        <v>6.5</v>
      </c>
      <c r="D120" s="232"/>
      <c r="E120" s="232"/>
      <c r="F120" s="232"/>
      <c r="G120" s="233"/>
      <c r="H120" s="232"/>
      <c r="I120" s="232"/>
      <c r="J120" s="234"/>
      <c r="K120" s="232"/>
      <c r="L120" s="232"/>
      <c r="M120" s="232"/>
      <c r="N120" s="232">
        <f t="shared" si="18"/>
        <v>6.5</v>
      </c>
    </row>
    <row r="121" spans="1:14">
      <c r="A121" s="231" t="s">
        <v>148</v>
      </c>
      <c r="B121" s="232"/>
      <c r="C121" s="232"/>
      <c r="D121" s="232"/>
      <c r="E121" s="232"/>
      <c r="F121" s="232"/>
      <c r="G121" s="233"/>
      <c r="H121" s="232"/>
      <c r="I121" s="232"/>
      <c r="J121" s="232"/>
      <c r="K121" s="232"/>
      <c r="L121" s="232"/>
      <c r="M121" s="228"/>
      <c r="N121" s="232">
        <f t="shared" si="18"/>
        <v>0</v>
      </c>
    </row>
    <row r="122" spans="1:14">
      <c r="A122" s="231" t="s">
        <v>69</v>
      </c>
      <c r="B122" s="232">
        <v>148</v>
      </c>
      <c r="C122" s="232">
        <v>185</v>
      </c>
      <c r="D122" s="232">
        <v>112.75</v>
      </c>
      <c r="E122" s="232">
        <v>226.5</v>
      </c>
      <c r="F122" s="232">
        <v>102.5</v>
      </c>
      <c r="G122" s="233">
        <v>81.75</v>
      </c>
      <c r="H122" s="232">
        <v>1529</v>
      </c>
      <c r="I122" s="232">
        <v>518.5</v>
      </c>
      <c r="J122" s="232">
        <v>37</v>
      </c>
      <c r="K122" s="232">
        <v>148</v>
      </c>
      <c r="L122" s="232">
        <v>89.5</v>
      </c>
      <c r="M122" s="232"/>
      <c r="N122" s="232">
        <f t="shared" si="18"/>
        <v>3178.5</v>
      </c>
    </row>
    <row r="123" spans="1:14">
      <c r="A123" s="231" t="s">
        <v>70</v>
      </c>
      <c r="B123" s="232"/>
      <c r="C123" s="232">
        <v>37</v>
      </c>
      <c r="D123" s="232"/>
      <c r="E123" s="232">
        <v>69</v>
      </c>
      <c r="F123" s="232"/>
      <c r="G123" s="233"/>
      <c r="H123" s="232"/>
      <c r="I123" s="232">
        <v>6</v>
      </c>
      <c r="J123" s="232"/>
      <c r="K123" s="232">
        <v>29.25</v>
      </c>
      <c r="L123" s="232">
        <v>7.75</v>
      </c>
      <c r="M123" s="232"/>
      <c r="N123" s="232">
        <f t="shared" si="18"/>
        <v>149</v>
      </c>
    </row>
    <row r="124" spans="1:14">
      <c r="A124" s="231" t="s">
        <v>71</v>
      </c>
      <c r="B124" s="232">
        <v>27.5</v>
      </c>
      <c r="C124" s="232">
        <v>68</v>
      </c>
      <c r="D124" s="232">
        <v>23.25</v>
      </c>
      <c r="E124" s="232">
        <v>44.75</v>
      </c>
      <c r="F124" s="232">
        <v>23.25</v>
      </c>
      <c r="G124" s="233">
        <v>140.25</v>
      </c>
      <c r="H124" s="232">
        <v>37</v>
      </c>
      <c r="I124" s="232">
        <v>111.5</v>
      </c>
      <c r="J124" s="232">
        <v>42.25</v>
      </c>
      <c r="K124" s="232">
        <v>58.5</v>
      </c>
      <c r="L124" s="232">
        <v>37</v>
      </c>
      <c r="M124" s="232"/>
      <c r="N124" s="232">
        <f t="shared" si="18"/>
        <v>613.25</v>
      </c>
    </row>
    <row r="125" spans="1:14">
      <c r="A125" s="231" t="s">
        <v>72</v>
      </c>
      <c r="B125" s="232">
        <v>7.75</v>
      </c>
      <c r="C125" s="232"/>
      <c r="D125" s="232">
        <v>7.75</v>
      </c>
      <c r="E125" s="232"/>
      <c r="F125" s="232"/>
      <c r="G125" s="233"/>
      <c r="H125" s="232">
        <v>6</v>
      </c>
      <c r="I125" s="232"/>
      <c r="J125" s="232"/>
      <c r="K125" s="232"/>
      <c r="L125" s="232"/>
      <c r="M125" s="232"/>
      <c r="N125" s="232">
        <f t="shared" si="18"/>
        <v>21.5</v>
      </c>
    </row>
    <row r="126" spans="1:14">
      <c r="A126" s="231" t="s">
        <v>73</v>
      </c>
      <c r="B126" s="232">
        <v>42</v>
      </c>
      <c r="C126" s="232">
        <v>146.25</v>
      </c>
      <c r="D126" s="232">
        <v>12</v>
      </c>
      <c r="E126" s="232">
        <v>49</v>
      </c>
      <c r="F126" s="232">
        <v>52.5</v>
      </c>
      <c r="G126" s="233">
        <v>104.75</v>
      </c>
      <c r="H126" s="232">
        <v>49</v>
      </c>
      <c r="I126" s="232">
        <v>44</v>
      </c>
      <c r="J126" s="232">
        <v>137.5</v>
      </c>
      <c r="K126" s="232">
        <v>171</v>
      </c>
      <c r="L126" s="232">
        <v>64.5</v>
      </c>
      <c r="M126" s="232"/>
      <c r="N126" s="232">
        <f t="shared" si="18"/>
        <v>872.5</v>
      </c>
    </row>
    <row r="127" spans="1:14">
      <c r="A127" s="231" t="s">
        <v>74</v>
      </c>
      <c r="B127" s="232"/>
      <c r="C127" s="232"/>
      <c r="D127" s="232"/>
      <c r="E127" s="232"/>
      <c r="F127" s="232"/>
      <c r="G127" s="233"/>
      <c r="H127" s="232"/>
      <c r="I127" s="232"/>
      <c r="J127" s="232"/>
      <c r="K127" s="232"/>
      <c r="L127" s="232"/>
      <c r="M127" s="232"/>
      <c r="N127" s="232">
        <f t="shared" si="18"/>
        <v>0</v>
      </c>
    </row>
    <row r="128" spans="1:14">
      <c r="A128" s="231" t="s">
        <v>75</v>
      </c>
      <c r="B128" s="232">
        <v>130</v>
      </c>
      <c r="C128" s="232">
        <v>187.5</v>
      </c>
      <c r="D128" s="232">
        <v>210.75</v>
      </c>
      <c r="E128" s="232">
        <v>47.5</v>
      </c>
      <c r="F128" s="232">
        <v>31.5</v>
      </c>
      <c r="G128" s="233">
        <v>6</v>
      </c>
      <c r="H128" s="232"/>
      <c r="I128" s="232"/>
      <c r="J128" s="232">
        <v>23.25</v>
      </c>
      <c r="K128" s="232">
        <v>40.25</v>
      </c>
      <c r="L128" s="232">
        <v>124</v>
      </c>
      <c r="M128" s="232"/>
      <c r="N128" s="232">
        <f t="shared" si="18"/>
        <v>800.75</v>
      </c>
    </row>
    <row r="129" spans="1:14" ht="13.5" thickBot="1">
      <c r="A129" s="235" t="s">
        <v>76</v>
      </c>
      <c r="B129" s="236">
        <v>13.75</v>
      </c>
      <c r="C129" s="236">
        <v>23.25</v>
      </c>
      <c r="D129" s="236">
        <v>7.75</v>
      </c>
      <c r="E129" s="236">
        <v>6</v>
      </c>
      <c r="F129" s="236"/>
      <c r="G129" s="237">
        <v>6</v>
      </c>
      <c r="H129" s="236"/>
      <c r="I129" s="236"/>
      <c r="J129" s="236"/>
      <c r="K129" s="236">
        <v>7.75</v>
      </c>
      <c r="L129" s="236"/>
      <c r="M129" s="236"/>
      <c r="N129" s="238">
        <f t="shared" si="18"/>
        <v>64.5</v>
      </c>
    </row>
    <row r="130" spans="1:14" ht="13.5" thickBot="1">
      <c r="A130" s="239" t="s">
        <v>77</v>
      </c>
      <c r="B130" s="240">
        <f t="shared" ref="B130:M130" si="19">SUM(B119+B120+B121-B122-B123-B124-B126-B127-B128-B129)</f>
        <v>2524.75</v>
      </c>
      <c r="C130" s="240">
        <f t="shared" si="19"/>
        <v>2245.5</v>
      </c>
      <c r="D130" s="240">
        <f t="shared" si="19"/>
        <v>2519.5</v>
      </c>
      <c r="E130" s="240">
        <f t="shared" si="19"/>
        <v>2443.25</v>
      </c>
      <c r="F130" s="240">
        <f t="shared" si="19"/>
        <v>2676.25</v>
      </c>
      <c r="G130" s="354">
        <f t="shared" si="19"/>
        <v>2547.25</v>
      </c>
      <c r="H130" s="240">
        <f t="shared" si="19"/>
        <v>1271</v>
      </c>
      <c r="I130" s="240">
        <f t="shared" si="19"/>
        <v>2206</v>
      </c>
      <c r="J130" s="240">
        <f t="shared" si="19"/>
        <v>2646</v>
      </c>
      <c r="K130" s="240">
        <f t="shared" si="19"/>
        <v>2431.25</v>
      </c>
      <c r="L130" s="240">
        <f t="shared" si="19"/>
        <v>2563.25</v>
      </c>
      <c r="M130" s="241">
        <f t="shared" si="19"/>
        <v>2886</v>
      </c>
      <c r="N130" s="242">
        <f t="shared" si="18"/>
        <v>28960</v>
      </c>
    </row>
    <row r="131" spans="1:14">
      <c r="A131" s="243"/>
      <c r="B131" s="244"/>
      <c r="C131" s="244"/>
      <c r="D131" s="244"/>
      <c r="E131" s="244"/>
      <c r="F131" s="244"/>
      <c r="G131" s="244"/>
      <c r="H131" s="244"/>
      <c r="I131" s="244"/>
      <c r="J131" s="244"/>
      <c r="K131" s="244"/>
      <c r="L131" s="244"/>
      <c r="M131" s="244"/>
      <c r="N131" s="244"/>
    </row>
    <row r="132" spans="1:14">
      <c r="A132" s="243"/>
      <c r="B132" s="244"/>
      <c r="C132" s="244"/>
      <c r="D132" s="244"/>
      <c r="E132" s="244"/>
      <c r="F132" s="244"/>
      <c r="G132" s="244"/>
      <c r="H132" s="244"/>
      <c r="I132" s="244"/>
      <c r="J132" s="244"/>
      <c r="K132" s="244"/>
      <c r="L132" s="244"/>
      <c r="M132" s="244"/>
      <c r="N132" s="245" t="s">
        <v>78</v>
      </c>
    </row>
    <row r="133" spans="1:14">
      <c r="A133" s="231" t="s">
        <v>79</v>
      </c>
      <c r="B133" s="232">
        <f t="shared" ref="B133:M133" si="20">SUM(B120*100/B130)</f>
        <v>0</v>
      </c>
      <c r="C133" s="232">
        <f t="shared" si="20"/>
        <v>0.28946782453796482</v>
      </c>
      <c r="D133" s="232">
        <f t="shared" si="20"/>
        <v>0</v>
      </c>
      <c r="E133" s="232">
        <f t="shared" si="20"/>
        <v>0</v>
      </c>
      <c r="F133" s="232">
        <f t="shared" si="20"/>
        <v>0</v>
      </c>
      <c r="G133" s="232">
        <f t="shared" si="20"/>
        <v>0</v>
      </c>
      <c r="H133" s="232">
        <f t="shared" si="20"/>
        <v>0</v>
      </c>
      <c r="I133" s="232">
        <f t="shared" si="20"/>
        <v>0</v>
      </c>
      <c r="J133" s="232">
        <f t="shared" si="20"/>
        <v>0</v>
      </c>
      <c r="K133" s="232">
        <f t="shared" si="20"/>
        <v>0</v>
      </c>
      <c r="L133" s="232">
        <f t="shared" si="20"/>
        <v>0</v>
      </c>
      <c r="M133" s="232">
        <f t="shared" si="20"/>
        <v>0</v>
      </c>
      <c r="N133" s="246">
        <f>SUM(B133:M133)/12</f>
        <v>2.412231871149707E-2</v>
      </c>
    </row>
    <row r="134" spans="1:14">
      <c r="A134" s="243"/>
      <c r="B134" s="244"/>
      <c r="C134" s="244"/>
      <c r="D134" s="244"/>
      <c r="E134" s="244"/>
      <c r="F134" s="244"/>
      <c r="G134" s="244"/>
      <c r="H134" s="244"/>
      <c r="I134" s="244"/>
      <c r="J134" s="244"/>
      <c r="K134" s="244"/>
      <c r="L134" s="244"/>
      <c r="M134" s="244"/>
      <c r="N134" s="227"/>
    </row>
    <row r="135" spans="1:14">
      <c r="A135" s="231" t="s">
        <v>80</v>
      </c>
      <c r="B135" s="232">
        <f t="shared" ref="B135:M135" si="21">SUM(B124*100/B130)</f>
        <v>1.0892167541340727</v>
      </c>
      <c r="C135" s="232">
        <f t="shared" si="21"/>
        <v>3.0282787797817856</v>
      </c>
      <c r="D135" s="232">
        <f t="shared" si="21"/>
        <v>0.92280214328239729</v>
      </c>
      <c r="E135" s="232">
        <f t="shared" si="21"/>
        <v>1.8315767932057709</v>
      </c>
      <c r="F135" s="232">
        <f t="shared" si="21"/>
        <v>0.86875291919663711</v>
      </c>
      <c r="G135" s="232">
        <f t="shared" si="21"/>
        <v>5.5059377760329768</v>
      </c>
      <c r="H135" s="232">
        <f t="shared" si="21"/>
        <v>2.9110936270653029</v>
      </c>
      <c r="I135" s="232">
        <f t="shared" si="21"/>
        <v>5.0543970988213962</v>
      </c>
      <c r="J135" s="232">
        <f t="shared" si="21"/>
        <v>1.5967498110355254</v>
      </c>
      <c r="K135" s="232">
        <f t="shared" si="21"/>
        <v>2.4061696658097684</v>
      </c>
      <c r="L135" s="232">
        <f t="shared" si="21"/>
        <v>1.4434799570857311</v>
      </c>
      <c r="M135" s="232">
        <f t="shared" si="21"/>
        <v>0</v>
      </c>
      <c r="N135" s="246">
        <f>SUM(B135:M135)/12</f>
        <v>2.2215379437876139</v>
      </c>
    </row>
    <row r="136" spans="1:14" ht="13.5" thickBot="1">
      <c r="A136" s="247" t="s">
        <v>81</v>
      </c>
      <c r="B136" s="238">
        <f t="shared" ref="B136:M136" si="22">SUM(B125*100/B130)</f>
        <v>0.30696108525596594</v>
      </c>
      <c r="C136" s="238">
        <f t="shared" si="22"/>
        <v>0</v>
      </c>
      <c r="D136" s="238">
        <f t="shared" si="22"/>
        <v>0.30760071442746578</v>
      </c>
      <c r="E136" s="238">
        <f t="shared" si="22"/>
        <v>0</v>
      </c>
      <c r="F136" s="238">
        <f t="shared" si="22"/>
        <v>0</v>
      </c>
      <c r="G136" s="238">
        <f t="shared" si="22"/>
        <v>0</v>
      </c>
      <c r="H136" s="238">
        <f t="shared" si="22"/>
        <v>0.47206923682140045</v>
      </c>
      <c r="I136" s="238">
        <f t="shared" si="22"/>
        <v>0</v>
      </c>
      <c r="J136" s="238">
        <f t="shared" si="22"/>
        <v>0</v>
      </c>
      <c r="K136" s="238">
        <f t="shared" si="22"/>
        <v>0</v>
      </c>
      <c r="L136" s="238">
        <f t="shared" si="22"/>
        <v>0</v>
      </c>
      <c r="M136" s="238">
        <f t="shared" si="22"/>
        <v>0</v>
      </c>
      <c r="N136" s="248">
        <f>SUM(B136:M136)/12</f>
        <v>9.0552586375402686E-2</v>
      </c>
    </row>
    <row r="137" spans="1:14" ht="13.5" thickBot="1">
      <c r="A137" s="249" t="s">
        <v>82</v>
      </c>
      <c r="B137" s="250">
        <f t="shared" ref="B137:M137" si="23">SUM(B135:B135)</f>
        <v>1.0892167541340727</v>
      </c>
      <c r="C137" s="250">
        <f t="shared" si="23"/>
        <v>3.0282787797817856</v>
      </c>
      <c r="D137" s="250">
        <f t="shared" si="23"/>
        <v>0.92280214328239729</v>
      </c>
      <c r="E137" s="250">
        <f t="shared" si="23"/>
        <v>1.8315767932057709</v>
      </c>
      <c r="F137" s="250">
        <f t="shared" si="23"/>
        <v>0.86875291919663711</v>
      </c>
      <c r="G137" s="250">
        <f t="shared" si="23"/>
        <v>5.5059377760329768</v>
      </c>
      <c r="H137" s="250">
        <f t="shared" si="23"/>
        <v>2.9110936270653029</v>
      </c>
      <c r="I137" s="250">
        <f t="shared" si="23"/>
        <v>5.0543970988213962</v>
      </c>
      <c r="J137" s="250">
        <f t="shared" si="23"/>
        <v>1.5967498110355254</v>
      </c>
      <c r="K137" s="250">
        <f t="shared" si="23"/>
        <v>2.4061696658097684</v>
      </c>
      <c r="L137" s="250">
        <f t="shared" si="23"/>
        <v>1.4434799570857311</v>
      </c>
      <c r="M137" s="250">
        <f t="shared" si="23"/>
        <v>0</v>
      </c>
      <c r="N137" s="251">
        <f>SUM(N135:N136)</f>
        <v>2.3120905301630166</v>
      </c>
    </row>
    <row r="138" spans="1:14">
      <c r="A138" s="243" t="s">
        <v>83</v>
      </c>
      <c r="B138" s="244"/>
      <c r="C138" s="244"/>
      <c r="D138" s="252">
        <f>SUM(B137:D137)/3</f>
        <v>1.6800992257327518</v>
      </c>
      <c r="E138" s="244"/>
      <c r="F138" s="244"/>
      <c r="G138" s="252">
        <f>SUM(E137,F137,G137)/3</f>
        <v>2.7354224961451283</v>
      </c>
      <c r="H138" s="244"/>
      <c r="I138" s="244"/>
      <c r="J138" s="252">
        <f>SUM(H137,I137,J137)/3</f>
        <v>3.1874135123074083</v>
      </c>
      <c r="K138" s="244"/>
      <c r="L138" s="244"/>
      <c r="M138" s="252">
        <f>SUM(K137,L137,M137)/3</f>
        <v>1.2832165409651666</v>
      </c>
      <c r="N138" s="253">
        <f>SUM(D138:M138)/4</f>
        <v>2.2215379437876139</v>
      </c>
    </row>
    <row r="139" spans="1:14">
      <c r="A139" s="243" t="s">
        <v>84</v>
      </c>
      <c r="B139" s="244"/>
      <c r="C139" s="244"/>
      <c r="D139" s="254"/>
      <c r="E139" s="244"/>
      <c r="F139" s="244"/>
      <c r="G139" s="254"/>
      <c r="H139" s="244"/>
      <c r="I139" s="244"/>
      <c r="J139" s="254"/>
      <c r="K139" s="244"/>
      <c r="L139" s="244"/>
      <c r="M139" s="254"/>
      <c r="N139" s="246">
        <f>SUM(D139:G139,J139,M139)/4</f>
        <v>0</v>
      </c>
    </row>
    <row r="140" spans="1:14">
      <c r="A140" s="243"/>
      <c r="B140" s="244"/>
      <c r="C140" s="244"/>
      <c r="D140" s="244"/>
      <c r="E140" s="244"/>
      <c r="F140" s="244"/>
      <c r="G140" s="244"/>
      <c r="H140" s="244"/>
      <c r="I140" s="244"/>
      <c r="J140" s="244"/>
      <c r="K140" s="244"/>
      <c r="L140" s="244"/>
      <c r="M140" s="244"/>
      <c r="N140" s="244"/>
    </row>
    <row r="141" spans="1:14">
      <c r="A141" s="231" t="s">
        <v>85</v>
      </c>
      <c r="B141" s="232">
        <f t="shared" ref="B141:M141" si="24">B128*100/B130</f>
        <v>5.1490246559065254</v>
      </c>
      <c r="C141" s="232">
        <f t="shared" si="24"/>
        <v>8.3500334001336007</v>
      </c>
      <c r="D141" s="232">
        <f t="shared" si="24"/>
        <v>8.3647549116888271</v>
      </c>
      <c r="E141" s="232">
        <f t="shared" si="24"/>
        <v>1.9441317916709302</v>
      </c>
      <c r="F141" s="232">
        <f t="shared" si="24"/>
        <v>1.1770200840728631</v>
      </c>
      <c r="G141" s="232">
        <f t="shared" si="24"/>
        <v>0.23554814015114339</v>
      </c>
      <c r="H141" s="232">
        <f t="shared" si="24"/>
        <v>0</v>
      </c>
      <c r="I141" s="232">
        <f t="shared" si="24"/>
        <v>0</v>
      </c>
      <c r="J141" s="232">
        <f t="shared" si="24"/>
        <v>0.87868480725623588</v>
      </c>
      <c r="K141" s="232">
        <f t="shared" si="24"/>
        <v>1.6555269922879177</v>
      </c>
      <c r="L141" s="232">
        <f t="shared" si="24"/>
        <v>4.8376085048278554</v>
      </c>
      <c r="M141" s="232">
        <f t="shared" si="24"/>
        <v>0</v>
      </c>
      <c r="N141" s="246">
        <f>SUM(B141:M141)/12</f>
        <v>2.7160277739996581</v>
      </c>
    </row>
    <row r="142" spans="1:14">
      <c r="A142" s="231" t="s">
        <v>86</v>
      </c>
      <c r="B142" s="232">
        <f t="shared" ref="B142:M142" si="25">B126*100/B130</f>
        <v>1.6635310426774927</v>
      </c>
      <c r="C142" s="232">
        <f t="shared" si="25"/>
        <v>6.513026052104208</v>
      </c>
      <c r="D142" s="232">
        <f t="shared" si="25"/>
        <v>0.47628497717801149</v>
      </c>
      <c r="E142" s="232">
        <f t="shared" si="25"/>
        <v>2.0055254271973806</v>
      </c>
      <c r="F142" s="232">
        <f t="shared" si="25"/>
        <v>1.9617001401214387</v>
      </c>
      <c r="G142" s="232">
        <f t="shared" si="25"/>
        <v>4.1122779468053787</v>
      </c>
      <c r="H142" s="232">
        <f t="shared" si="25"/>
        <v>3.8552321007081041</v>
      </c>
      <c r="I142" s="232">
        <f t="shared" si="25"/>
        <v>1.9945602901178603</v>
      </c>
      <c r="J142" s="232">
        <f t="shared" si="25"/>
        <v>5.1965230536659108</v>
      </c>
      <c r="K142" s="232">
        <f t="shared" si="25"/>
        <v>7.033419023136247</v>
      </c>
      <c r="L142" s="232">
        <f t="shared" si="25"/>
        <v>2.5163366819467474</v>
      </c>
      <c r="M142" s="232">
        <f t="shared" si="25"/>
        <v>0</v>
      </c>
      <c r="N142" s="246">
        <f>SUM(B142:M142)/12</f>
        <v>3.1107013946382316</v>
      </c>
    </row>
    <row r="143" spans="1:14" ht="13.5" thickBot="1">
      <c r="A143" s="231" t="s">
        <v>87</v>
      </c>
      <c r="B143" s="232">
        <f t="shared" ref="B143:M143" si="26">B122*100/B130</f>
        <v>5.8619665313397364</v>
      </c>
      <c r="C143" s="232">
        <f t="shared" si="26"/>
        <v>8.2386996214651518</v>
      </c>
      <c r="D143" s="232">
        <f t="shared" si="26"/>
        <v>4.4750942647350662</v>
      </c>
      <c r="E143" s="232">
        <f t="shared" si="26"/>
        <v>9.2704389644940139</v>
      </c>
      <c r="F143" s="232">
        <f t="shared" si="26"/>
        <v>3.829985987856142</v>
      </c>
      <c r="G143" s="232">
        <f t="shared" si="26"/>
        <v>3.2093434095593287</v>
      </c>
      <c r="H143" s="232">
        <f t="shared" si="26"/>
        <v>120.29897718332022</v>
      </c>
      <c r="I143" s="232">
        <f t="shared" si="26"/>
        <v>23.504079782411605</v>
      </c>
      <c r="J143" s="232">
        <f t="shared" si="26"/>
        <v>1.398337112622827</v>
      </c>
      <c r="K143" s="232">
        <f t="shared" si="26"/>
        <v>6.0874035989717221</v>
      </c>
      <c r="L143" s="232">
        <f t="shared" si="26"/>
        <v>3.4916609772749441</v>
      </c>
      <c r="M143" s="232">
        <f t="shared" si="26"/>
        <v>0</v>
      </c>
      <c r="N143" s="246">
        <f>SUM(B143:M143)/12</f>
        <v>15.805498952837562</v>
      </c>
    </row>
    <row r="144" spans="1:14" ht="13.5" thickBot="1">
      <c r="A144" s="255" t="s">
        <v>88</v>
      </c>
      <c r="B144" s="256">
        <f t="shared" ref="B144:M144" si="27">SUM(B119-B130)*100/B130</f>
        <v>14.308347361124865</v>
      </c>
      <c r="C144" s="256">
        <f t="shared" si="27"/>
        <v>28.523714094856381</v>
      </c>
      <c r="D144" s="256">
        <f t="shared" si="27"/>
        <v>14.546537011311768</v>
      </c>
      <c r="E144" s="256">
        <f t="shared" si="27"/>
        <v>18.121354752890618</v>
      </c>
      <c r="F144" s="256">
        <f t="shared" si="27"/>
        <v>7.8374591312470807</v>
      </c>
      <c r="G144" s="256">
        <f t="shared" si="27"/>
        <v>13.29865541269997</v>
      </c>
      <c r="H144" s="256">
        <f t="shared" si="27"/>
        <v>127.06530291109362</v>
      </c>
      <c r="I144" s="256">
        <f t="shared" si="27"/>
        <v>30.825022665457841</v>
      </c>
      <c r="J144" s="256">
        <f t="shared" si="27"/>
        <v>9.0702947845804989</v>
      </c>
      <c r="K144" s="256">
        <f t="shared" si="27"/>
        <v>18.704370179948587</v>
      </c>
      <c r="L144" s="256">
        <f t="shared" si="27"/>
        <v>12.591436652687019</v>
      </c>
      <c r="M144" s="256">
        <f t="shared" si="27"/>
        <v>0</v>
      </c>
      <c r="N144" s="257">
        <f>SUM(B144:M144)/12</f>
        <v>24.574374579824859</v>
      </c>
    </row>
    <row r="145" spans="1:14">
      <c r="A145" s="243"/>
      <c r="B145" s="244"/>
      <c r="C145" s="244"/>
      <c r="D145" s="244"/>
      <c r="E145" s="244"/>
      <c r="F145" s="244"/>
      <c r="G145" s="244"/>
      <c r="H145" s="244"/>
      <c r="I145" s="244"/>
      <c r="J145" s="244"/>
      <c r="K145" s="244"/>
      <c r="L145" s="244"/>
      <c r="M145" s="244"/>
      <c r="N145" s="227"/>
    </row>
    <row r="146" spans="1:14">
      <c r="A146" s="258" t="s">
        <v>89</v>
      </c>
      <c r="B146" s="244"/>
      <c r="C146" s="244"/>
      <c r="D146" s="244"/>
      <c r="E146" s="244"/>
      <c r="F146" s="244"/>
      <c r="G146" s="244"/>
      <c r="H146" s="244"/>
      <c r="I146" s="244"/>
      <c r="J146" s="244"/>
      <c r="K146" s="244"/>
      <c r="L146" s="244"/>
      <c r="M146" s="244"/>
      <c r="N146" s="227"/>
    </row>
    <row r="147" spans="1:14">
      <c r="A147" s="231" t="s">
        <v>90</v>
      </c>
      <c r="B147" s="259">
        <v>18</v>
      </c>
      <c r="C147" s="259">
        <f t="shared" ref="C147:N147" si="28">B150</f>
        <v>18</v>
      </c>
      <c r="D147" s="259">
        <f t="shared" si="28"/>
        <v>18</v>
      </c>
      <c r="E147" s="259">
        <f t="shared" si="28"/>
        <v>18</v>
      </c>
      <c r="F147" s="259">
        <f t="shared" si="28"/>
        <v>18</v>
      </c>
      <c r="G147" s="259">
        <f t="shared" si="28"/>
        <v>18</v>
      </c>
      <c r="H147" s="259">
        <f t="shared" si="28"/>
        <v>18</v>
      </c>
      <c r="I147" s="259">
        <f t="shared" si="28"/>
        <v>18</v>
      </c>
      <c r="J147" s="259">
        <f t="shared" si="28"/>
        <v>18</v>
      </c>
      <c r="K147" s="259">
        <f t="shared" si="28"/>
        <v>18</v>
      </c>
      <c r="L147" s="259">
        <f t="shared" si="28"/>
        <v>18</v>
      </c>
      <c r="M147" s="259">
        <f t="shared" si="28"/>
        <v>18</v>
      </c>
      <c r="N147" s="259">
        <f t="shared" si="28"/>
        <v>18</v>
      </c>
    </row>
    <row r="148" spans="1:14">
      <c r="A148" s="231" t="s">
        <v>91</v>
      </c>
      <c r="B148" s="259"/>
      <c r="C148" s="259"/>
      <c r="D148" s="259"/>
      <c r="E148" s="259"/>
      <c r="F148" s="259"/>
      <c r="G148" s="259"/>
      <c r="H148" s="259"/>
      <c r="I148" s="259"/>
      <c r="J148" s="259"/>
      <c r="K148" s="259"/>
      <c r="L148" s="259"/>
      <c r="M148" s="259"/>
      <c r="N148" s="259">
        <f>SUM(B148:M148)/12</f>
        <v>0</v>
      </c>
    </row>
    <row r="149" spans="1:14">
      <c r="A149" s="231" t="s">
        <v>92</v>
      </c>
      <c r="B149" s="259"/>
      <c r="C149" s="259"/>
      <c r="D149" s="259"/>
      <c r="E149" s="259"/>
      <c r="F149" s="259"/>
      <c r="G149" s="259"/>
      <c r="H149" s="259"/>
      <c r="I149" s="259"/>
      <c r="J149" s="259"/>
      <c r="K149" s="259"/>
      <c r="L149" s="259"/>
      <c r="M149" s="259"/>
      <c r="N149" s="259">
        <f>SUM(B148:M148)/12</f>
        <v>0</v>
      </c>
    </row>
    <row r="150" spans="1:14">
      <c r="A150" s="231" t="s">
        <v>89</v>
      </c>
      <c r="B150" s="259">
        <f t="shared" ref="B150:M150" si="29">SUM(B147+B148-B149)</f>
        <v>18</v>
      </c>
      <c r="C150" s="259">
        <f t="shared" si="29"/>
        <v>18</v>
      </c>
      <c r="D150" s="259">
        <f t="shared" si="29"/>
        <v>18</v>
      </c>
      <c r="E150" s="259">
        <f t="shared" si="29"/>
        <v>18</v>
      </c>
      <c r="F150" s="259">
        <f t="shared" si="29"/>
        <v>18</v>
      </c>
      <c r="G150" s="259">
        <f t="shared" si="29"/>
        <v>18</v>
      </c>
      <c r="H150" s="259">
        <f t="shared" si="29"/>
        <v>18</v>
      </c>
      <c r="I150" s="259">
        <f t="shared" si="29"/>
        <v>18</v>
      </c>
      <c r="J150" s="259">
        <f t="shared" si="29"/>
        <v>18</v>
      </c>
      <c r="K150" s="259">
        <f t="shared" si="29"/>
        <v>18</v>
      </c>
      <c r="L150" s="259">
        <f t="shared" si="29"/>
        <v>18</v>
      </c>
      <c r="M150" s="259">
        <f t="shared" si="29"/>
        <v>18</v>
      </c>
      <c r="N150" s="259">
        <f>SUM(B149:M149)/12</f>
        <v>0</v>
      </c>
    </row>
    <row r="151" spans="1:14">
      <c r="A151" s="231" t="s">
        <v>93</v>
      </c>
      <c r="B151" s="260">
        <f t="shared" ref="B151:M151" si="30">SUM(B150*100)/B147-100</f>
        <v>0</v>
      </c>
      <c r="C151" s="260">
        <f t="shared" si="30"/>
        <v>0</v>
      </c>
      <c r="D151" s="260">
        <f t="shared" si="30"/>
        <v>0</v>
      </c>
      <c r="E151" s="260">
        <f t="shared" si="30"/>
        <v>0</v>
      </c>
      <c r="F151" s="260">
        <f t="shared" si="30"/>
        <v>0</v>
      </c>
      <c r="G151" s="260">
        <f t="shared" si="30"/>
        <v>0</v>
      </c>
      <c r="H151" s="260">
        <f t="shared" si="30"/>
        <v>0</v>
      </c>
      <c r="I151" s="260">
        <f t="shared" si="30"/>
        <v>0</v>
      </c>
      <c r="J151" s="260">
        <f t="shared" si="30"/>
        <v>0</v>
      </c>
      <c r="K151" s="260">
        <f t="shared" si="30"/>
        <v>0</v>
      </c>
      <c r="L151" s="260">
        <f t="shared" si="30"/>
        <v>0</v>
      </c>
      <c r="M151" s="260">
        <f t="shared" si="30"/>
        <v>0</v>
      </c>
      <c r="N151" s="259"/>
    </row>
    <row r="152" spans="1:14">
      <c r="A152" s="243" t="s">
        <v>94</v>
      </c>
      <c r="B152" s="261"/>
      <c r="C152" s="261"/>
      <c r="D152" s="262">
        <f>SUM(B151:D151/3)</f>
        <v>0</v>
      </c>
      <c r="E152" s="261"/>
      <c r="F152" s="261"/>
      <c r="G152" s="262">
        <f>SUM(E151:G151)/3</f>
        <v>0</v>
      </c>
      <c r="H152" s="261"/>
      <c r="I152" s="261"/>
      <c r="J152" s="262">
        <f>SUM(H151:J151)/3</f>
        <v>0</v>
      </c>
      <c r="K152" s="261"/>
      <c r="L152" s="261"/>
      <c r="M152" s="262">
        <f>SUM(K151:M151)/3</f>
        <v>0</v>
      </c>
      <c r="N152" s="261"/>
    </row>
    <row r="153" spans="1:14">
      <c r="A153" s="243"/>
      <c r="B153" s="244"/>
      <c r="C153" s="244"/>
      <c r="D153" s="244"/>
      <c r="E153" s="244"/>
      <c r="F153" s="244"/>
      <c r="G153" s="244"/>
      <c r="H153" s="244"/>
      <c r="I153" s="244"/>
      <c r="J153" s="244"/>
      <c r="K153" s="244"/>
      <c r="L153" s="244"/>
      <c r="M153" s="244"/>
      <c r="N153" s="227"/>
    </row>
    <row r="154" spans="1:14" ht="15.75">
      <c r="A154" s="258"/>
      <c r="B154" s="326"/>
      <c r="C154" s="326"/>
      <c r="D154" s="326"/>
      <c r="E154" s="326"/>
      <c r="F154" s="326"/>
      <c r="G154" s="355"/>
      <c r="H154" s="326"/>
      <c r="I154" s="326"/>
      <c r="J154" s="326"/>
      <c r="K154" s="326"/>
      <c r="L154" s="326"/>
      <c r="M154" s="326"/>
      <c r="N154" s="227"/>
    </row>
    <row r="155" spans="1:14">
      <c r="A155" s="328" t="s">
        <v>113</v>
      </c>
      <c r="B155" s="232" t="s">
        <v>44</v>
      </c>
      <c r="C155" s="232" t="s">
        <v>45</v>
      </c>
      <c r="D155" s="232" t="s">
        <v>46</v>
      </c>
      <c r="E155" s="232" t="s">
        <v>47</v>
      </c>
      <c r="F155" s="232" t="s">
        <v>48</v>
      </c>
      <c r="G155" s="232" t="s">
        <v>49</v>
      </c>
      <c r="H155" s="232" t="s">
        <v>38</v>
      </c>
      <c r="I155" s="232" t="s">
        <v>39</v>
      </c>
      <c r="J155" s="232" t="s">
        <v>40</v>
      </c>
      <c r="K155" s="232" t="s">
        <v>41</v>
      </c>
      <c r="L155" s="232" t="s">
        <v>42</v>
      </c>
      <c r="M155" s="232" t="s">
        <v>43</v>
      </c>
      <c r="N155" s="228" t="s">
        <v>64</v>
      </c>
    </row>
    <row r="156" spans="1:14">
      <c r="A156" s="231" t="s">
        <v>239</v>
      </c>
      <c r="B156" s="329">
        <v>81500</v>
      </c>
      <c r="C156" s="329">
        <v>81500</v>
      </c>
      <c r="D156" s="329">
        <v>81500</v>
      </c>
      <c r="E156" s="329">
        <v>81500</v>
      </c>
      <c r="F156" s="329">
        <v>81500</v>
      </c>
      <c r="G156" s="329">
        <v>81500</v>
      </c>
      <c r="H156" s="329">
        <v>81500</v>
      </c>
      <c r="I156" s="329">
        <v>81500</v>
      </c>
      <c r="J156" s="329">
        <v>81500</v>
      </c>
      <c r="K156" s="329">
        <v>81500</v>
      </c>
      <c r="L156" s="329">
        <v>81500</v>
      </c>
      <c r="M156" s="329">
        <v>81500</v>
      </c>
      <c r="N156" s="329">
        <f>SUM(B156:M156)</f>
        <v>978000</v>
      </c>
    </row>
    <row r="157" spans="1:14">
      <c r="A157" s="231" t="s">
        <v>394</v>
      </c>
      <c r="B157" s="329">
        <v>0</v>
      </c>
      <c r="C157" s="329">
        <v>0</v>
      </c>
      <c r="D157" s="329">
        <v>0</v>
      </c>
      <c r="E157" s="329">
        <v>0</v>
      </c>
      <c r="F157" s="329">
        <v>0</v>
      </c>
      <c r="G157" s="329">
        <v>0</v>
      </c>
      <c r="H157" s="329">
        <v>0</v>
      </c>
      <c r="I157" s="329">
        <v>0</v>
      </c>
      <c r="J157" s="329">
        <v>0</v>
      </c>
      <c r="K157" s="329">
        <v>0</v>
      </c>
      <c r="L157" s="329">
        <v>0</v>
      </c>
      <c r="M157" s="329">
        <v>0</v>
      </c>
      <c r="N157" s="329">
        <f>SUM(B157:M157)</f>
        <v>0</v>
      </c>
    </row>
    <row r="158" spans="1:14" ht="13.5" thickBot="1">
      <c r="A158" s="356" t="s">
        <v>154</v>
      </c>
      <c r="B158" s="357">
        <v>87000</v>
      </c>
      <c r="C158" s="357">
        <v>87000</v>
      </c>
      <c r="D158" s="357">
        <v>87000</v>
      </c>
      <c r="E158" s="357">
        <v>87000</v>
      </c>
      <c r="F158" s="357">
        <v>87000</v>
      </c>
      <c r="G158" s="357">
        <v>87000</v>
      </c>
      <c r="H158" s="357">
        <v>87000</v>
      </c>
      <c r="I158" s="357">
        <v>87000</v>
      </c>
      <c r="J158" s="357">
        <v>87000</v>
      </c>
      <c r="K158" s="357">
        <v>87000</v>
      </c>
      <c r="L158" s="357">
        <v>87000</v>
      </c>
      <c r="M158" s="357">
        <v>87000</v>
      </c>
      <c r="N158" s="329">
        <f>SUM(B158:M158)</f>
        <v>1044000</v>
      </c>
    </row>
    <row r="159" spans="1:14" ht="13.5" thickBot="1">
      <c r="A159" s="333" t="s">
        <v>151</v>
      </c>
      <c r="B159" s="334">
        <f t="shared" ref="B159:N159" si="31">SUM(B156:B158)</f>
        <v>168500</v>
      </c>
      <c r="C159" s="334">
        <f t="shared" si="31"/>
        <v>168500</v>
      </c>
      <c r="D159" s="334">
        <f t="shared" si="31"/>
        <v>168500</v>
      </c>
      <c r="E159" s="334">
        <f t="shared" si="31"/>
        <v>168500</v>
      </c>
      <c r="F159" s="334">
        <f t="shared" si="31"/>
        <v>168500</v>
      </c>
      <c r="G159" s="334">
        <f t="shared" si="31"/>
        <v>168500</v>
      </c>
      <c r="H159" s="334">
        <f t="shared" si="31"/>
        <v>168500</v>
      </c>
      <c r="I159" s="334">
        <f t="shared" si="31"/>
        <v>168500</v>
      </c>
      <c r="J159" s="334">
        <f t="shared" si="31"/>
        <v>168500</v>
      </c>
      <c r="K159" s="334">
        <f t="shared" si="31"/>
        <v>168500</v>
      </c>
      <c r="L159" s="334">
        <f t="shared" si="31"/>
        <v>168500</v>
      </c>
      <c r="M159" s="334">
        <f t="shared" si="31"/>
        <v>168500</v>
      </c>
      <c r="N159" s="334">
        <f t="shared" si="31"/>
        <v>2022000</v>
      </c>
    </row>
    <row r="160" spans="1:14">
      <c r="A160" s="228" t="s">
        <v>152</v>
      </c>
      <c r="B160" s="329">
        <v>14495</v>
      </c>
      <c r="C160" s="329">
        <v>9312</v>
      </c>
      <c r="D160" s="329">
        <v>8101</v>
      </c>
      <c r="E160" s="329">
        <v>7537</v>
      </c>
      <c r="F160" s="329">
        <v>4775</v>
      </c>
      <c r="G160" s="358">
        <v>4875</v>
      </c>
      <c r="H160" s="329"/>
      <c r="I160" s="329">
        <v>11075</v>
      </c>
      <c r="J160" s="329">
        <v>15550</v>
      </c>
      <c r="K160" s="329">
        <v>8700</v>
      </c>
      <c r="L160" s="329">
        <v>11812</v>
      </c>
      <c r="M160" s="329">
        <v>6250</v>
      </c>
      <c r="N160" s="329">
        <f>SUM(B160:M160)</f>
        <v>102482</v>
      </c>
    </row>
    <row r="161" spans="1:15">
      <c r="A161" s="228" t="s">
        <v>371</v>
      </c>
      <c r="B161" s="329"/>
      <c r="C161" s="329"/>
      <c r="D161" s="329"/>
      <c r="E161" s="329"/>
      <c r="F161" s="329"/>
      <c r="G161" s="358"/>
      <c r="H161" s="329"/>
      <c r="I161" s="329"/>
      <c r="J161" s="329"/>
      <c r="K161" s="329"/>
      <c r="L161" s="329"/>
      <c r="M161" s="329"/>
      <c r="N161" s="329">
        <f>SUM(B161:M161)</f>
        <v>0</v>
      </c>
    </row>
    <row r="162" spans="1:15">
      <c r="A162" s="228" t="s">
        <v>374</v>
      </c>
      <c r="B162" s="329">
        <v>920</v>
      </c>
      <c r="C162" s="329">
        <v>8340</v>
      </c>
      <c r="D162" s="329"/>
      <c r="E162" s="329">
        <v>6980</v>
      </c>
      <c r="F162" s="329">
        <v>6380</v>
      </c>
      <c r="G162" s="358">
        <v>4620</v>
      </c>
      <c r="H162" s="329">
        <v>2370</v>
      </c>
      <c r="I162" s="329">
        <v>5840</v>
      </c>
      <c r="J162" s="329">
        <v>6920</v>
      </c>
      <c r="K162" s="329">
        <v>10010</v>
      </c>
      <c r="L162" s="329">
        <v>7350</v>
      </c>
      <c r="M162" s="329"/>
      <c r="N162" s="329">
        <f>SUM(B162:M162)</f>
        <v>59730</v>
      </c>
    </row>
    <row r="163" spans="1:15">
      <c r="A163" s="228" t="s">
        <v>211</v>
      </c>
      <c r="B163" s="329">
        <v>170625</v>
      </c>
      <c r="C163" s="329">
        <v>63780</v>
      </c>
      <c r="D163" s="329">
        <v>170078.38</v>
      </c>
      <c r="E163" s="329">
        <v>70987.5</v>
      </c>
      <c r="F163" s="329">
        <v>258475</v>
      </c>
      <c r="G163" s="329">
        <v>67114.63</v>
      </c>
      <c r="H163" s="329">
        <v>34300</v>
      </c>
      <c r="I163" s="329">
        <v>127060.63</v>
      </c>
      <c r="J163" s="329">
        <v>135309.63</v>
      </c>
      <c r="K163" s="329">
        <v>209023.26</v>
      </c>
      <c r="L163" s="329">
        <v>154475</v>
      </c>
      <c r="M163" s="331"/>
      <c r="N163" s="329">
        <f>SUM(B163:M163)</f>
        <v>1461229.03</v>
      </c>
    </row>
    <row r="164" spans="1:15" ht="13.5" thickBot="1">
      <c r="A164" s="359" t="s">
        <v>156</v>
      </c>
      <c r="B164" s="357">
        <v>14183.75</v>
      </c>
      <c r="C164" s="357">
        <v>40815.5</v>
      </c>
      <c r="D164" s="357">
        <v>36826.25</v>
      </c>
      <c r="E164" s="357">
        <v>12117.5</v>
      </c>
      <c r="F164" s="357">
        <v>41857</v>
      </c>
      <c r="G164" s="357">
        <v>14393.5</v>
      </c>
      <c r="H164" s="357">
        <v>7770</v>
      </c>
      <c r="I164" s="357">
        <v>23860</v>
      </c>
      <c r="J164" s="357">
        <v>19108</v>
      </c>
      <c r="K164" s="357">
        <v>37921.5</v>
      </c>
      <c r="L164" s="357">
        <v>12583</v>
      </c>
      <c r="M164" s="329"/>
      <c r="N164" s="329">
        <f>SUM(B164:M164)</f>
        <v>261436</v>
      </c>
    </row>
    <row r="165" spans="1:15" ht="13.5" thickBot="1">
      <c r="A165" s="360" t="s">
        <v>126</v>
      </c>
      <c r="B165" s="361">
        <f t="shared" ref="B165:N165" si="32">SUM(B160:B164)</f>
        <v>200223.75</v>
      </c>
      <c r="C165" s="361">
        <f t="shared" si="32"/>
        <v>122247.5</v>
      </c>
      <c r="D165" s="361">
        <f t="shared" si="32"/>
        <v>215005.63</v>
      </c>
      <c r="E165" s="361">
        <f t="shared" si="32"/>
        <v>97622</v>
      </c>
      <c r="F165" s="361">
        <f t="shared" si="32"/>
        <v>311487</v>
      </c>
      <c r="G165" s="361">
        <f t="shared" si="32"/>
        <v>91003.13</v>
      </c>
      <c r="H165" s="361">
        <f t="shared" si="32"/>
        <v>44440</v>
      </c>
      <c r="I165" s="361">
        <f t="shared" si="32"/>
        <v>167835.63</v>
      </c>
      <c r="J165" s="361">
        <f t="shared" si="32"/>
        <v>176887.63</v>
      </c>
      <c r="K165" s="361">
        <f t="shared" si="32"/>
        <v>265654.76</v>
      </c>
      <c r="L165" s="361">
        <f t="shared" si="32"/>
        <v>186220</v>
      </c>
      <c r="M165" s="362">
        <f t="shared" si="32"/>
        <v>6250</v>
      </c>
      <c r="N165" s="361">
        <f t="shared" si="32"/>
        <v>1884877.03</v>
      </c>
    </row>
    <row r="166" spans="1:15">
      <c r="A166" s="228" t="s">
        <v>127</v>
      </c>
      <c r="B166" s="331">
        <v>0</v>
      </c>
      <c r="C166" s="331">
        <v>0</v>
      </c>
      <c r="D166" s="331">
        <v>0</v>
      </c>
      <c r="E166" s="331">
        <v>0</v>
      </c>
      <c r="F166" s="331">
        <v>0</v>
      </c>
      <c r="G166" s="331">
        <v>3770</v>
      </c>
      <c r="H166" s="331">
        <v>0</v>
      </c>
      <c r="I166" s="331">
        <v>0</v>
      </c>
      <c r="J166" s="331">
        <v>0</v>
      </c>
      <c r="K166" s="331">
        <v>0</v>
      </c>
      <c r="L166" s="331">
        <v>0</v>
      </c>
      <c r="M166" s="357">
        <v>0</v>
      </c>
      <c r="N166" s="331">
        <f>SUM(B166:M166)</f>
        <v>3770</v>
      </c>
      <c r="O166" s="291"/>
    </row>
    <row r="167" spans="1:15">
      <c r="A167" s="363" t="s">
        <v>129</v>
      </c>
      <c r="B167" s="364">
        <f t="shared" ref="B167:N167" si="33">SUM(B159,B165,B166)</f>
        <v>368723.75</v>
      </c>
      <c r="C167" s="364">
        <f t="shared" si="33"/>
        <v>290747.5</v>
      </c>
      <c r="D167" s="364">
        <f t="shared" si="33"/>
        <v>383505.63</v>
      </c>
      <c r="E167" s="364">
        <f t="shared" si="33"/>
        <v>266122</v>
      </c>
      <c r="F167" s="364">
        <f t="shared" si="33"/>
        <v>479987</v>
      </c>
      <c r="G167" s="364">
        <f t="shared" si="33"/>
        <v>263273.13</v>
      </c>
      <c r="H167" s="364">
        <f t="shared" si="33"/>
        <v>212940</v>
      </c>
      <c r="I167" s="364">
        <f t="shared" si="33"/>
        <v>336335.63</v>
      </c>
      <c r="J167" s="364">
        <f t="shared" si="33"/>
        <v>345387.63</v>
      </c>
      <c r="K167" s="364">
        <f t="shared" si="33"/>
        <v>434154.76</v>
      </c>
      <c r="L167" s="364">
        <f t="shared" si="33"/>
        <v>354720</v>
      </c>
      <c r="M167" s="364">
        <f t="shared" si="33"/>
        <v>174750</v>
      </c>
      <c r="N167" s="364">
        <f t="shared" si="33"/>
        <v>3910647.0300000003</v>
      </c>
    </row>
    <row r="168" spans="1:15">
      <c r="A168" s="336" t="s">
        <v>131</v>
      </c>
      <c r="B168" s="365">
        <v>624553.92000000004</v>
      </c>
      <c r="C168" s="365">
        <v>526378</v>
      </c>
      <c r="D168" s="365">
        <v>527314</v>
      </c>
      <c r="E168" s="365">
        <v>555869</v>
      </c>
      <c r="F168" s="365">
        <v>435878</v>
      </c>
      <c r="G168" s="365">
        <v>316460</v>
      </c>
      <c r="H168" s="365">
        <v>516198</v>
      </c>
      <c r="I168" s="365">
        <v>681669</v>
      </c>
      <c r="J168" s="365">
        <v>539618</v>
      </c>
      <c r="K168" s="365">
        <v>369562</v>
      </c>
      <c r="L168" s="365">
        <v>548986</v>
      </c>
      <c r="M168" s="365"/>
      <c r="N168" s="366">
        <f>SUM(B168:M168)</f>
        <v>5642485.9199999999</v>
      </c>
    </row>
    <row r="169" spans="1:15">
      <c r="A169" s="367" t="s">
        <v>146</v>
      </c>
      <c r="B169" s="368">
        <f t="shared" ref="B169:N169" si="34">SUM(B167-B168)</f>
        <v>-255830.17000000004</v>
      </c>
      <c r="C169" s="368">
        <f t="shared" si="34"/>
        <v>-235630.5</v>
      </c>
      <c r="D169" s="368">
        <f t="shared" si="34"/>
        <v>-143808.37</v>
      </c>
      <c r="E169" s="368">
        <f t="shared" si="34"/>
        <v>-289747</v>
      </c>
      <c r="F169" s="368">
        <f t="shared" si="34"/>
        <v>44109</v>
      </c>
      <c r="G169" s="368">
        <f t="shared" si="34"/>
        <v>-53186.869999999995</v>
      </c>
      <c r="H169" s="368">
        <f t="shared" si="34"/>
        <v>-303258</v>
      </c>
      <c r="I169" s="368">
        <f t="shared" si="34"/>
        <v>-345333.37</v>
      </c>
      <c r="J169" s="368">
        <f t="shared" si="34"/>
        <v>-194230.37</v>
      </c>
      <c r="K169" s="368">
        <f t="shared" si="34"/>
        <v>64592.760000000009</v>
      </c>
      <c r="L169" s="368">
        <f t="shared" si="34"/>
        <v>-194266</v>
      </c>
      <c r="M169" s="368">
        <f t="shared" si="34"/>
        <v>174750</v>
      </c>
      <c r="N169" s="368">
        <f t="shared" si="34"/>
        <v>-1731838.8899999997</v>
      </c>
    </row>
    <row r="170" spans="1:15" ht="13.5" thickBot="1">
      <c r="A170" s="369">
        <v>206552</v>
      </c>
      <c r="B170" s="369"/>
      <c r="C170" s="369"/>
      <c r="D170" s="369"/>
      <c r="E170" s="369"/>
      <c r="F170" s="369"/>
      <c r="G170" s="369"/>
      <c r="H170" s="369"/>
      <c r="I170" s="369"/>
      <c r="J170" s="369"/>
      <c r="K170" s="369"/>
      <c r="L170" s="369"/>
      <c r="M170" s="369"/>
      <c r="N170" s="369"/>
    </row>
    <row r="171" spans="1:15" ht="13.5" thickBot="1"/>
    <row r="172" spans="1:15" ht="20.25">
      <c r="A172" s="826" t="s">
        <v>395</v>
      </c>
      <c r="B172" s="826"/>
      <c r="C172" s="826"/>
      <c r="D172" s="826"/>
      <c r="E172" s="826"/>
      <c r="F172" s="826"/>
      <c r="G172" s="826"/>
      <c r="H172" s="826"/>
      <c r="I172" s="826"/>
      <c r="J172" s="826"/>
      <c r="K172" s="826"/>
      <c r="L172" s="826"/>
      <c r="M172" s="826"/>
      <c r="N172" s="826"/>
    </row>
    <row r="173" spans="1:15">
      <c r="A173" s="227"/>
      <c r="B173" s="227"/>
      <c r="C173" s="227"/>
      <c r="D173" s="227"/>
      <c r="E173" s="227"/>
      <c r="F173" s="227"/>
      <c r="G173" s="227"/>
      <c r="H173" s="227"/>
      <c r="I173" s="227"/>
      <c r="J173" s="227"/>
      <c r="K173" s="227"/>
      <c r="L173" s="227"/>
      <c r="M173" s="227"/>
    </row>
    <row r="174" spans="1:15">
      <c r="A174" s="228"/>
      <c r="B174" s="229" t="s">
        <v>44</v>
      </c>
      <c r="C174" s="229" t="s">
        <v>45</v>
      </c>
      <c r="D174" s="230" t="s">
        <v>46</v>
      </c>
      <c r="E174" s="229" t="s">
        <v>47</v>
      </c>
      <c r="F174" s="229" t="s">
        <v>48</v>
      </c>
      <c r="G174" s="230" t="s">
        <v>49</v>
      </c>
      <c r="H174" s="229" t="s">
        <v>38</v>
      </c>
      <c r="I174" s="229" t="s">
        <v>39</v>
      </c>
      <c r="J174" s="229" t="s">
        <v>40</v>
      </c>
      <c r="K174" s="229" t="s">
        <v>41</v>
      </c>
      <c r="L174" s="229" t="s">
        <v>42</v>
      </c>
      <c r="M174" s="229" t="s">
        <v>43</v>
      </c>
      <c r="N174" s="228" t="s">
        <v>64</v>
      </c>
    </row>
    <row r="175" spans="1:15">
      <c r="A175" s="231" t="s">
        <v>65</v>
      </c>
      <c r="B175" s="232">
        <v>1924</v>
      </c>
      <c r="C175" s="232">
        <v>1924</v>
      </c>
      <c r="D175" s="232">
        <v>1924</v>
      </c>
      <c r="E175" s="232">
        <v>1924</v>
      </c>
      <c r="F175" s="232">
        <v>1924</v>
      </c>
      <c r="G175" s="232">
        <v>1924</v>
      </c>
      <c r="H175" s="232">
        <v>1924</v>
      </c>
      <c r="I175" s="232">
        <v>1924</v>
      </c>
      <c r="J175" s="232">
        <v>1924</v>
      </c>
      <c r="K175" s="232">
        <v>1924</v>
      </c>
      <c r="L175" s="232">
        <v>1924</v>
      </c>
      <c r="M175" s="232">
        <v>1924</v>
      </c>
      <c r="N175" s="232">
        <f t="shared" ref="N175:N186" si="35">SUM(B175:M175)</f>
        <v>23088</v>
      </c>
    </row>
    <row r="176" spans="1:15">
      <c r="A176" s="231" t="s">
        <v>66</v>
      </c>
      <c r="B176" s="232"/>
      <c r="C176" s="232">
        <v>6.75</v>
      </c>
      <c r="D176" s="232"/>
      <c r="E176" s="232"/>
      <c r="F176" s="232"/>
      <c r="G176" s="233"/>
      <c r="H176" s="232"/>
      <c r="I176" s="232"/>
      <c r="J176" s="234">
        <v>9.5</v>
      </c>
      <c r="K176" s="232"/>
      <c r="L176" s="232"/>
      <c r="M176" s="232"/>
      <c r="N176" s="232">
        <f t="shared" si="35"/>
        <v>16.25</v>
      </c>
    </row>
    <row r="177" spans="1:14">
      <c r="A177" s="231" t="s">
        <v>67</v>
      </c>
      <c r="B177" s="232"/>
      <c r="C177" s="232"/>
      <c r="D177" s="232"/>
      <c r="E177" s="232"/>
      <c r="F177" s="232"/>
      <c r="G177" s="233"/>
      <c r="H177" s="232"/>
      <c r="I177" s="232"/>
      <c r="J177" s="232"/>
      <c r="K177" s="232"/>
      <c r="L177" s="232"/>
      <c r="M177" s="228"/>
      <c r="N177" s="232">
        <f t="shared" si="35"/>
        <v>0</v>
      </c>
    </row>
    <row r="178" spans="1:14">
      <c r="A178" s="231" t="s">
        <v>69</v>
      </c>
      <c r="B178" s="232">
        <v>229</v>
      </c>
      <c r="C178" s="232">
        <v>74</v>
      </c>
      <c r="D178" s="232">
        <v>86.5</v>
      </c>
      <c r="E178" s="232">
        <v>133.5</v>
      </c>
      <c r="F178" s="232">
        <v>7.75</v>
      </c>
      <c r="G178" s="233">
        <v>68</v>
      </c>
      <c r="H178" s="232">
        <v>594</v>
      </c>
      <c r="I178" s="232">
        <v>414.75</v>
      </c>
      <c r="J178" s="232">
        <v>100</v>
      </c>
      <c r="K178" s="232">
        <v>148.25</v>
      </c>
      <c r="L178" s="232"/>
      <c r="M178" s="232"/>
      <c r="N178" s="232">
        <f t="shared" si="35"/>
        <v>1855.75</v>
      </c>
    </row>
    <row r="179" spans="1:14">
      <c r="A179" s="231" t="s">
        <v>70</v>
      </c>
      <c r="B179" s="232"/>
      <c r="C179" s="232"/>
      <c r="D179" s="232">
        <v>47.25</v>
      </c>
      <c r="E179" s="232">
        <v>171.75</v>
      </c>
      <c r="F179" s="232">
        <v>28.5</v>
      </c>
      <c r="G179" s="233"/>
      <c r="H179" s="232"/>
      <c r="I179" s="232"/>
      <c r="J179" s="232"/>
      <c r="K179" s="232"/>
      <c r="L179" s="232"/>
      <c r="M179" s="232"/>
      <c r="N179" s="232">
        <f t="shared" si="35"/>
        <v>247.5</v>
      </c>
    </row>
    <row r="180" spans="1:14">
      <c r="A180" s="231" t="s">
        <v>71</v>
      </c>
      <c r="B180" s="232">
        <v>212.5</v>
      </c>
      <c r="C180" s="232">
        <v>51.5</v>
      </c>
      <c r="D180" s="232">
        <v>45.25</v>
      </c>
      <c r="E180" s="232">
        <v>30</v>
      </c>
      <c r="F180" s="232">
        <v>7.75</v>
      </c>
      <c r="G180" s="233"/>
      <c r="H180" s="232"/>
      <c r="I180" s="232">
        <v>31</v>
      </c>
      <c r="J180" s="232">
        <v>96</v>
      </c>
      <c r="K180" s="232">
        <v>60.25</v>
      </c>
      <c r="L180" s="232">
        <v>125.25</v>
      </c>
      <c r="M180" s="232"/>
      <c r="N180" s="232">
        <f t="shared" si="35"/>
        <v>659.5</v>
      </c>
    </row>
    <row r="181" spans="1:14">
      <c r="A181" s="231" t="s">
        <v>72</v>
      </c>
      <c r="B181" s="232"/>
      <c r="C181" s="232">
        <v>7.75</v>
      </c>
      <c r="D181" s="232">
        <v>7.5</v>
      </c>
      <c r="E181" s="232"/>
      <c r="F181" s="232"/>
      <c r="G181" s="233">
        <v>8</v>
      </c>
      <c r="H181" s="232">
        <v>7.5</v>
      </c>
      <c r="I181" s="232"/>
      <c r="J181" s="232"/>
      <c r="K181" s="232">
        <v>15.5</v>
      </c>
      <c r="L181" s="232"/>
      <c r="M181" s="232"/>
      <c r="N181" s="232">
        <f t="shared" si="35"/>
        <v>46.25</v>
      </c>
    </row>
    <row r="182" spans="1:14">
      <c r="A182" s="231" t="s">
        <v>73</v>
      </c>
      <c r="B182" s="232">
        <v>15.5</v>
      </c>
      <c r="C182" s="232">
        <v>13.75</v>
      </c>
      <c r="D182" s="232"/>
      <c r="E182" s="232">
        <v>15</v>
      </c>
      <c r="F182" s="232"/>
      <c r="G182" s="233">
        <v>14</v>
      </c>
      <c r="H182" s="232">
        <v>37</v>
      </c>
      <c r="I182" s="232">
        <v>58.5</v>
      </c>
      <c r="J182" s="232">
        <v>23.25</v>
      </c>
      <c r="K182" s="232">
        <v>46.75</v>
      </c>
      <c r="L182" s="232">
        <v>36.25</v>
      </c>
      <c r="M182" s="232"/>
      <c r="N182" s="232">
        <f t="shared" si="35"/>
        <v>260</v>
      </c>
    </row>
    <row r="183" spans="1:14">
      <c r="A183" s="231" t="s">
        <v>74</v>
      </c>
      <c r="B183" s="232"/>
      <c r="C183" s="232"/>
      <c r="D183" s="232"/>
      <c r="E183" s="232"/>
      <c r="F183" s="232"/>
      <c r="G183" s="233"/>
      <c r="H183" s="232"/>
      <c r="I183" s="232"/>
      <c r="J183" s="232"/>
      <c r="K183" s="232"/>
      <c r="L183" s="232"/>
      <c r="M183" s="232"/>
      <c r="N183" s="232">
        <f t="shared" si="35"/>
        <v>0</v>
      </c>
    </row>
    <row r="184" spans="1:14">
      <c r="A184" s="231" t="s">
        <v>75</v>
      </c>
      <c r="B184" s="232">
        <v>46</v>
      </c>
      <c r="C184" s="232">
        <v>67.5</v>
      </c>
      <c r="D184" s="232">
        <v>46.5</v>
      </c>
      <c r="E184" s="232"/>
      <c r="F184" s="232">
        <v>30.25</v>
      </c>
      <c r="G184" s="233"/>
      <c r="H184" s="232"/>
      <c r="I184" s="232"/>
      <c r="J184" s="232"/>
      <c r="K184" s="232">
        <v>11.5</v>
      </c>
      <c r="L184" s="232"/>
      <c r="M184" s="232"/>
      <c r="N184" s="232">
        <f t="shared" si="35"/>
        <v>201.75</v>
      </c>
    </row>
    <row r="185" spans="1:14" ht="13.5" thickBot="1">
      <c r="A185" s="235" t="s">
        <v>76</v>
      </c>
      <c r="B185" s="236"/>
      <c r="C185" s="236"/>
      <c r="D185" s="236"/>
      <c r="E185" s="236"/>
      <c r="F185" s="236"/>
      <c r="G185" s="237"/>
      <c r="H185" s="236"/>
      <c r="I185" s="236"/>
      <c r="J185" s="236">
        <v>6</v>
      </c>
      <c r="K185" s="236">
        <v>7.75</v>
      </c>
      <c r="L185" s="236"/>
      <c r="M185" s="236"/>
      <c r="N185" s="238">
        <f t="shared" si="35"/>
        <v>13.75</v>
      </c>
    </row>
    <row r="186" spans="1:14" ht="13.5" thickBot="1">
      <c r="A186" s="239" t="s">
        <v>77</v>
      </c>
      <c r="B186" s="240">
        <f t="shared" ref="B186:M186" si="36">SUM(B175+B176+B177-B178-B179-B180-B182-B183-B184-B185)</f>
        <v>1421</v>
      </c>
      <c r="C186" s="240">
        <f t="shared" si="36"/>
        <v>1724</v>
      </c>
      <c r="D186" s="240">
        <f t="shared" si="36"/>
        <v>1698.5</v>
      </c>
      <c r="E186" s="240">
        <f t="shared" si="36"/>
        <v>1573.75</v>
      </c>
      <c r="F186" s="240">
        <f t="shared" si="36"/>
        <v>1849.75</v>
      </c>
      <c r="G186" s="354">
        <f t="shared" si="36"/>
        <v>1842</v>
      </c>
      <c r="H186" s="240">
        <f t="shared" si="36"/>
        <v>1293</v>
      </c>
      <c r="I186" s="240">
        <f t="shared" si="36"/>
        <v>1419.75</v>
      </c>
      <c r="J186" s="240">
        <f t="shared" si="36"/>
        <v>1708.25</v>
      </c>
      <c r="K186" s="240">
        <f t="shared" si="36"/>
        <v>1649.5</v>
      </c>
      <c r="L186" s="240">
        <f t="shared" si="36"/>
        <v>1762.5</v>
      </c>
      <c r="M186" s="241">
        <f t="shared" si="36"/>
        <v>1924</v>
      </c>
      <c r="N186" s="242">
        <f t="shared" si="35"/>
        <v>19866</v>
      </c>
    </row>
    <row r="187" spans="1:14">
      <c r="A187" s="243"/>
      <c r="B187" s="244"/>
      <c r="C187" s="244"/>
      <c r="D187" s="244"/>
      <c r="E187" s="244"/>
      <c r="F187" s="244"/>
      <c r="G187" s="244"/>
      <c r="H187" s="244"/>
      <c r="I187" s="244"/>
      <c r="J187" s="244"/>
      <c r="K187" s="244"/>
      <c r="L187" s="244"/>
      <c r="M187" s="244"/>
      <c r="N187" s="244"/>
    </row>
    <row r="188" spans="1:14">
      <c r="A188" s="243"/>
      <c r="B188" s="244"/>
      <c r="C188" s="244"/>
      <c r="D188" s="244"/>
      <c r="E188" s="244"/>
      <c r="F188" s="244"/>
      <c r="G188" s="244"/>
      <c r="H188" s="244"/>
      <c r="I188" s="244"/>
      <c r="J188" s="244"/>
      <c r="K188" s="244"/>
      <c r="L188" s="244"/>
      <c r="M188" s="244"/>
      <c r="N188" s="245" t="s">
        <v>78</v>
      </c>
    </row>
    <row r="189" spans="1:14">
      <c r="A189" s="231" t="s">
        <v>79</v>
      </c>
      <c r="B189" s="232">
        <f t="shared" ref="B189:M189" si="37">SUM(B176*100/B186)</f>
        <v>0</v>
      </c>
      <c r="C189" s="232">
        <f t="shared" si="37"/>
        <v>0.39153132250580047</v>
      </c>
      <c r="D189" s="232">
        <f t="shared" si="37"/>
        <v>0</v>
      </c>
      <c r="E189" s="232">
        <f t="shared" si="37"/>
        <v>0</v>
      </c>
      <c r="F189" s="232">
        <f t="shared" si="37"/>
        <v>0</v>
      </c>
      <c r="G189" s="232">
        <f t="shared" si="37"/>
        <v>0</v>
      </c>
      <c r="H189" s="232">
        <f t="shared" si="37"/>
        <v>0</v>
      </c>
      <c r="I189" s="232">
        <f t="shared" si="37"/>
        <v>0</v>
      </c>
      <c r="J189" s="232">
        <f t="shared" si="37"/>
        <v>0.55612468900921996</v>
      </c>
      <c r="K189" s="232">
        <f t="shared" si="37"/>
        <v>0</v>
      </c>
      <c r="L189" s="232">
        <f t="shared" si="37"/>
        <v>0</v>
      </c>
      <c r="M189" s="232">
        <f t="shared" si="37"/>
        <v>0</v>
      </c>
      <c r="N189" s="246">
        <f>SUM(B189:M189)/12</f>
        <v>7.8971334292918374E-2</v>
      </c>
    </row>
    <row r="190" spans="1:14">
      <c r="A190" s="243"/>
      <c r="B190" s="244"/>
      <c r="C190" s="244"/>
      <c r="D190" s="244"/>
      <c r="E190" s="244"/>
      <c r="F190" s="244"/>
      <c r="G190" s="244"/>
      <c r="H190" s="244"/>
      <c r="I190" s="244"/>
      <c r="J190" s="244"/>
      <c r="K190" s="244"/>
      <c r="L190" s="244"/>
      <c r="M190" s="244"/>
      <c r="N190" s="227"/>
    </row>
    <row r="191" spans="1:14">
      <c r="A191" s="231" t="s">
        <v>80</v>
      </c>
      <c r="B191" s="232">
        <f t="shared" ref="B191:M191" si="38">SUM(B180*100/B186)</f>
        <v>14.954257565095004</v>
      </c>
      <c r="C191" s="232">
        <f t="shared" si="38"/>
        <v>2.9872389791183296</v>
      </c>
      <c r="D191" s="232">
        <f t="shared" si="38"/>
        <v>2.6641153959375918</v>
      </c>
      <c r="E191" s="232">
        <f t="shared" si="38"/>
        <v>1.9062748212867355</v>
      </c>
      <c r="F191" s="232">
        <f t="shared" si="38"/>
        <v>0.41897553723476144</v>
      </c>
      <c r="G191" s="232">
        <f t="shared" si="38"/>
        <v>0</v>
      </c>
      <c r="H191" s="232">
        <f t="shared" si="38"/>
        <v>0</v>
      </c>
      <c r="I191" s="232">
        <f t="shared" si="38"/>
        <v>2.1834830075717555</v>
      </c>
      <c r="J191" s="232">
        <f t="shared" si="38"/>
        <v>5.6197863310405385</v>
      </c>
      <c r="K191" s="232">
        <f t="shared" si="38"/>
        <v>3.6526220066686874</v>
      </c>
      <c r="L191" s="232">
        <f t="shared" si="38"/>
        <v>7.1063829787234045</v>
      </c>
      <c r="M191" s="232">
        <f t="shared" si="38"/>
        <v>0</v>
      </c>
      <c r="N191" s="246">
        <f>SUM(B191:M191)/12</f>
        <v>3.4577613852230673</v>
      </c>
    </row>
    <row r="192" spans="1:14" ht="13.5" thickBot="1">
      <c r="A192" s="247" t="s">
        <v>81</v>
      </c>
      <c r="B192" s="238">
        <f t="shared" ref="B192:M192" si="39">SUM(B181*100/B186)</f>
        <v>0</v>
      </c>
      <c r="C192" s="238">
        <f t="shared" si="39"/>
        <v>0.44953596287703018</v>
      </c>
      <c r="D192" s="238">
        <f t="shared" si="39"/>
        <v>0.44156608772446276</v>
      </c>
      <c r="E192" s="238">
        <f t="shared" si="39"/>
        <v>0</v>
      </c>
      <c r="F192" s="238">
        <f t="shared" si="39"/>
        <v>0</v>
      </c>
      <c r="G192" s="238">
        <f t="shared" si="39"/>
        <v>0.43431053203040176</v>
      </c>
      <c r="H192" s="238">
        <f t="shared" si="39"/>
        <v>0.58004640371229699</v>
      </c>
      <c r="I192" s="238">
        <f t="shared" si="39"/>
        <v>0</v>
      </c>
      <c r="J192" s="238">
        <f t="shared" si="39"/>
        <v>0</v>
      </c>
      <c r="K192" s="238">
        <f t="shared" si="39"/>
        <v>0.93967869051227648</v>
      </c>
      <c r="L192" s="238">
        <f t="shared" si="39"/>
        <v>0</v>
      </c>
      <c r="M192" s="238">
        <f t="shared" si="39"/>
        <v>0</v>
      </c>
      <c r="N192" s="246">
        <f>SUM(B192:M192)/12</f>
        <v>0.23709480640470568</v>
      </c>
    </row>
    <row r="193" spans="1:14" ht="13.5" thickBot="1">
      <c r="A193" s="249" t="s">
        <v>82</v>
      </c>
      <c r="B193" s="250">
        <f t="shared" ref="B193:M193" si="40">SUM(B191:B191)</f>
        <v>14.954257565095004</v>
      </c>
      <c r="C193" s="250">
        <f t="shared" si="40"/>
        <v>2.9872389791183296</v>
      </c>
      <c r="D193" s="250">
        <f t="shared" si="40"/>
        <v>2.6641153959375918</v>
      </c>
      <c r="E193" s="250">
        <f t="shared" si="40"/>
        <v>1.9062748212867355</v>
      </c>
      <c r="F193" s="250">
        <f t="shared" si="40"/>
        <v>0.41897553723476144</v>
      </c>
      <c r="G193" s="250">
        <f t="shared" si="40"/>
        <v>0</v>
      </c>
      <c r="H193" s="250">
        <f t="shared" si="40"/>
        <v>0</v>
      </c>
      <c r="I193" s="250">
        <f t="shared" si="40"/>
        <v>2.1834830075717555</v>
      </c>
      <c r="J193" s="250">
        <f t="shared" si="40"/>
        <v>5.6197863310405385</v>
      </c>
      <c r="K193" s="250">
        <f t="shared" si="40"/>
        <v>3.6526220066686874</v>
      </c>
      <c r="L193" s="250">
        <f t="shared" si="40"/>
        <v>7.1063829787234045</v>
      </c>
      <c r="M193" s="250">
        <f t="shared" si="40"/>
        <v>0</v>
      </c>
      <c r="N193" s="251">
        <f>SUM(N191:N192)</f>
        <v>3.6948561916277729</v>
      </c>
    </row>
    <row r="194" spans="1:14">
      <c r="A194" s="243" t="s">
        <v>83</v>
      </c>
      <c r="B194" s="244"/>
      <c r="C194" s="244"/>
      <c r="D194" s="252">
        <f>SUM(B193:D193)/3</f>
        <v>6.8685373133836416</v>
      </c>
      <c r="E194" s="244"/>
      <c r="F194" s="244"/>
      <c r="G194" s="252">
        <f>SUM(E193,F193,G193)/3</f>
        <v>0.77508345284049895</v>
      </c>
      <c r="H194" s="244"/>
      <c r="I194" s="244"/>
      <c r="J194" s="252">
        <f>SUM(H193,I193,J193)/3</f>
        <v>2.6010897795374315</v>
      </c>
      <c r="K194" s="244"/>
      <c r="L194" s="244"/>
      <c r="M194" s="252">
        <f>SUM(K193,L193,M193)/3</f>
        <v>3.5863349951306973</v>
      </c>
      <c r="N194" s="253">
        <f>SUM(D194:M194)/4</f>
        <v>3.4577613852230673</v>
      </c>
    </row>
    <row r="195" spans="1:14">
      <c r="A195" s="243" t="s">
        <v>84</v>
      </c>
      <c r="B195" s="244"/>
      <c r="C195" s="244"/>
      <c r="D195" s="254"/>
      <c r="E195" s="244"/>
      <c r="F195" s="244"/>
      <c r="G195" s="254"/>
      <c r="H195" s="244"/>
      <c r="I195" s="244"/>
      <c r="J195" s="254"/>
      <c r="K195" s="244"/>
      <c r="L195" s="244"/>
      <c r="M195" s="254"/>
      <c r="N195" s="246">
        <f>SUM(D195:G195,J195,M195)/4</f>
        <v>0</v>
      </c>
    </row>
    <row r="196" spans="1:14">
      <c r="A196" s="243"/>
      <c r="B196" s="244"/>
      <c r="C196" s="244"/>
      <c r="D196" s="244"/>
      <c r="E196" s="244"/>
      <c r="F196" s="244"/>
      <c r="G196" s="244"/>
      <c r="H196" s="244"/>
      <c r="I196" s="244"/>
      <c r="J196" s="244"/>
      <c r="K196" s="244"/>
      <c r="L196" s="244"/>
      <c r="M196" s="244"/>
      <c r="N196" s="244"/>
    </row>
    <row r="197" spans="1:14">
      <c r="A197" s="231" t="s">
        <v>85</v>
      </c>
      <c r="B197" s="232">
        <f t="shared" ref="B197:M197" si="41">B184*100/B186</f>
        <v>3.2371569317382125</v>
      </c>
      <c r="C197" s="232">
        <f t="shared" si="41"/>
        <v>3.9153132250580045</v>
      </c>
      <c r="D197" s="232">
        <f t="shared" si="41"/>
        <v>2.7377097438916693</v>
      </c>
      <c r="E197" s="232">
        <f t="shared" si="41"/>
        <v>0</v>
      </c>
      <c r="F197" s="232">
        <f t="shared" si="41"/>
        <v>1.6353561292066496</v>
      </c>
      <c r="G197" s="232">
        <f t="shared" si="41"/>
        <v>0</v>
      </c>
      <c r="H197" s="232">
        <f t="shared" si="41"/>
        <v>0</v>
      </c>
      <c r="I197" s="232">
        <f t="shared" si="41"/>
        <v>0</v>
      </c>
      <c r="J197" s="232">
        <f t="shared" si="41"/>
        <v>0</v>
      </c>
      <c r="K197" s="232">
        <f t="shared" si="41"/>
        <v>0.69718096392846318</v>
      </c>
      <c r="L197" s="232">
        <f t="shared" si="41"/>
        <v>0</v>
      </c>
      <c r="M197" s="232">
        <f t="shared" si="41"/>
        <v>0</v>
      </c>
      <c r="N197" s="246">
        <f>SUM(B197:M197)/12</f>
        <v>1.0185597494852499</v>
      </c>
    </row>
    <row r="198" spans="1:14">
      <c r="A198" s="231" t="s">
        <v>86</v>
      </c>
      <c r="B198" s="232">
        <f t="shared" ref="B198:M198" si="42">B182*100/B186</f>
        <v>1.0907811400422238</v>
      </c>
      <c r="C198" s="232">
        <f t="shared" si="42"/>
        <v>0.79756380510440839</v>
      </c>
      <c r="D198" s="232">
        <f t="shared" si="42"/>
        <v>0</v>
      </c>
      <c r="E198" s="232">
        <f t="shared" si="42"/>
        <v>0.95313741064336777</v>
      </c>
      <c r="F198" s="232">
        <f t="shared" si="42"/>
        <v>0</v>
      </c>
      <c r="G198" s="232">
        <f t="shared" si="42"/>
        <v>0.76004343105320304</v>
      </c>
      <c r="H198" s="232">
        <f t="shared" si="42"/>
        <v>2.8615622583139984</v>
      </c>
      <c r="I198" s="232">
        <f t="shared" si="42"/>
        <v>4.1204437400950873</v>
      </c>
      <c r="J198" s="232">
        <f t="shared" si="42"/>
        <v>1.3610420020488805</v>
      </c>
      <c r="K198" s="232">
        <f t="shared" si="42"/>
        <v>2.8341921794483178</v>
      </c>
      <c r="L198" s="232">
        <f t="shared" si="42"/>
        <v>2.0567375886524824</v>
      </c>
      <c r="M198" s="232">
        <f t="shared" si="42"/>
        <v>0</v>
      </c>
      <c r="N198" s="246">
        <f>SUM(B198:M198)/12</f>
        <v>1.4029586296168308</v>
      </c>
    </row>
    <row r="199" spans="1:14" ht="13.5" thickBot="1">
      <c r="A199" s="231" t="s">
        <v>87</v>
      </c>
      <c r="B199" s="232">
        <f t="shared" ref="B199:M199" si="43">B178*100/B186</f>
        <v>16.115411681914146</v>
      </c>
      <c r="C199" s="232">
        <f t="shared" si="43"/>
        <v>4.2923433874709973</v>
      </c>
      <c r="D199" s="232">
        <f t="shared" si="43"/>
        <v>5.092728878422137</v>
      </c>
      <c r="E199" s="232">
        <f t="shared" si="43"/>
        <v>8.4829229547259732</v>
      </c>
      <c r="F199" s="232">
        <f t="shared" si="43"/>
        <v>0.41897553723476144</v>
      </c>
      <c r="G199" s="232">
        <f t="shared" si="43"/>
        <v>3.6916395222584146</v>
      </c>
      <c r="H199" s="232">
        <f t="shared" si="43"/>
        <v>45.939675174013921</v>
      </c>
      <c r="I199" s="232">
        <f t="shared" si="43"/>
        <v>29.212889593238245</v>
      </c>
      <c r="J199" s="232">
        <f t="shared" si="43"/>
        <v>5.8539440948338948</v>
      </c>
      <c r="K199" s="232">
        <f t="shared" si="43"/>
        <v>8.9875719915125796</v>
      </c>
      <c r="L199" s="232">
        <f t="shared" si="43"/>
        <v>0</v>
      </c>
      <c r="M199" s="232">
        <f t="shared" si="43"/>
        <v>0</v>
      </c>
      <c r="N199" s="248">
        <f>SUM(B199:M199)/12</f>
        <v>10.674008567968755</v>
      </c>
    </row>
    <row r="200" spans="1:14" ht="13.5" thickBot="1">
      <c r="A200" s="255" t="s">
        <v>88</v>
      </c>
      <c r="B200" s="256">
        <f t="shared" ref="B200:M200" si="44">SUM(B175-B186)*100/B186</f>
        <v>35.397607318789582</v>
      </c>
      <c r="C200" s="256">
        <f t="shared" si="44"/>
        <v>11.600928074245939</v>
      </c>
      <c r="D200" s="256">
        <f t="shared" si="44"/>
        <v>13.276420370915513</v>
      </c>
      <c r="E200" s="256">
        <f t="shared" si="44"/>
        <v>22.255758538522638</v>
      </c>
      <c r="F200" s="256">
        <f t="shared" si="44"/>
        <v>4.0140559535072304</v>
      </c>
      <c r="G200" s="256">
        <f t="shared" si="44"/>
        <v>4.451682953311618</v>
      </c>
      <c r="H200" s="256">
        <f t="shared" si="44"/>
        <v>48.801237432327916</v>
      </c>
      <c r="I200" s="256">
        <f t="shared" si="44"/>
        <v>35.516816340905088</v>
      </c>
      <c r="J200" s="256">
        <f t="shared" si="44"/>
        <v>12.629884384604127</v>
      </c>
      <c r="K200" s="256">
        <f t="shared" si="44"/>
        <v>16.641406486814187</v>
      </c>
      <c r="L200" s="256">
        <f t="shared" si="44"/>
        <v>9.163120567375886</v>
      </c>
      <c r="M200" s="370">
        <f t="shared" si="44"/>
        <v>0</v>
      </c>
      <c r="N200" s="371">
        <f>SUM(B200:M200)/12</f>
        <v>17.812409868443314</v>
      </c>
    </row>
    <row r="201" spans="1:14">
      <c r="A201" s="243"/>
      <c r="B201" s="244"/>
      <c r="C201" s="244"/>
      <c r="D201" s="244"/>
      <c r="E201" s="244"/>
      <c r="F201" s="244"/>
      <c r="G201" s="244"/>
      <c r="H201" s="244"/>
      <c r="I201" s="244"/>
      <c r="J201" s="244"/>
      <c r="K201" s="244"/>
      <c r="L201" s="244"/>
      <c r="M201" s="244"/>
      <c r="N201" s="227"/>
    </row>
    <row r="202" spans="1:14">
      <c r="A202" s="258" t="s">
        <v>89</v>
      </c>
      <c r="B202" s="244"/>
      <c r="C202" s="244"/>
      <c r="D202" s="244"/>
      <c r="E202" s="244"/>
      <c r="F202" s="244"/>
      <c r="G202" s="244"/>
      <c r="H202" s="244"/>
      <c r="I202" s="244"/>
      <c r="J202" s="244"/>
      <c r="K202" s="244"/>
      <c r="L202" s="244"/>
      <c r="M202" s="244"/>
      <c r="N202" s="227"/>
    </row>
    <row r="203" spans="1:14">
      <c r="A203" s="231" t="s">
        <v>90</v>
      </c>
      <c r="B203" s="259">
        <v>12</v>
      </c>
      <c r="C203" s="259">
        <f t="shared" ref="C203:N203" si="45">B206</f>
        <v>13</v>
      </c>
      <c r="D203" s="259">
        <f t="shared" si="45"/>
        <v>13</v>
      </c>
      <c r="E203" s="259">
        <f t="shared" si="45"/>
        <v>13</v>
      </c>
      <c r="F203" s="259">
        <f t="shared" si="45"/>
        <v>13</v>
      </c>
      <c r="G203" s="259">
        <f t="shared" si="45"/>
        <v>13</v>
      </c>
      <c r="H203" s="259">
        <f t="shared" si="45"/>
        <v>13</v>
      </c>
      <c r="I203" s="259">
        <f t="shared" si="45"/>
        <v>13</v>
      </c>
      <c r="J203" s="259">
        <f t="shared" si="45"/>
        <v>13</v>
      </c>
      <c r="K203" s="259">
        <f t="shared" si="45"/>
        <v>13</v>
      </c>
      <c r="L203" s="259">
        <f t="shared" si="45"/>
        <v>13</v>
      </c>
      <c r="M203" s="259">
        <f t="shared" si="45"/>
        <v>13</v>
      </c>
      <c r="N203" s="259">
        <f t="shared" si="45"/>
        <v>13</v>
      </c>
    </row>
    <row r="204" spans="1:14">
      <c r="A204" s="231" t="s">
        <v>91</v>
      </c>
      <c r="B204" s="259">
        <v>1</v>
      </c>
      <c r="C204" s="259"/>
      <c r="D204" s="259"/>
      <c r="E204" s="259"/>
      <c r="F204" s="259"/>
      <c r="G204" s="259"/>
      <c r="H204" s="259"/>
      <c r="I204" s="259"/>
      <c r="J204" s="259"/>
      <c r="K204" s="259"/>
      <c r="L204" s="259"/>
      <c r="M204" s="259"/>
      <c r="N204" s="259">
        <f>SUM(B204:M204)/12</f>
        <v>8.3333333333333329E-2</v>
      </c>
    </row>
    <row r="205" spans="1:14">
      <c r="A205" s="231" t="s">
        <v>92</v>
      </c>
      <c r="B205" s="259"/>
      <c r="C205" s="259"/>
      <c r="D205" s="259"/>
      <c r="E205" s="259"/>
      <c r="F205" s="259"/>
      <c r="G205" s="259"/>
      <c r="H205" s="259"/>
      <c r="I205" s="259"/>
      <c r="J205" s="259"/>
      <c r="K205" s="259"/>
      <c r="L205" s="259"/>
      <c r="M205" s="259"/>
      <c r="N205" s="259">
        <f>SUM(B204:M204)/12</f>
        <v>8.3333333333333329E-2</v>
      </c>
    </row>
    <row r="206" spans="1:14">
      <c r="A206" s="231" t="s">
        <v>89</v>
      </c>
      <c r="B206" s="259">
        <f t="shared" ref="B206:M206" si="46">SUM(B203+B204-B205)</f>
        <v>13</v>
      </c>
      <c r="C206" s="259">
        <f t="shared" si="46"/>
        <v>13</v>
      </c>
      <c r="D206" s="259">
        <f t="shared" si="46"/>
        <v>13</v>
      </c>
      <c r="E206" s="259">
        <f t="shared" si="46"/>
        <v>13</v>
      </c>
      <c r="F206" s="259">
        <f t="shared" si="46"/>
        <v>13</v>
      </c>
      <c r="G206" s="259">
        <f t="shared" si="46"/>
        <v>13</v>
      </c>
      <c r="H206" s="259">
        <f t="shared" si="46"/>
        <v>13</v>
      </c>
      <c r="I206" s="259">
        <f t="shared" si="46"/>
        <v>13</v>
      </c>
      <c r="J206" s="259">
        <f t="shared" si="46"/>
        <v>13</v>
      </c>
      <c r="K206" s="259">
        <f t="shared" si="46"/>
        <v>13</v>
      </c>
      <c r="L206" s="259">
        <f t="shared" si="46"/>
        <v>13</v>
      </c>
      <c r="M206" s="259">
        <f t="shared" si="46"/>
        <v>13</v>
      </c>
      <c r="N206" s="259">
        <f>SUM(B205:M205)/12</f>
        <v>0</v>
      </c>
    </row>
    <row r="207" spans="1:14">
      <c r="A207" s="231" t="s">
        <v>93</v>
      </c>
      <c r="B207" s="260">
        <f t="shared" ref="B207:M207" si="47">SUM(B206*100)/B203-100</f>
        <v>8.3333333333333286</v>
      </c>
      <c r="C207" s="260">
        <f t="shared" si="47"/>
        <v>0</v>
      </c>
      <c r="D207" s="260">
        <f t="shared" si="47"/>
        <v>0</v>
      </c>
      <c r="E207" s="260">
        <f t="shared" si="47"/>
        <v>0</v>
      </c>
      <c r="F207" s="260">
        <f t="shared" si="47"/>
        <v>0</v>
      </c>
      <c r="G207" s="260">
        <f t="shared" si="47"/>
        <v>0</v>
      </c>
      <c r="H207" s="260">
        <f t="shared" si="47"/>
        <v>0</v>
      </c>
      <c r="I207" s="260">
        <f t="shared" si="47"/>
        <v>0</v>
      </c>
      <c r="J207" s="260">
        <f t="shared" si="47"/>
        <v>0</v>
      </c>
      <c r="K207" s="260">
        <f t="shared" si="47"/>
        <v>0</v>
      </c>
      <c r="L207" s="260">
        <f t="shared" si="47"/>
        <v>0</v>
      </c>
      <c r="M207" s="260">
        <f t="shared" si="47"/>
        <v>0</v>
      </c>
      <c r="N207" s="259"/>
    </row>
    <row r="208" spans="1:14">
      <c r="A208" s="243" t="s">
        <v>94</v>
      </c>
      <c r="B208" s="261"/>
      <c r="C208" s="261"/>
      <c r="D208" s="262">
        <f>SUM(B207:D207/3)</f>
        <v>0</v>
      </c>
      <c r="E208" s="261"/>
      <c r="F208" s="261"/>
      <c r="G208" s="262">
        <f>SUM(E207:G207)/3</f>
        <v>0</v>
      </c>
      <c r="H208" s="261"/>
      <c r="I208" s="261"/>
      <c r="J208" s="262">
        <f>SUM(H207:J207)/3</f>
        <v>0</v>
      </c>
      <c r="K208" s="261"/>
      <c r="L208" s="261"/>
      <c r="M208" s="262">
        <f>SUM(K207:M207)/3</f>
        <v>0</v>
      </c>
      <c r="N208" s="261"/>
    </row>
    <row r="209" spans="1:14" ht="13.5" thickBot="1">
      <c r="A209" s="372"/>
      <c r="B209" s="373"/>
      <c r="C209" s="373"/>
      <c r="D209" s="373"/>
      <c r="E209" s="373"/>
      <c r="F209" s="373"/>
      <c r="G209" s="373"/>
      <c r="H209" s="373"/>
      <c r="I209" s="373"/>
      <c r="J209" s="373"/>
      <c r="K209" s="373"/>
      <c r="L209" s="373"/>
      <c r="M209" s="373"/>
      <c r="N209" s="374"/>
    </row>
    <row r="210" spans="1:14" ht="15.75">
      <c r="A210" s="375" t="s">
        <v>267</v>
      </c>
      <c r="B210" s="375"/>
      <c r="C210" s="375"/>
      <c r="D210" s="375"/>
      <c r="E210" s="375"/>
      <c r="F210" s="375"/>
      <c r="G210" s="375"/>
      <c r="H210" s="375"/>
      <c r="I210" s="375"/>
      <c r="J210" s="375"/>
      <c r="K210" s="375"/>
      <c r="L210" s="375"/>
      <c r="M210" s="375"/>
      <c r="N210" s="375"/>
    </row>
    <row r="211" spans="1:14" ht="15.75">
      <c r="E211" s="282"/>
      <c r="M211" s="244"/>
      <c r="N211" s="227"/>
    </row>
    <row r="212" spans="1:14">
      <c r="A212" s="376" t="s">
        <v>185</v>
      </c>
      <c r="B212" s="377"/>
      <c r="C212" s="378"/>
      <c r="D212" s="839" t="s">
        <v>186</v>
      </c>
      <c r="E212" s="840"/>
      <c r="I212" s="283" t="s">
        <v>160</v>
      </c>
      <c r="J212" s="377"/>
      <c r="K212" s="377"/>
      <c r="L212" s="377"/>
      <c r="M212" s="288"/>
      <c r="N212" s="227"/>
    </row>
    <row r="213" spans="1:14">
      <c r="A213" s="379" t="s">
        <v>396</v>
      </c>
      <c r="B213" s="380"/>
      <c r="C213" s="381"/>
      <c r="D213" s="290">
        <v>270553</v>
      </c>
      <c r="E213" s="291"/>
      <c r="I213" s="842"/>
      <c r="J213" s="842" t="s">
        <v>161</v>
      </c>
      <c r="K213" s="855"/>
      <c r="L213" s="841" t="s">
        <v>162</v>
      </c>
      <c r="M213" s="843" t="s">
        <v>163</v>
      </c>
      <c r="N213" s="227"/>
    </row>
    <row r="214" spans="1:14">
      <c r="A214" s="379" t="s">
        <v>292</v>
      </c>
      <c r="B214" s="380"/>
      <c r="C214" s="289"/>
      <c r="D214" s="290">
        <v>374793</v>
      </c>
      <c r="E214" s="291"/>
      <c r="I214" s="286" t="s">
        <v>270</v>
      </c>
      <c r="J214" s="303"/>
      <c r="K214" s="289"/>
      <c r="L214" s="292"/>
      <c r="M214" s="311">
        <v>409854</v>
      </c>
      <c r="N214" s="227"/>
    </row>
    <row r="215" spans="1:14">
      <c r="A215" s="379" t="s">
        <v>189</v>
      </c>
      <c r="B215" s="380"/>
      <c r="C215" s="289"/>
      <c r="D215" s="290">
        <v>324584</v>
      </c>
      <c r="E215" s="291"/>
      <c r="I215" s="286"/>
      <c r="J215" s="303"/>
      <c r="K215" s="289"/>
      <c r="L215" s="292"/>
      <c r="M215" s="290"/>
      <c r="N215" s="227"/>
    </row>
    <row r="216" spans="1:14" ht="13.5" thickBot="1">
      <c r="A216" s="379" t="s">
        <v>191</v>
      </c>
      <c r="B216" s="284"/>
      <c r="C216" s="289" t="s">
        <v>271</v>
      </c>
      <c r="D216" s="290">
        <v>0</v>
      </c>
      <c r="E216" s="291"/>
      <c r="I216" s="309" t="s">
        <v>165</v>
      </c>
      <c r="J216" s="310" t="s">
        <v>397</v>
      </c>
      <c r="K216" s="314"/>
      <c r="L216" s="312"/>
      <c r="M216" s="513">
        <v>3371151</v>
      </c>
      <c r="N216" s="227"/>
    </row>
    <row r="217" spans="1:14" ht="13.5" thickBot="1">
      <c r="A217" s="379" t="s">
        <v>377</v>
      </c>
      <c r="B217" s="284"/>
      <c r="C217" s="289"/>
      <c r="D217" s="290">
        <v>387378</v>
      </c>
      <c r="E217" s="291"/>
      <c r="I217" s="382" t="s">
        <v>167</v>
      </c>
      <c r="J217" s="383"/>
      <c r="K217" s="384"/>
      <c r="L217" s="385"/>
      <c r="M217" s="488">
        <f>SUM(M214:M216)</f>
        <v>3781005</v>
      </c>
      <c r="N217" s="227"/>
    </row>
    <row r="218" spans="1:14">
      <c r="A218" s="379" t="s">
        <v>193</v>
      </c>
      <c r="B218" s="284"/>
      <c r="C218" s="289"/>
      <c r="D218" s="290">
        <v>366442</v>
      </c>
      <c r="E218" s="291"/>
      <c r="I218" s="286" t="s">
        <v>168</v>
      </c>
      <c r="J218" s="284"/>
      <c r="K218" s="284"/>
      <c r="L218" s="386"/>
      <c r="M218" s="856">
        <f>M217/12</f>
        <v>315083.75</v>
      </c>
      <c r="N218" s="227"/>
    </row>
    <row r="219" spans="1:14">
      <c r="A219" s="845" t="s">
        <v>294</v>
      </c>
      <c r="B219" s="284"/>
      <c r="C219" s="289"/>
      <c r="D219" s="290">
        <v>298900</v>
      </c>
      <c r="E219" s="291"/>
      <c r="G219" s="244"/>
      <c r="H219" s="244"/>
      <c r="I219" s="244"/>
      <c r="J219" s="244"/>
      <c r="K219" s="244"/>
      <c r="L219" s="320"/>
      <c r="M219" s="244"/>
      <c r="N219" s="227"/>
    </row>
    <row r="220" spans="1:14" ht="13.5" thickBot="1">
      <c r="A220" s="387" t="s">
        <v>196</v>
      </c>
      <c r="C220" s="388"/>
      <c r="D220" s="290">
        <v>26460</v>
      </c>
      <c r="E220" s="291"/>
      <c r="G220" s="244"/>
      <c r="H220" s="244"/>
      <c r="I220" s="244"/>
      <c r="J220" s="244"/>
      <c r="K220" s="244"/>
      <c r="L220" s="320"/>
      <c r="M220" s="244"/>
      <c r="N220" s="227"/>
    </row>
    <row r="221" spans="1:14" ht="13.5" thickBot="1">
      <c r="A221" s="294" t="s">
        <v>167</v>
      </c>
      <c r="B221" s="296"/>
      <c r="C221" s="389"/>
      <c r="D221" s="488">
        <f>SUM(D213:D220)</f>
        <v>2049110</v>
      </c>
      <c r="E221" s="291"/>
      <c r="G221" s="244"/>
      <c r="H221" s="244"/>
      <c r="I221" s="244"/>
      <c r="J221" s="244"/>
      <c r="K221" s="244"/>
      <c r="L221" s="517"/>
      <c r="M221" s="244"/>
      <c r="N221" s="227"/>
    </row>
    <row r="222" spans="1:14">
      <c r="A222" s="390" t="s">
        <v>168</v>
      </c>
      <c r="B222" s="391"/>
      <c r="C222" s="392"/>
      <c r="D222" s="393">
        <f>D221/12</f>
        <v>170759.16666666666</v>
      </c>
      <c r="E222" s="291"/>
      <c r="G222" s="244"/>
      <c r="H222" s="244"/>
      <c r="I222" s="244"/>
      <c r="J222" s="244"/>
      <c r="K222" s="244"/>
      <c r="L222" s="517"/>
      <c r="M222" s="244"/>
      <c r="N222" s="227"/>
    </row>
    <row r="223" spans="1:14">
      <c r="C223" s="394"/>
      <c r="E223" s="291"/>
      <c r="G223" s="244"/>
      <c r="H223" s="244"/>
      <c r="I223" s="244"/>
      <c r="J223" s="244"/>
      <c r="K223" s="244"/>
      <c r="L223" s="517"/>
      <c r="M223" s="244"/>
      <c r="N223" s="227"/>
    </row>
    <row r="224" spans="1:14">
      <c r="C224" s="394"/>
      <c r="E224" s="291"/>
      <c r="G224" s="244"/>
      <c r="H224" s="244"/>
      <c r="I224" s="244"/>
      <c r="J224" s="244"/>
      <c r="K224" s="244"/>
      <c r="L224" s="517"/>
      <c r="M224" s="244"/>
      <c r="N224" s="227"/>
    </row>
    <row r="225" spans="1:14">
      <c r="C225" s="394"/>
      <c r="E225" s="291"/>
      <c r="G225" s="244"/>
      <c r="H225" s="244"/>
      <c r="I225" s="244"/>
      <c r="J225" s="244"/>
      <c r="K225" s="244"/>
      <c r="L225" s="517"/>
      <c r="M225" s="244"/>
      <c r="N225" s="227"/>
    </row>
    <row r="226" spans="1:14">
      <c r="C226" s="394"/>
      <c r="E226" s="291"/>
      <c r="G226" s="244"/>
      <c r="H226" s="244"/>
      <c r="I226" s="244"/>
      <c r="J226" s="244"/>
      <c r="K226" s="244"/>
      <c r="L226" s="517"/>
      <c r="M226" s="244"/>
      <c r="N226" s="227"/>
    </row>
    <row r="227" spans="1:14">
      <c r="A227" s="258" t="s">
        <v>113</v>
      </c>
      <c r="B227" s="244"/>
      <c r="C227" s="244"/>
      <c r="D227" s="244"/>
      <c r="E227" s="244"/>
      <c r="F227" s="244"/>
      <c r="G227" s="244"/>
      <c r="H227" s="244"/>
      <c r="I227" s="244"/>
      <c r="J227" s="244"/>
      <c r="K227" s="244"/>
      <c r="L227" s="244"/>
      <c r="M227" s="244"/>
      <c r="N227" s="227"/>
    </row>
    <row r="228" spans="1:14">
      <c r="A228" s="328"/>
      <c r="B228" s="232" t="s">
        <v>44</v>
      </c>
      <c r="C228" s="232" t="s">
        <v>45</v>
      </c>
      <c r="D228" s="232" t="s">
        <v>46</v>
      </c>
      <c r="E228" s="232" t="s">
        <v>47</v>
      </c>
      <c r="F228" s="232" t="s">
        <v>48</v>
      </c>
      <c r="G228" s="232" t="s">
        <v>49</v>
      </c>
      <c r="H228" s="232" t="s">
        <v>38</v>
      </c>
      <c r="I228" s="232" t="s">
        <v>39</v>
      </c>
      <c r="J228" s="232" t="s">
        <v>40</v>
      </c>
      <c r="K228" s="232" t="s">
        <v>41</v>
      </c>
      <c r="L228" s="232" t="s">
        <v>42</v>
      </c>
      <c r="M228" s="232" t="s">
        <v>43</v>
      </c>
      <c r="N228" s="228"/>
    </row>
    <row r="229" spans="1:14">
      <c r="A229" s="231" t="s">
        <v>115</v>
      </c>
      <c r="B229" s="329">
        <f t="shared" ref="B229:M229" si="48">$D$222</f>
        <v>170759.16666666666</v>
      </c>
      <c r="C229" s="329">
        <f t="shared" si="48"/>
        <v>170759.16666666666</v>
      </c>
      <c r="D229" s="329">
        <f t="shared" si="48"/>
        <v>170759.16666666666</v>
      </c>
      <c r="E229" s="329">
        <f t="shared" si="48"/>
        <v>170759.16666666666</v>
      </c>
      <c r="F229" s="329">
        <f t="shared" si="48"/>
        <v>170759.16666666666</v>
      </c>
      <c r="G229" s="329">
        <f t="shared" si="48"/>
        <v>170759.16666666666</v>
      </c>
      <c r="H229" s="329">
        <f t="shared" si="48"/>
        <v>170759.16666666666</v>
      </c>
      <c r="I229" s="329">
        <f t="shared" si="48"/>
        <v>170759.16666666666</v>
      </c>
      <c r="J229" s="329">
        <f t="shared" si="48"/>
        <v>170759.16666666666</v>
      </c>
      <c r="K229" s="329">
        <f t="shared" si="48"/>
        <v>170759.16666666666</v>
      </c>
      <c r="L229" s="329">
        <f t="shared" si="48"/>
        <v>170759.16666666666</v>
      </c>
      <c r="M229" s="329">
        <f t="shared" si="48"/>
        <v>170759.16666666666</v>
      </c>
      <c r="N229" s="332">
        <f>SUM(B229:M229)</f>
        <v>2049110.0000000002</v>
      </c>
    </row>
    <row r="230" spans="1:14" ht="13.5" thickBot="1">
      <c r="A230" s="247" t="s">
        <v>116</v>
      </c>
      <c r="B230" s="331">
        <f t="shared" ref="B230:M230" si="49">$M$218</f>
        <v>315083.75</v>
      </c>
      <c r="C230" s="331">
        <f t="shared" si="49"/>
        <v>315083.75</v>
      </c>
      <c r="D230" s="331">
        <f t="shared" si="49"/>
        <v>315083.75</v>
      </c>
      <c r="E230" s="331">
        <f t="shared" si="49"/>
        <v>315083.75</v>
      </c>
      <c r="F230" s="331">
        <f t="shared" si="49"/>
        <v>315083.75</v>
      </c>
      <c r="G230" s="331">
        <f t="shared" si="49"/>
        <v>315083.75</v>
      </c>
      <c r="H230" s="331">
        <f t="shared" si="49"/>
        <v>315083.75</v>
      </c>
      <c r="I230" s="331">
        <f t="shared" si="49"/>
        <v>315083.75</v>
      </c>
      <c r="J230" s="331">
        <f t="shared" si="49"/>
        <v>315083.75</v>
      </c>
      <c r="K230" s="331">
        <f t="shared" si="49"/>
        <v>315083.75</v>
      </c>
      <c r="L230" s="331">
        <f t="shared" si="49"/>
        <v>315083.75</v>
      </c>
      <c r="M230" s="331">
        <f t="shared" si="49"/>
        <v>315083.75</v>
      </c>
      <c r="N230" s="332">
        <f>SUM(B230:M230)</f>
        <v>3781005</v>
      </c>
    </row>
    <row r="231" spans="1:14" ht="13.5" thickBot="1">
      <c r="A231" s="333" t="s">
        <v>169</v>
      </c>
      <c r="B231" s="395">
        <f t="shared" ref="B231:M231" si="50">SUM(B229,B230)</f>
        <v>485842.91666666663</v>
      </c>
      <c r="C231" s="395">
        <f t="shared" si="50"/>
        <v>485842.91666666663</v>
      </c>
      <c r="D231" s="395">
        <f t="shared" si="50"/>
        <v>485842.91666666663</v>
      </c>
      <c r="E231" s="395">
        <f t="shared" si="50"/>
        <v>485842.91666666663</v>
      </c>
      <c r="F231" s="395">
        <f t="shared" si="50"/>
        <v>485842.91666666663</v>
      </c>
      <c r="G231" s="395">
        <f t="shared" si="50"/>
        <v>485842.91666666663</v>
      </c>
      <c r="H231" s="395">
        <f t="shared" si="50"/>
        <v>485842.91666666663</v>
      </c>
      <c r="I231" s="395">
        <f t="shared" si="50"/>
        <v>485842.91666666663</v>
      </c>
      <c r="J231" s="395">
        <f t="shared" si="50"/>
        <v>485842.91666666663</v>
      </c>
      <c r="K231" s="395">
        <f t="shared" si="50"/>
        <v>485842.91666666663</v>
      </c>
      <c r="L231" s="395">
        <f t="shared" si="50"/>
        <v>485842.91666666663</v>
      </c>
      <c r="M231" s="395">
        <f t="shared" si="50"/>
        <v>485842.91666666663</v>
      </c>
      <c r="N231" s="396">
        <f>SUM(B229:M230)</f>
        <v>5830115</v>
      </c>
    </row>
    <row r="232" spans="1:14">
      <c r="A232" s="336" t="s">
        <v>398</v>
      </c>
      <c r="B232" s="337">
        <v>307674</v>
      </c>
      <c r="C232" s="337">
        <v>266870</v>
      </c>
      <c r="D232" s="337">
        <v>311446</v>
      </c>
      <c r="E232" s="337">
        <v>236620</v>
      </c>
      <c r="F232" s="337">
        <v>258896</v>
      </c>
      <c r="G232" s="338">
        <v>267473</v>
      </c>
      <c r="H232" s="337">
        <v>216929</v>
      </c>
      <c r="I232" s="337">
        <v>241634</v>
      </c>
      <c r="J232" s="337">
        <v>261942</v>
      </c>
      <c r="K232" s="337">
        <v>211285</v>
      </c>
      <c r="L232" s="337">
        <v>251087</v>
      </c>
      <c r="M232" s="337"/>
      <c r="N232" s="344">
        <f t="shared" ref="N232:N239" si="51">SUM(B232:M232)</f>
        <v>2831856</v>
      </c>
    </row>
    <row r="233" spans="1:14">
      <c r="A233" s="228" t="s">
        <v>275</v>
      </c>
      <c r="B233" s="330"/>
      <c r="C233" s="330">
        <v>7800</v>
      </c>
      <c r="D233" s="330">
        <v>1050</v>
      </c>
      <c r="E233" s="330"/>
      <c r="F233" s="330"/>
      <c r="G233" s="339">
        <v>4725</v>
      </c>
      <c r="H233" s="330">
        <v>175</v>
      </c>
      <c r="I233" s="330">
        <v>1050</v>
      </c>
      <c r="J233" s="330">
        <v>28318</v>
      </c>
      <c r="K233" s="330">
        <v>700</v>
      </c>
      <c r="L233" s="330">
        <v>2056</v>
      </c>
      <c r="M233" s="330">
        <v>6614</v>
      </c>
      <c r="N233" s="344">
        <f t="shared" si="51"/>
        <v>52488</v>
      </c>
    </row>
    <row r="234" spans="1:14" ht="13.5" thickBot="1">
      <c r="A234" s="349" t="s">
        <v>211</v>
      </c>
      <c r="B234" s="330">
        <v>3675</v>
      </c>
      <c r="C234" s="330"/>
      <c r="D234" s="330">
        <v>4025</v>
      </c>
      <c r="E234" s="330">
        <v>3300</v>
      </c>
      <c r="F234" s="330">
        <v>17700</v>
      </c>
      <c r="G234" s="339"/>
      <c r="H234" s="330"/>
      <c r="I234" s="330">
        <v>37500</v>
      </c>
      <c r="J234" s="330">
        <v>14400</v>
      </c>
      <c r="K234" s="330">
        <v>23550</v>
      </c>
      <c r="L234" s="330">
        <v>4050</v>
      </c>
      <c r="M234" s="330"/>
      <c r="N234" s="344">
        <f t="shared" si="51"/>
        <v>108200</v>
      </c>
    </row>
    <row r="235" spans="1:14" ht="13.5" thickBot="1">
      <c r="A235" s="360" t="s">
        <v>126</v>
      </c>
      <c r="B235" s="361">
        <f t="shared" ref="B235:M235" si="52">SUM(B232:B234)</f>
        <v>311349</v>
      </c>
      <c r="C235" s="361">
        <f t="shared" si="52"/>
        <v>274670</v>
      </c>
      <c r="D235" s="361">
        <f t="shared" si="52"/>
        <v>316521</v>
      </c>
      <c r="E235" s="361">
        <f t="shared" si="52"/>
        <v>239920</v>
      </c>
      <c r="F235" s="361">
        <f t="shared" si="52"/>
        <v>276596</v>
      </c>
      <c r="G235" s="361">
        <f t="shared" si="52"/>
        <v>272198</v>
      </c>
      <c r="H235" s="361">
        <f t="shared" si="52"/>
        <v>217104</v>
      </c>
      <c r="I235" s="361">
        <f t="shared" si="52"/>
        <v>280184</v>
      </c>
      <c r="J235" s="361">
        <f t="shared" si="52"/>
        <v>304660</v>
      </c>
      <c r="K235" s="361">
        <f t="shared" si="52"/>
        <v>235535</v>
      </c>
      <c r="L235" s="361">
        <f t="shared" si="52"/>
        <v>257193</v>
      </c>
      <c r="M235" s="361">
        <f t="shared" si="52"/>
        <v>6614</v>
      </c>
      <c r="N235" s="397">
        <f t="shared" si="51"/>
        <v>2992544</v>
      </c>
    </row>
    <row r="236" spans="1:14">
      <c r="A236" s="228" t="s">
        <v>127</v>
      </c>
      <c r="B236" s="332"/>
      <c r="C236" s="332"/>
      <c r="D236" s="332"/>
      <c r="E236" s="332"/>
      <c r="F236" s="332"/>
      <c r="G236" s="398"/>
      <c r="H236" s="332"/>
      <c r="I236" s="332"/>
      <c r="J236" s="332"/>
      <c r="K236" s="332"/>
      <c r="L236" s="332"/>
      <c r="M236" s="332"/>
      <c r="N236" s="332">
        <f t="shared" si="51"/>
        <v>0</v>
      </c>
    </row>
    <row r="237" spans="1:14">
      <c r="A237" s="363" t="s">
        <v>129</v>
      </c>
      <c r="B237" s="399">
        <f t="shared" ref="B237:M237" si="53">SUM(B231,B235,B236)</f>
        <v>797191.91666666663</v>
      </c>
      <c r="C237" s="399">
        <f t="shared" si="53"/>
        <v>760512.91666666663</v>
      </c>
      <c r="D237" s="399">
        <f t="shared" si="53"/>
        <v>802363.91666666663</v>
      </c>
      <c r="E237" s="399">
        <f t="shared" si="53"/>
        <v>725762.91666666663</v>
      </c>
      <c r="F237" s="399">
        <f t="shared" si="53"/>
        <v>762438.91666666663</v>
      </c>
      <c r="G237" s="399">
        <f t="shared" si="53"/>
        <v>758040.91666666663</v>
      </c>
      <c r="H237" s="399">
        <f t="shared" si="53"/>
        <v>702946.91666666663</v>
      </c>
      <c r="I237" s="399">
        <f t="shared" si="53"/>
        <v>766026.91666666663</v>
      </c>
      <c r="J237" s="399">
        <f t="shared" si="53"/>
        <v>790502.91666666663</v>
      </c>
      <c r="K237" s="399">
        <f t="shared" si="53"/>
        <v>721377.91666666663</v>
      </c>
      <c r="L237" s="399">
        <f t="shared" si="53"/>
        <v>743035.91666666663</v>
      </c>
      <c r="M237" s="399">
        <f t="shared" si="53"/>
        <v>492456.91666666663</v>
      </c>
      <c r="N237" s="399">
        <f t="shared" si="51"/>
        <v>8822659.0000000019</v>
      </c>
    </row>
    <row r="238" spans="1:14">
      <c r="A238" s="400" t="s">
        <v>172</v>
      </c>
      <c r="B238" s="331">
        <v>325033.24</v>
      </c>
      <c r="C238" s="331">
        <v>327566</v>
      </c>
      <c r="D238" s="331">
        <v>315208</v>
      </c>
      <c r="E238" s="331">
        <v>379949</v>
      </c>
      <c r="F238" s="331">
        <v>597447</v>
      </c>
      <c r="G238" s="331">
        <v>338174</v>
      </c>
      <c r="H238" s="331">
        <v>334921</v>
      </c>
      <c r="I238" s="331">
        <v>122704</v>
      </c>
      <c r="J238" s="331">
        <v>301089</v>
      </c>
      <c r="K238" s="331">
        <v>331354</v>
      </c>
      <c r="L238" s="331">
        <v>325117</v>
      </c>
      <c r="M238" s="331"/>
      <c r="N238" s="331">
        <f t="shared" si="51"/>
        <v>3698562.24</v>
      </c>
    </row>
    <row r="239" spans="1:14">
      <c r="A239" s="228" t="s">
        <v>399</v>
      </c>
      <c r="B239" s="329">
        <v>301161</v>
      </c>
      <c r="C239" s="329">
        <v>284279</v>
      </c>
      <c r="D239" s="329">
        <v>260659</v>
      </c>
      <c r="E239" s="329">
        <v>234317</v>
      </c>
      <c r="F239" s="329">
        <v>323528</v>
      </c>
      <c r="G239" s="329">
        <v>364649</v>
      </c>
      <c r="H239" s="329">
        <v>294059</v>
      </c>
      <c r="I239" s="329">
        <v>297029</v>
      </c>
      <c r="J239" s="329">
        <v>399667</v>
      </c>
      <c r="K239" s="329">
        <v>323508</v>
      </c>
      <c r="L239" s="329">
        <v>254239</v>
      </c>
      <c r="M239" s="329">
        <v>254239</v>
      </c>
      <c r="N239" s="331">
        <f t="shared" si="51"/>
        <v>3591334</v>
      </c>
    </row>
    <row r="240" spans="1:14">
      <c r="A240" s="367" t="s">
        <v>146</v>
      </c>
      <c r="B240" s="368">
        <f t="shared" ref="B240:N240" si="54">SUM(B237-B238-B239)</f>
        <v>170997.67666666664</v>
      </c>
      <c r="C240" s="368">
        <f t="shared" si="54"/>
        <v>148667.91666666663</v>
      </c>
      <c r="D240" s="368">
        <f t="shared" si="54"/>
        <v>226496.91666666663</v>
      </c>
      <c r="E240" s="368">
        <f t="shared" si="54"/>
        <v>111496.91666666663</v>
      </c>
      <c r="F240" s="368">
        <f t="shared" si="54"/>
        <v>-158536.08333333337</v>
      </c>
      <c r="G240" s="368">
        <f t="shared" si="54"/>
        <v>55217.916666666628</v>
      </c>
      <c r="H240" s="368">
        <f t="shared" si="54"/>
        <v>73966.916666666628</v>
      </c>
      <c r="I240" s="368">
        <f t="shared" si="54"/>
        <v>346293.91666666663</v>
      </c>
      <c r="J240" s="368">
        <f t="shared" si="54"/>
        <v>89746.916666666628</v>
      </c>
      <c r="K240" s="368">
        <f t="shared" si="54"/>
        <v>66515.916666666628</v>
      </c>
      <c r="L240" s="368">
        <f t="shared" si="54"/>
        <v>163679.91666666663</v>
      </c>
      <c r="M240" s="368">
        <f t="shared" si="54"/>
        <v>238217.91666666663</v>
      </c>
      <c r="N240" s="368">
        <f t="shared" si="54"/>
        <v>1532762.7600000016</v>
      </c>
    </row>
    <row r="241" spans="1:14" ht="13.5" thickBot="1">
      <c r="A241" s="401"/>
      <c r="B241" s="402"/>
      <c r="C241" s="402"/>
      <c r="D241" s="402"/>
      <c r="E241" s="402"/>
      <c r="F241" s="402"/>
      <c r="G241" s="402"/>
      <c r="H241" s="402"/>
      <c r="I241" s="402"/>
      <c r="J241" s="402"/>
      <c r="K241" s="402"/>
      <c r="L241" s="402"/>
      <c r="M241" s="402"/>
      <c r="N241" s="402"/>
    </row>
    <row r="242" spans="1:14" ht="13.5" thickBot="1">
      <c r="A242" s="281"/>
      <c r="B242" s="281"/>
      <c r="C242" s="281"/>
      <c r="D242" s="281"/>
      <c r="E242" s="281"/>
      <c r="F242" s="281"/>
      <c r="G242" s="281"/>
      <c r="H242" s="281"/>
      <c r="I242" s="281"/>
      <c r="J242" s="281"/>
      <c r="K242" s="281"/>
      <c r="L242" s="281"/>
      <c r="M242" s="281"/>
      <c r="N242" s="281"/>
    </row>
    <row r="243" spans="1:14" ht="20.25">
      <c r="A243" s="820" t="s">
        <v>400</v>
      </c>
      <c r="B243" s="820"/>
      <c r="C243" s="820"/>
      <c r="D243" s="820"/>
      <c r="E243" s="820"/>
      <c r="F243" s="820"/>
      <c r="G243" s="820"/>
      <c r="H243" s="820"/>
      <c r="I243" s="820"/>
      <c r="J243" s="820"/>
      <c r="K243" s="820"/>
      <c r="L243" s="820"/>
      <c r="M243" s="820"/>
      <c r="N243" s="820"/>
    </row>
    <row r="244" spans="1:14">
      <c r="A244" s="227"/>
      <c r="B244" s="227"/>
      <c r="C244" s="227"/>
      <c r="D244" s="227"/>
      <c r="E244" s="227"/>
      <c r="F244" s="227"/>
      <c r="G244" s="227"/>
      <c r="H244" s="227"/>
      <c r="I244" s="227"/>
      <c r="J244" s="227"/>
      <c r="K244" s="227"/>
      <c r="L244" s="227"/>
      <c r="M244" s="227"/>
    </row>
    <row r="245" spans="1:14">
      <c r="A245" s="228"/>
      <c r="B245" s="229" t="s">
        <v>44</v>
      </c>
      <c r="C245" s="229" t="s">
        <v>45</v>
      </c>
      <c r="D245" s="230" t="s">
        <v>46</v>
      </c>
      <c r="E245" s="229" t="s">
        <v>47</v>
      </c>
      <c r="F245" s="229" t="s">
        <v>48</v>
      </c>
      <c r="G245" s="230" t="s">
        <v>49</v>
      </c>
      <c r="H245" s="229" t="s">
        <v>38</v>
      </c>
      <c r="I245" s="229" t="s">
        <v>39</v>
      </c>
      <c r="J245" s="229" t="s">
        <v>40</v>
      </c>
      <c r="K245" s="229" t="s">
        <v>41</v>
      </c>
      <c r="L245" s="229" t="s">
        <v>42</v>
      </c>
      <c r="M245" s="229" t="s">
        <v>43</v>
      </c>
      <c r="N245" s="228" t="s">
        <v>64</v>
      </c>
    </row>
    <row r="246" spans="1:14">
      <c r="A246" s="231" t="s">
        <v>65</v>
      </c>
      <c r="B246" s="232">
        <v>2566</v>
      </c>
      <c r="C246" s="232">
        <v>2566</v>
      </c>
      <c r="D246" s="232">
        <v>2566</v>
      </c>
      <c r="E246" s="232">
        <v>2566</v>
      </c>
      <c r="F246" s="232">
        <v>2566</v>
      </c>
      <c r="G246" s="232">
        <v>2566</v>
      </c>
      <c r="H246" s="232">
        <v>2566</v>
      </c>
      <c r="I246" s="232">
        <v>2566</v>
      </c>
      <c r="J246" s="232">
        <v>2566</v>
      </c>
      <c r="K246" s="232">
        <v>2566</v>
      </c>
      <c r="L246" s="232">
        <v>2566</v>
      </c>
      <c r="M246" s="232">
        <v>2566</v>
      </c>
      <c r="N246" s="232">
        <f t="shared" ref="N246:N257" si="55">SUM(B246:M246)</f>
        <v>30792</v>
      </c>
    </row>
    <row r="247" spans="1:14">
      <c r="A247" s="231" t="s">
        <v>66</v>
      </c>
      <c r="B247" s="232"/>
      <c r="C247" s="232"/>
      <c r="D247" s="232"/>
      <c r="E247" s="232"/>
      <c r="F247" s="232"/>
      <c r="G247" s="233"/>
      <c r="H247" s="232"/>
      <c r="I247" s="232"/>
      <c r="J247" s="234"/>
      <c r="K247" s="232"/>
      <c r="L247" s="232"/>
      <c r="M247" s="232"/>
      <c r="N247" s="232">
        <f t="shared" si="55"/>
        <v>0</v>
      </c>
    </row>
    <row r="248" spans="1:14">
      <c r="A248" s="231" t="s">
        <v>67</v>
      </c>
      <c r="B248" s="232"/>
      <c r="C248" s="232"/>
      <c r="D248" s="232"/>
      <c r="E248" s="232"/>
      <c r="F248" s="232"/>
      <c r="G248" s="233"/>
      <c r="H248" s="232"/>
      <c r="I248" s="232"/>
      <c r="J248" s="232"/>
      <c r="K248" s="232"/>
      <c r="L248" s="232"/>
      <c r="M248" s="228"/>
      <c r="N248" s="232">
        <f t="shared" si="55"/>
        <v>0</v>
      </c>
    </row>
    <row r="249" spans="1:14">
      <c r="A249" s="231" t="s">
        <v>69</v>
      </c>
      <c r="B249" s="232">
        <v>37</v>
      </c>
      <c r="C249" s="232">
        <v>6</v>
      </c>
      <c r="D249" s="232">
        <v>43</v>
      </c>
      <c r="E249" s="232">
        <v>382</v>
      </c>
      <c r="F249" s="232">
        <v>137.75</v>
      </c>
      <c r="G249" s="233">
        <v>172</v>
      </c>
      <c r="H249" s="232">
        <v>524</v>
      </c>
      <c r="I249" s="232">
        <v>531.75</v>
      </c>
      <c r="J249" s="232">
        <v>154</v>
      </c>
      <c r="K249" s="232">
        <v>50.75</v>
      </c>
      <c r="L249" s="232">
        <v>37</v>
      </c>
      <c r="M249" s="232"/>
      <c r="N249" s="232">
        <f t="shared" si="55"/>
        <v>2075.25</v>
      </c>
    </row>
    <row r="250" spans="1:14">
      <c r="A250" s="231" t="s">
        <v>70</v>
      </c>
      <c r="B250" s="232">
        <v>7.75</v>
      </c>
      <c r="C250" s="232">
        <v>31</v>
      </c>
      <c r="D250" s="232">
        <v>7.75</v>
      </c>
      <c r="E250" s="232">
        <v>117</v>
      </c>
      <c r="F250" s="232"/>
      <c r="G250" s="233"/>
      <c r="H250" s="232"/>
      <c r="I250" s="232">
        <v>6</v>
      </c>
      <c r="J250" s="232"/>
      <c r="K250" s="232">
        <v>6</v>
      </c>
      <c r="L250" s="232"/>
      <c r="M250" s="232"/>
      <c r="N250" s="232">
        <f t="shared" si="55"/>
        <v>175.5</v>
      </c>
    </row>
    <row r="251" spans="1:14">
      <c r="A251" s="231" t="s">
        <v>71</v>
      </c>
      <c r="B251" s="232">
        <v>231.5</v>
      </c>
      <c r="C251" s="232">
        <v>237.5</v>
      </c>
      <c r="D251" s="232">
        <v>111</v>
      </c>
      <c r="E251" s="232">
        <v>80</v>
      </c>
      <c r="F251" s="232">
        <v>81.75</v>
      </c>
      <c r="G251" s="233"/>
      <c r="H251" s="232">
        <v>7.75</v>
      </c>
      <c r="I251" s="232">
        <v>15.5</v>
      </c>
      <c r="J251" s="232">
        <v>243.5</v>
      </c>
      <c r="K251" s="232">
        <v>132.5</v>
      </c>
      <c r="L251" s="232">
        <v>81.75</v>
      </c>
      <c r="M251" s="232"/>
      <c r="N251" s="232">
        <f t="shared" si="55"/>
        <v>1222.75</v>
      </c>
    </row>
    <row r="252" spans="1:14">
      <c r="A252" s="231" t="s">
        <v>72</v>
      </c>
      <c r="B252" s="232"/>
      <c r="C252" s="232"/>
      <c r="D252" s="232"/>
      <c r="E252" s="232"/>
      <c r="F252" s="232"/>
      <c r="G252" s="233"/>
      <c r="H252" s="232"/>
      <c r="I252" s="232"/>
      <c r="J252" s="232"/>
      <c r="K252" s="232"/>
      <c r="L252" s="232"/>
      <c r="M252" s="232"/>
      <c r="N252" s="232">
        <f t="shared" si="55"/>
        <v>0</v>
      </c>
    </row>
    <row r="253" spans="1:14">
      <c r="A253" s="231" t="s">
        <v>73</v>
      </c>
      <c r="B253" s="232"/>
      <c r="C253" s="232"/>
      <c r="D253" s="232"/>
      <c r="E253" s="232"/>
      <c r="F253" s="232"/>
      <c r="G253" s="233">
        <v>12</v>
      </c>
      <c r="H253" s="232"/>
      <c r="I253" s="232">
        <v>43</v>
      </c>
      <c r="J253" s="232"/>
      <c r="K253" s="232"/>
      <c r="L253" s="232">
        <v>6</v>
      </c>
      <c r="M253" s="232"/>
      <c r="N253" s="232">
        <f t="shared" si="55"/>
        <v>61</v>
      </c>
    </row>
    <row r="254" spans="1:14">
      <c r="A254" s="231" t="s">
        <v>74</v>
      </c>
      <c r="B254" s="232"/>
      <c r="C254" s="232"/>
      <c r="D254" s="232"/>
      <c r="E254" s="232"/>
      <c r="F254" s="232"/>
      <c r="G254" s="233"/>
      <c r="H254" s="232"/>
      <c r="I254" s="232"/>
      <c r="J254" s="232"/>
      <c r="K254" s="232"/>
      <c r="L254" s="232"/>
      <c r="M254" s="232"/>
      <c r="N254" s="232">
        <f t="shared" si="55"/>
        <v>0</v>
      </c>
    </row>
    <row r="255" spans="1:14">
      <c r="A255" s="231" t="s">
        <v>75</v>
      </c>
      <c r="B255" s="232">
        <v>62</v>
      </c>
      <c r="C255" s="232">
        <v>93</v>
      </c>
      <c r="D255" s="232">
        <v>139.5</v>
      </c>
      <c r="E255" s="232"/>
      <c r="F255" s="232">
        <v>46.5</v>
      </c>
      <c r="G255" s="233"/>
      <c r="H255" s="232"/>
      <c r="I255" s="232"/>
      <c r="J255" s="232"/>
      <c r="K255" s="232"/>
      <c r="L255" s="232"/>
      <c r="M255" s="232"/>
      <c r="N255" s="232">
        <f t="shared" si="55"/>
        <v>341</v>
      </c>
    </row>
    <row r="256" spans="1:14" ht="13.5" thickBot="1">
      <c r="A256" s="235" t="s">
        <v>76</v>
      </c>
      <c r="B256" s="236"/>
      <c r="C256" s="236"/>
      <c r="D256" s="236"/>
      <c r="E256" s="236">
        <v>38.75</v>
      </c>
      <c r="F256" s="236"/>
      <c r="G256" s="237">
        <v>13.75</v>
      </c>
      <c r="H256" s="236"/>
      <c r="I256" s="236"/>
      <c r="J256" s="236"/>
      <c r="K256" s="236"/>
      <c r="L256" s="236">
        <v>7.75</v>
      </c>
      <c r="M256" s="236"/>
      <c r="N256" s="238">
        <f t="shared" si="55"/>
        <v>60.25</v>
      </c>
    </row>
    <row r="257" spans="1:14" ht="13.5" thickBot="1">
      <c r="A257" s="239" t="s">
        <v>77</v>
      </c>
      <c r="B257" s="240">
        <f t="shared" ref="B257:M257" si="56">SUM(B246+B247+B248-B249-B250-B251-B253-B254-B255-B256)</f>
        <v>2227.75</v>
      </c>
      <c r="C257" s="240">
        <f t="shared" si="56"/>
        <v>2198.5</v>
      </c>
      <c r="D257" s="240">
        <f t="shared" si="56"/>
        <v>2264.75</v>
      </c>
      <c r="E257" s="240">
        <f t="shared" si="56"/>
        <v>1948.25</v>
      </c>
      <c r="F257" s="240">
        <f t="shared" si="56"/>
        <v>2300</v>
      </c>
      <c r="G257" s="354">
        <f t="shared" si="56"/>
        <v>2368.25</v>
      </c>
      <c r="H257" s="240">
        <f t="shared" si="56"/>
        <v>2034.25</v>
      </c>
      <c r="I257" s="240">
        <f t="shared" si="56"/>
        <v>1969.75</v>
      </c>
      <c r="J257" s="240">
        <f t="shared" si="56"/>
        <v>2168.5</v>
      </c>
      <c r="K257" s="240">
        <f t="shared" si="56"/>
        <v>2376.75</v>
      </c>
      <c r="L257" s="240">
        <f t="shared" si="56"/>
        <v>2433.5</v>
      </c>
      <c r="M257" s="241">
        <f t="shared" si="56"/>
        <v>2566</v>
      </c>
      <c r="N257" s="242">
        <f t="shared" si="55"/>
        <v>26856.25</v>
      </c>
    </row>
    <row r="258" spans="1:14">
      <c r="A258" s="243"/>
      <c r="B258" s="244"/>
      <c r="C258" s="244"/>
      <c r="D258" s="244"/>
      <c r="E258" s="244"/>
      <c r="F258" s="244"/>
      <c r="G258" s="244"/>
      <c r="H258" s="244"/>
      <c r="I258" s="244"/>
      <c r="J258" s="244"/>
      <c r="K258" s="244"/>
      <c r="L258" s="244"/>
      <c r="M258" s="244"/>
      <c r="N258" s="244"/>
    </row>
    <row r="259" spans="1:14">
      <c r="A259" s="243"/>
      <c r="B259" s="244"/>
      <c r="C259" s="244"/>
      <c r="D259" s="244"/>
      <c r="E259" s="244"/>
      <c r="F259" s="244"/>
      <c r="G259" s="244"/>
      <c r="H259" s="244"/>
      <c r="I259" s="244"/>
      <c r="J259" s="244"/>
      <c r="K259" s="244"/>
      <c r="L259" s="244"/>
      <c r="M259" s="244"/>
      <c r="N259" s="245" t="s">
        <v>78</v>
      </c>
    </row>
    <row r="260" spans="1:14">
      <c r="A260" s="231" t="s">
        <v>79</v>
      </c>
      <c r="B260" s="232">
        <f t="shared" ref="B260:M260" si="57">SUM(B247*100/B257)</f>
        <v>0</v>
      </c>
      <c r="C260" s="232">
        <f t="shared" si="57"/>
        <v>0</v>
      </c>
      <c r="D260" s="232">
        <f t="shared" si="57"/>
        <v>0</v>
      </c>
      <c r="E260" s="232">
        <f t="shared" si="57"/>
        <v>0</v>
      </c>
      <c r="F260" s="232">
        <f t="shared" si="57"/>
        <v>0</v>
      </c>
      <c r="G260" s="232">
        <f t="shared" si="57"/>
        <v>0</v>
      </c>
      <c r="H260" s="232">
        <f t="shared" si="57"/>
        <v>0</v>
      </c>
      <c r="I260" s="232">
        <f t="shared" si="57"/>
        <v>0</v>
      </c>
      <c r="J260" s="232">
        <f t="shared" si="57"/>
        <v>0</v>
      </c>
      <c r="K260" s="232">
        <f t="shared" si="57"/>
        <v>0</v>
      </c>
      <c r="L260" s="232">
        <f t="shared" si="57"/>
        <v>0</v>
      </c>
      <c r="M260" s="232">
        <f t="shared" si="57"/>
        <v>0</v>
      </c>
      <c r="N260" s="246">
        <f>SUM(B260:M260)/12</f>
        <v>0</v>
      </c>
    </row>
    <row r="261" spans="1:14">
      <c r="A261" s="243"/>
      <c r="B261" s="244"/>
      <c r="C261" s="244"/>
      <c r="D261" s="244"/>
      <c r="E261" s="244"/>
      <c r="F261" s="244"/>
      <c r="G261" s="244"/>
      <c r="H261" s="244"/>
      <c r="I261" s="244"/>
      <c r="J261" s="244"/>
      <c r="K261" s="244"/>
      <c r="L261" s="244"/>
      <c r="M261" s="244"/>
      <c r="N261" s="227"/>
    </row>
    <row r="262" spans="1:14">
      <c r="A262" s="231" t="s">
        <v>80</v>
      </c>
      <c r="B262" s="232">
        <f t="shared" ref="B262:M262" si="58">SUM(B251*100/B257)</f>
        <v>10.391650768712827</v>
      </c>
      <c r="C262" s="232">
        <f t="shared" si="58"/>
        <v>10.802820104616783</v>
      </c>
      <c r="D262" s="232">
        <f t="shared" si="58"/>
        <v>4.9012032233138312</v>
      </c>
      <c r="E262" s="232">
        <f t="shared" si="58"/>
        <v>4.1062491979982036</v>
      </c>
      <c r="F262" s="232">
        <f t="shared" si="58"/>
        <v>3.5543478260869565</v>
      </c>
      <c r="G262" s="232">
        <f t="shared" si="58"/>
        <v>0</v>
      </c>
      <c r="H262" s="232">
        <f t="shared" si="58"/>
        <v>0.38097578960304779</v>
      </c>
      <c r="I262" s="232">
        <f t="shared" si="58"/>
        <v>0.78690189110293185</v>
      </c>
      <c r="J262" s="232">
        <f t="shared" si="58"/>
        <v>11.228960110675581</v>
      </c>
      <c r="K262" s="232">
        <f t="shared" si="58"/>
        <v>5.5748395918796678</v>
      </c>
      <c r="L262" s="232">
        <f t="shared" si="58"/>
        <v>3.3593589480172592</v>
      </c>
      <c r="M262" s="232">
        <f t="shared" si="58"/>
        <v>0</v>
      </c>
      <c r="N262" s="246">
        <f>SUM(B262:M262)/12</f>
        <v>4.5906089543339235</v>
      </c>
    </row>
    <row r="263" spans="1:14" ht="13.5" thickBot="1">
      <c r="A263" s="247" t="s">
        <v>81</v>
      </c>
      <c r="B263" s="238">
        <f t="shared" ref="B263:M263" si="59">SUM(B252*100/B257)</f>
        <v>0</v>
      </c>
      <c r="C263" s="238">
        <f t="shared" si="59"/>
        <v>0</v>
      </c>
      <c r="D263" s="238">
        <f t="shared" si="59"/>
        <v>0</v>
      </c>
      <c r="E263" s="238">
        <f t="shared" si="59"/>
        <v>0</v>
      </c>
      <c r="F263" s="238">
        <f t="shared" si="59"/>
        <v>0</v>
      </c>
      <c r="G263" s="238">
        <f t="shared" si="59"/>
        <v>0</v>
      </c>
      <c r="H263" s="238">
        <f t="shared" si="59"/>
        <v>0</v>
      </c>
      <c r="I263" s="238">
        <f t="shared" si="59"/>
        <v>0</v>
      </c>
      <c r="J263" s="238">
        <f t="shared" si="59"/>
        <v>0</v>
      </c>
      <c r="K263" s="238">
        <f t="shared" si="59"/>
        <v>0</v>
      </c>
      <c r="L263" s="238">
        <f t="shared" si="59"/>
        <v>0</v>
      </c>
      <c r="M263" s="238">
        <f t="shared" si="59"/>
        <v>0</v>
      </c>
      <c r="N263" s="248">
        <f>SUM(B263:M263)/12</f>
        <v>0</v>
      </c>
    </row>
    <row r="264" spans="1:14" ht="13.5" thickBot="1">
      <c r="A264" s="249" t="s">
        <v>82</v>
      </c>
      <c r="B264" s="250">
        <f t="shared" ref="B264:M264" si="60">SUM(B262:B262)</f>
        <v>10.391650768712827</v>
      </c>
      <c r="C264" s="250">
        <f t="shared" si="60"/>
        <v>10.802820104616783</v>
      </c>
      <c r="D264" s="250">
        <f t="shared" si="60"/>
        <v>4.9012032233138312</v>
      </c>
      <c r="E264" s="250">
        <f t="shared" si="60"/>
        <v>4.1062491979982036</v>
      </c>
      <c r="F264" s="250">
        <f t="shared" si="60"/>
        <v>3.5543478260869565</v>
      </c>
      <c r="G264" s="250">
        <f t="shared" si="60"/>
        <v>0</v>
      </c>
      <c r="H264" s="250">
        <f t="shared" si="60"/>
        <v>0.38097578960304779</v>
      </c>
      <c r="I264" s="250">
        <f t="shared" si="60"/>
        <v>0.78690189110293185</v>
      </c>
      <c r="J264" s="250">
        <f t="shared" si="60"/>
        <v>11.228960110675581</v>
      </c>
      <c r="K264" s="250">
        <f t="shared" si="60"/>
        <v>5.5748395918796678</v>
      </c>
      <c r="L264" s="250">
        <f t="shared" si="60"/>
        <v>3.3593589480172592</v>
      </c>
      <c r="M264" s="250">
        <f t="shared" si="60"/>
        <v>0</v>
      </c>
      <c r="N264" s="251">
        <f>SUM(N262:N263)</f>
        <v>4.5906089543339235</v>
      </c>
    </row>
    <row r="265" spans="1:14">
      <c r="A265" s="243" t="s">
        <v>83</v>
      </c>
      <c r="B265" s="244"/>
      <c r="C265" s="244"/>
      <c r="D265" s="252">
        <f>SUM(B264:D264)/4</f>
        <v>6.5239185241608606</v>
      </c>
      <c r="E265" s="244"/>
      <c r="F265" s="244"/>
      <c r="G265" s="252">
        <f>SUM(E264,F264,G264)/4</f>
        <v>1.9151492560212899</v>
      </c>
      <c r="H265" s="244"/>
      <c r="I265" s="244"/>
      <c r="J265" s="252">
        <f>SUM(H264,I264,J264)/3</f>
        <v>4.1322792637938539</v>
      </c>
      <c r="K265" s="244"/>
      <c r="L265" s="244"/>
      <c r="M265" s="252">
        <f>SUM(K264,L264,M264)/3</f>
        <v>2.9780661799656425</v>
      </c>
      <c r="N265" s="253">
        <f>SUM(D265:M265)/4</f>
        <v>3.8873533059854117</v>
      </c>
    </row>
    <row r="266" spans="1:14">
      <c r="A266" s="243" t="s">
        <v>84</v>
      </c>
      <c r="B266" s="244"/>
      <c r="C266" s="244"/>
      <c r="D266" s="254"/>
      <c r="E266" s="244"/>
      <c r="F266" s="244"/>
      <c r="G266" s="254"/>
      <c r="H266" s="244"/>
      <c r="I266" s="244"/>
      <c r="J266" s="254"/>
      <c r="K266" s="244"/>
      <c r="L266" s="244"/>
      <c r="M266" s="254"/>
      <c r="N266" s="246">
        <f>SUM(D266:G266,J266,M266)/4</f>
        <v>0</v>
      </c>
    </row>
    <row r="267" spans="1:14">
      <c r="A267" s="243"/>
      <c r="B267" s="244"/>
      <c r="C267" s="244"/>
      <c r="D267" s="244"/>
      <c r="E267" s="244"/>
      <c r="F267" s="244"/>
      <c r="G267" s="244"/>
      <c r="H267" s="244"/>
      <c r="I267" s="244"/>
      <c r="J267" s="244"/>
      <c r="K267" s="244"/>
      <c r="L267" s="244"/>
      <c r="M267" s="244"/>
      <c r="N267" s="244"/>
    </row>
    <row r="268" spans="1:14">
      <c r="A268" s="231" t="s">
        <v>85</v>
      </c>
      <c r="B268" s="232">
        <f t="shared" ref="B268:M268" si="61">B255*100/B257</f>
        <v>2.7830770957243858</v>
      </c>
      <c r="C268" s="232">
        <f t="shared" si="61"/>
        <v>4.2301569251762565</v>
      </c>
      <c r="D268" s="232">
        <f t="shared" si="61"/>
        <v>6.1596202671376528</v>
      </c>
      <c r="E268" s="232">
        <f t="shared" si="61"/>
        <v>0</v>
      </c>
      <c r="F268" s="232">
        <f t="shared" si="61"/>
        <v>2.0217391304347827</v>
      </c>
      <c r="G268" s="232">
        <f t="shared" si="61"/>
        <v>0</v>
      </c>
      <c r="H268" s="232">
        <f t="shared" si="61"/>
        <v>0</v>
      </c>
      <c r="I268" s="232">
        <f t="shared" si="61"/>
        <v>0</v>
      </c>
      <c r="J268" s="232">
        <f t="shared" si="61"/>
        <v>0</v>
      </c>
      <c r="K268" s="232">
        <f t="shared" si="61"/>
        <v>0</v>
      </c>
      <c r="L268" s="232">
        <f t="shared" si="61"/>
        <v>0</v>
      </c>
      <c r="M268" s="232">
        <f t="shared" si="61"/>
        <v>0</v>
      </c>
      <c r="N268" s="246">
        <f>SUM(B268:M268)/12</f>
        <v>1.2662161182060898</v>
      </c>
    </row>
    <row r="269" spans="1:14">
      <c r="A269" s="231" t="s">
        <v>86</v>
      </c>
      <c r="B269" s="232">
        <f t="shared" ref="B269:M269" si="62">B253*100/B257</f>
        <v>0</v>
      </c>
      <c r="C269" s="232">
        <f t="shared" si="62"/>
        <v>0</v>
      </c>
      <c r="D269" s="232">
        <f t="shared" si="62"/>
        <v>0</v>
      </c>
      <c r="E269" s="232">
        <f t="shared" si="62"/>
        <v>0</v>
      </c>
      <c r="F269" s="232">
        <f t="shared" si="62"/>
        <v>0</v>
      </c>
      <c r="G269" s="232">
        <f t="shared" si="62"/>
        <v>0.50670326190224846</v>
      </c>
      <c r="H269" s="232">
        <f t="shared" si="62"/>
        <v>0</v>
      </c>
      <c r="I269" s="232">
        <f t="shared" si="62"/>
        <v>2.1830181495113594</v>
      </c>
      <c r="J269" s="232">
        <f t="shared" si="62"/>
        <v>0</v>
      </c>
      <c r="K269" s="232">
        <f t="shared" si="62"/>
        <v>0</v>
      </c>
      <c r="L269" s="232">
        <f t="shared" si="62"/>
        <v>0.24655845490034928</v>
      </c>
      <c r="M269" s="232">
        <f t="shared" si="62"/>
        <v>0</v>
      </c>
      <c r="N269" s="246">
        <f>SUM(B269:M269)/12</f>
        <v>0.24468998885949642</v>
      </c>
    </row>
    <row r="270" spans="1:14" ht="13.5" thickBot="1">
      <c r="A270" s="231" t="s">
        <v>87</v>
      </c>
      <c r="B270" s="232">
        <f t="shared" ref="B270:M270" si="63">B249*100/B257</f>
        <v>1.6608685893839075</v>
      </c>
      <c r="C270" s="232">
        <f t="shared" si="63"/>
        <v>0.2729133500113714</v>
      </c>
      <c r="D270" s="232">
        <f t="shared" si="63"/>
        <v>1.898664311734187</v>
      </c>
      <c r="E270" s="232">
        <f t="shared" si="63"/>
        <v>19.607339920441422</v>
      </c>
      <c r="F270" s="232">
        <f t="shared" si="63"/>
        <v>5.9891304347826084</v>
      </c>
      <c r="G270" s="232">
        <f t="shared" si="63"/>
        <v>7.2627467539322286</v>
      </c>
      <c r="H270" s="232">
        <f t="shared" si="63"/>
        <v>25.75887919380607</v>
      </c>
      <c r="I270" s="232">
        <f t="shared" si="63"/>
        <v>26.995811651224773</v>
      </c>
      <c r="J270" s="232">
        <f t="shared" si="63"/>
        <v>7.1016831911459537</v>
      </c>
      <c r="K270" s="232">
        <f t="shared" si="63"/>
        <v>2.1352687493425897</v>
      </c>
      <c r="L270" s="232">
        <f t="shared" si="63"/>
        <v>1.5204438052188207</v>
      </c>
      <c r="M270" s="232">
        <f t="shared" si="63"/>
        <v>0</v>
      </c>
      <c r="N270" s="246">
        <f>SUM(B270:M270)/12</f>
        <v>8.3503124959186596</v>
      </c>
    </row>
    <row r="271" spans="1:14" ht="13.5" thickBot="1">
      <c r="A271" s="255" t="s">
        <v>88</v>
      </c>
      <c r="B271" s="256">
        <f t="shared" ref="B271:M271" si="64">SUM(B246-B257)*100/B257</f>
        <v>15.183481090786668</v>
      </c>
      <c r="C271" s="256">
        <f t="shared" si="64"/>
        <v>16.715942688196499</v>
      </c>
      <c r="D271" s="256">
        <f t="shared" si="64"/>
        <v>13.301688928137764</v>
      </c>
      <c r="E271" s="256">
        <f t="shared" si="64"/>
        <v>31.707943025792378</v>
      </c>
      <c r="F271" s="256">
        <f t="shared" si="64"/>
        <v>11.565217391304348</v>
      </c>
      <c r="G271" s="256">
        <f t="shared" si="64"/>
        <v>8.3500475034308028</v>
      </c>
      <c r="H271" s="256">
        <f t="shared" si="64"/>
        <v>26.139854983409119</v>
      </c>
      <c r="I271" s="256">
        <f t="shared" si="64"/>
        <v>30.270338875491813</v>
      </c>
      <c r="J271" s="256">
        <f t="shared" si="64"/>
        <v>18.330643301821535</v>
      </c>
      <c r="K271" s="256">
        <f t="shared" si="64"/>
        <v>7.9625539076469973</v>
      </c>
      <c r="L271" s="256">
        <f t="shared" si="64"/>
        <v>5.4448325457160465</v>
      </c>
      <c r="M271" s="256">
        <f t="shared" si="64"/>
        <v>0</v>
      </c>
      <c r="N271" s="257">
        <f>SUM(B271:M271)/12</f>
        <v>15.414378686811164</v>
      </c>
    </row>
    <row r="272" spans="1:14">
      <c r="A272" s="243"/>
      <c r="B272" s="244"/>
      <c r="C272" s="244"/>
      <c r="D272" s="244"/>
      <c r="E272" s="244"/>
      <c r="F272" s="244"/>
      <c r="G272" s="244"/>
      <c r="H272" s="244"/>
      <c r="I272" s="244"/>
      <c r="J272" s="244"/>
      <c r="K272" s="244"/>
      <c r="L272" s="244"/>
      <c r="M272" s="244"/>
      <c r="N272" s="227"/>
    </row>
    <row r="273" spans="1:14">
      <c r="A273" s="258" t="s">
        <v>89</v>
      </c>
      <c r="B273" s="244"/>
      <c r="C273" s="244"/>
      <c r="D273" s="244"/>
      <c r="E273" s="244"/>
      <c r="F273" s="244"/>
      <c r="G273" s="244"/>
      <c r="H273" s="244"/>
      <c r="I273" s="244"/>
      <c r="J273" s="244"/>
      <c r="K273" s="244"/>
      <c r="L273" s="244"/>
      <c r="M273" s="244"/>
      <c r="N273" s="227"/>
    </row>
    <row r="274" spans="1:14">
      <c r="A274" s="231" t="s">
        <v>90</v>
      </c>
      <c r="B274" s="259">
        <v>15</v>
      </c>
      <c r="C274" s="259">
        <v>15</v>
      </c>
      <c r="D274" s="259">
        <v>15</v>
      </c>
      <c r="E274" s="259">
        <v>15</v>
      </c>
      <c r="F274" s="259">
        <v>16</v>
      </c>
      <c r="G274" s="259">
        <v>16</v>
      </c>
      <c r="H274" s="259">
        <v>16</v>
      </c>
      <c r="I274" s="259">
        <v>16</v>
      </c>
      <c r="J274" s="259">
        <f>I277</f>
        <v>16</v>
      </c>
      <c r="K274" s="259">
        <f>J277</f>
        <v>16</v>
      </c>
      <c r="L274" s="259">
        <f>K277</f>
        <v>16</v>
      </c>
      <c r="M274" s="259">
        <f>L277</f>
        <v>16</v>
      </c>
      <c r="N274" s="259">
        <f>M277</f>
        <v>16</v>
      </c>
    </row>
    <row r="275" spans="1:14">
      <c r="A275" s="231" t="s">
        <v>91</v>
      </c>
      <c r="B275" s="259"/>
      <c r="C275" s="259"/>
      <c r="D275" s="259"/>
      <c r="E275" s="259">
        <v>1</v>
      </c>
      <c r="F275" s="259"/>
      <c r="G275" s="259"/>
      <c r="H275" s="259"/>
      <c r="I275" s="259"/>
      <c r="J275" s="259"/>
      <c r="K275" s="259"/>
      <c r="L275" s="259"/>
      <c r="M275" s="259"/>
      <c r="N275" s="259">
        <f>SUM(B275:M275)/12</f>
        <v>8.3333333333333329E-2</v>
      </c>
    </row>
    <row r="276" spans="1:14">
      <c r="A276" s="231" t="s">
        <v>92</v>
      </c>
      <c r="B276" s="259"/>
      <c r="C276" s="259"/>
      <c r="D276" s="259"/>
      <c r="E276" s="259"/>
      <c r="F276" s="259"/>
      <c r="G276" s="259"/>
      <c r="H276" s="259"/>
      <c r="I276" s="259"/>
      <c r="J276" s="259"/>
      <c r="K276" s="259"/>
      <c r="L276" s="259"/>
      <c r="M276" s="259"/>
      <c r="N276" s="259">
        <f>SUM(B275:M275)/12</f>
        <v>8.3333333333333329E-2</v>
      </c>
    </row>
    <row r="277" spans="1:14">
      <c r="A277" s="231" t="s">
        <v>89</v>
      </c>
      <c r="B277" s="259">
        <f t="shared" ref="B277:M277" si="65">SUM(B274+B275-B276)</f>
        <v>15</v>
      </c>
      <c r="C277" s="259">
        <f t="shared" si="65"/>
        <v>15</v>
      </c>
      <c r="D277" s="259">
        <f t="shared" si="65"/>
        <v>15</v>
      </c>
      <c r="E277" s="259">
        <f t="shared" si="65"/>
        <v>16</v>
      </c>
      <c r="F277" s="259">
        <f t="shared" si="65"/>
        <v>16</v>
      </c>
      <c r="G277" s="259">
        <f t="shared" si="65"/>
        <v>16</v>
      </c>
      <c r="H277" s="259">
        <f t="shared" si="65"/>
        <v>16</v>
      </c>
      <c r="I277" s="259">
        <f t="shared" si="65"/>
        <v>16</v>
      </c>
      <c r="J277" s="259">
        <f t="shared" si="65"/>
        <v>16</v>
      </c>
      <c r="K277" s="259">
        <f t="shared" si="65"/>
        <v>16</v>
      </c>
      <c r="L277" s="259">
        <f t="shared" si="65"/>
        <v>16</v>
      </c>
      <c r="M277" s="259">
        <f t="shared" si="65"/>
        <v>16</v>
      </c>
      <c r="N277" s="259">
        <f>SUM(B276:M276)/12</f>
        <v>0</v>
      </c>
    </row>
    <row r="278" spans="1:14">
      <c r="A278" s="231" t="s">
        <v>93</v>
      </c>
      <c r="B278" s="260">
        <f t="shared" ref="B278:M278" si="66">SUM(B277*100)/B274-100</f>
        <v>0</v>
      </c>
      <c r="C278" s="260">
        <f t="shared" si="66"/>
        <v>0</v>
      </c>
      <c r="D278" s="260">
        <f t="shared" si="66"/>
        <v>0</v>
      </c>
      <c r="E278" s="260">
        <f t="shared" si="66"/>
        <v>6.6666666666666714</v>
      </c>
      <c r="F278" s="260">
        <f t="shared" si="66"/>
        <v>0</v>
      </c>
      <c r="G278" s="260">
        <f t="shared" si="66"/>
        <v>0</v>
      </c>
      <c r="H278" s="260">
        <f t="shared" si="66"/>
        <v>0</v>
      </c>
      <c r="I278" s="260">
        <f t="shared" si="66"/>
        <v>0</v>
      </c>
      <c r="J278" s="260">
        <f t="shared" si="66"/>
        <v>0</v>
      </c>
      <c r="K278" s="260">
        <f t="shared" si="66"/>
        <v>0</v>
      </c>
      <c r="L278" s="260">
        <f t="shared" si="66"/>
        <v>0</v>
      </c>
      <c r="M278" s="260">
        <f t="shared" si="66"/>
        <v>0</v>
      </c>
      <c r="N278" s="259"/>
    </row>
    <row r="279" spans="1:14">
      <c r="A279" s="243" t="s">
        <v>94</v>
      </c>
      <c r="B279" s="261"/>
      <c r="C279" s="261"/>
      <c r="D279" s="262">
        <f>SUM(B278:D278/3)</f>
        <v>0</v>
      </c>
      <c r="E279" s="261"/>
      <c r="F279" s="261"/>
      <c r="G279" s="262">
        <f>SUM(E278:G278)/3</f>
        <v>2.2222222222222237</v>
      </c>
      <c r="H279" s="261"/>
      <c r="I279" s="261"/>
      <c r="J279" s="262">
        <f>SUM(H278:J278)/3</f>
        <v>0</v>
      </c>
      <c r="K279" s="261"/>
      <c r="L279" s="261"/>
      <c r="M279" s="262">
        <f>SUM(K278:M278)/3</f>
        <v>0</v>
      </c>
      <c r="N279" s="261"/>
    </row>
    <row r="280" spans="1:14" ht="13.5" thickBot="1">
      <c r="A280" s="372"/>
      <c r="B280" s="373"/>
      <c r="C280" s="373"/>
      <c r="D280" s="373"/>
      <c r="E280" s="373"/>
      <c r="F280" s="373"/>
      <c r="G280" s="373"/>
      <c r="H280" s="373"/>
      <c r="I280" s="373"/>
      <c r="J280" s="373"/>
      <c r="K280" s="373"/>
      <c r="L280" s="373"/>
      <c r="M280" s="373"/>
      <c r="N280" s="374"/>
    </row>
    <row r="281" spans="1:14">
      <c r="A281" s="243"/>
      <c r="B281" s="244"/>
      <c r="C281" s="244"/>
      <c r="D281" s="244"/>
      <c r="E281" s="244"/>
      <c r="F281" s="244"/>
      <c r="G281" s="244"/>
      <c r="H281" s="244"/>
      <c r="I281" s="244"/>
      <c r="J281" s="244"/>
      <c r="K281" s="244"/>
      <c r="L281" s="244"/>
      <c r="M281" s="244"/>
      <c r="N281" s="227"/>
    </row>
    <row r="282" spans="1:14" ht="15.75">
      <c r="A282" s="403" t="s">
        <v>296</v>
      </c>
      <c r="B282" s="403"/>
      <c r="C282" s="403"/>
      <c r="D282" s="403"/>
      <c r="E282" s="403"/>
      <c r="F282" s="403"/>
      <c r="G282" s="403"/>
      <c r="H282" s="403"/>
      <c r="I282" s="403"/>
      <c r="J282" s="403"/>
      <c r="K282" s="403"/>
      <c r="L282" s="403"/>
      <c r="M282" s="403"/>
      <c r="N282" s="403"/>
    </row>
    <row r="283" spans="1:14" ht="15.75">
      <c r="E283" s="282"/>
      <c r="M283" s="244"/>
      <c r="N283" s="227"/>
    </row>
    <row r="284" spans="1:14">
      <c r="A284" s="376" t="s">
        <v>185</v>
      </c>
      <c r="B284" s="377"/>
      <c r="C284" s="378"/>
      <c r="D284" s="839" t="s">
        <v>186</v>
      </c>
      <c r="E284" s="840"/>
      <c r="G284" s="299"/>
      <c r="K284" s="299"/>
      <c r="M284" s="244"/>
      <c r="N284" s="227"/>
    </row>
    <row r="285" spans="1:14">
      <c r="A285" s="379"/>
      <c r="B285" s="380"/>
      <c r="C285" s="381"/>
      <c r="D285" s="290"/>
      <c r="E285" s="291"/>
      <c r="G285" s="846"/>
      <c r="H285" s="846"/>
      <c r="I285" s="846"/>
      <c r="J285" s="846"/>
      <c r="K285" s="846"/>
      <c r="M285" s="244"/>
      <c r="N285" s="227"/>
    </row>
    <row r="286" spans="1:14" ht="13.5" thickBot="1">
      <c r="A286" s="387"/>
      <c r="C286" s="388"/>
      <c r="D286" s="290"/>
      <c r="E286" s="291"/>
      <c r="H286" s="404"/>
      <c r="K286" s="291"/>
      <c r="L286" s="320"/>
      <c r="M286" s="244"/>
      <c r="N286" s="227"/>
    </row>
    <row r="287" spans="1:14" ht="13.5" thickBot="1">
      <c r="A287" s="294" t="s">
        <v>167</v>
      </c>
      <c r="B287" s="296"/>
      <c r="C287" s="389"/>
      <c r="D287" s="488">
        <f>SUM(D285:D286)</f>
        <v>0</v>
      </c>
      <c r="E287" s="291"/>
      <c r="H287" s="404"/>
      <c r="K287" s="291"/>
      <c r="L287" s="320"/>
      <c r="M287" s="244"/>
      <c r="N287" s="227"/>
    </row>
    <row r="288" spans="1:14">
      <c r="A288" s="390" t="s">
        <v>168</v>
      </c>
      <c r="B288" s="391"/>
      <c r="C288" s="392"/>
      <c r="D288" s="393">
        <f>D287/12</f>
        <v>0</v>
      </c>
      <c r="E288" s="291"/>
      <c r="K288" s="300"/>
      <c r="L288" s="320"/>
      <c r="M288" s="244"/>
      <c r="N288" s="227"/>
    </row>
    <row r="289" spans="1:14">
      <c r="C289" s="394"/>
      <c r="E289" s="291"/>
      <c r="J289" s="394"/>
      <c r="K289" s="300"/>
      <c r="L289" s="517"/>
      <c r="M289" s="244"/>
      <c r="N289" s="227"/>
    </row>
    <row r="290" spans="1:14">
      <c r="A290" s="258" t="s">
        <v>113</v>
      </c>
      <c r="B290" s="244"/>
      <c r="C290" s="244"/>
      <c r="D290" s="244"/>
      <c r="E290" s="244"/>
      <c r="F290" s="244"/>
      <c r="G290" s="244"/>
      <c r="H290" s="244"/>
      <c r="I290" s="244"/>
      <c r="J290" s="244"/>
      <c r="K290" s="244"/>
      <c r="L290" s="244"/>
      <c r="M290" s="244"/>
      <c r="N290" s="227"/>
    </row>
    <row r="291" spans="1:14">
      <c r="A291" s="328"/>
      <c r="B291" s="232" t="s">
        <v>44</v>
      </c>
      <c r="C291" s="232" t="s">
        <v>45</v>
      </c>
      <c r="D291" s="232" t="s">
        <v>46</v>
      </c>
      <c r="E291" s="232" t="s">
        <v>47</v>
      </c>
      <c r="F291" s="232" t="s">
        <v>48</v>
      </c>
      <c r="G291" s="232" t="s">
        <v>49</v>
      </c>
      <c r="H291" s="232" t="s">
        <v>38</v>
      </c>
      <c r="I291" s="232" t="s">
        <v>39</v>
      </c>
      <c r="J291" s="232" t="s">
        <v>40</v>
      </c>
      <c r="K291" s="232" t="s">
        <v>41</v>
      </c>
      <c r="L291" s="232" t="s">
        <v>42</v>
      </c>
      <c r="M291" s="232" t="s">
        <v>43</v>
      </c>
      <c r="N291" s="228"/>
    </row>
    <row r="292" spans="1:14">
      <c r="A292" s="231" t="s">
        <v>115</v>
      </c>
      <c r="B292" s="329">
        <f t="shared" ref="B292:M292" si="67">$D$288</f>
        <v>0</v>
      </c>
      <c r="C292" s="329">
        <f t="shared" si="67"/>
        <v>0</v>
      </c>
      <c r="D292" s="329">
        <f t="shared" si="67"/>
        <v>0</v>
      </c>
      <c r="E292" s="329">
        <f t="shared" si="67"/>
        <v>0</v>
      </c>
      <c r="F292" s="329">
        <f t="shared" si="67"/>
        <v>0</v>
      </c>
      <c r="G292" s="329">
        <f t="shared" si="67"/>
        <v>0</v>
      </c>
      <c r="H292" s="329">
        <f t="shared" si="67"/>
        <v>0</v>
      </c>
      <c r="I292" s="329">
        <f t="shared" si="67"/>
        <v>0</v>
      </c>
      <c r="J292" s="329">
        <f t="shared" si="67"/>
        <v>0</v>
      </c>
      <c r="K292" s="329">
        <f t="shared" si="67"/>
        <v>0</v>
      </c>
      <c r="L292" s="329">
        <f t="shared" si="67"/>
        <v>0</v>
      </c>
      <c r="M292" s="329">
        <f t="shared" si="67"/>
        <v>0</v>
      </c>
      <c r="N292" s="329">
        <f t="shared" ref="N292:N298" si="68">SUM(B292:M292)</f>
        <v>0</v>
      </c>
    </row>
    <row r="293" spans="1:14" ht="13.5" thickBot="1">
      <c r="A293" s="231" t="s">
        <v>208</v>
      </c>
      <c r="B293" s="329">
        <v>0</v>
      </c>
      <c r="C293" s="329">
        <v>0</v>
      </c>
      <c r="D293" s="329"/>
      <c r="E293" s="329"/>
      <c r="F293" s="329"/>
      <c r="G293" s="358"/>
      <c r="H293" s="329"/>
      <c r="I293" s="329"/>
      <c r="J293" s="329"/>
      <c r="K293" s="329"/>
      <c r="L293" s="329"/>
      <c r="M293" s="329"/>
      <c r="N293" s="329">
        <f t="shared" si="68"/>
        <v>0</v>
      </c>
    </row>
    <row r="294" spans="1:14" ht="13.5" thickBot="1">
      <c r="A294" s="333" t="s">
        <v>169</v>
      </c>
      <c r="B294" s="395">
        <f t="shared" ref="B294:M294" si="69">SUM(B292,B293)</f>
        <v>0</v>
      </c>
      <c r="C294" s="395">
        <f t="shared" si="69"/>
        <v>0</v>
      </c>
      <c r="D294" s="395">
        <f t="shared" si="69"/>
        <v>0</v>
      </c>
      <c r="E294" s="395">
        <f t="shared" si="69"/>
        <v>0</v>
      </c>
      <c r="F294" s="395">
        <f t="shared" si="69"/>
        <v>0</v>
      </c>
      <c r="G294" s="395">
        <f t="shared" si="69"/>
        <v>0</v>
      </c>
      <c r="H294" s="395">
        <f t="shared" si="69"/>
        <v>0</v>
      </c>
      <c r="I294" s="395">
        <f t="shared" si="69"/>
        <v>0</v>
      </c>
      <c r="J294" s="395">
        <f t="shared" si="69"/>
        <v>0</v>
      </c>
      <c r="K294" s="395">
        <f t="shared" si="69"/>
        <v>0</v>
      </c>
      <c r="L294" s="395">
        <f t="shared" si="69"/>
        <v>0</v>
      </c>
      <c r="M294" s="395">
        <f t="shared" si="69"/>
        <v>0</v>
      </c>
      <c r="N294" s="396">
        <f t="shared" si="68"/>
        <v>0</v>
      </c>
    </row>
    <row r="295" spans="1:14">
      <c r="A295" s="228" t="s">
        <v>209</v>
      </c>
      <c r="B295" s="330">
        <v>0</v>
      </c>
      <c r="C295" s="330">
        <v>0</v>
      </c>
      <c r="D295" s="330">
        <v>0</v>
      </c>
      <c r="E295" s="330">
        <v>0</v>
      </c>
      <c r="F295" s="330">
        <v>0</v>
      </c>
      <c r="G295" s="330"/>
      <c r="H295" s="330"/>
      <c r="I295" s="330"/>
      <c r="J295" s="330"/>
      <c r="K295" s="330"/>
      <c r="L295" s="330"/>
      <c r="M295" s="330"/>
      <c r="N295" s="330">
        <f t="shared" si="68"/>
        <v>0</v>
      </c>
    </row>
    <row r="296" spans="1:14">
      <c r="A296" s="349" t="s">
        <v>210</v>
      </c>
      <c r="B296" s="330"/>
      <c r="C296" s="330">
        <v>10000</v>
      </c>
      <c r="D296" s="330">
        <v>10000</v>
      </c>
      <c r="E296" s="330"/>
      <c r="F296" s="330"/>
      <c r="G296" s="330"/>
      <c r="H296" s="330"/>
      <c r="I296" s="330"/>
      <c r="J296" s="330"/>
      <c r="K296" s="330"/>
      <c r="L296" s="330"/>
      <c r="M296" s="330"/>
      <c r="N296" s="330">
        <f t="shared" si="68"/>
        <v>20000</v>
      </c>
    </row>
    <row r="297" spans="1:14">
      <c r="A297" s="349" t="s">
        <v>211</v>
      </c>
      <c r="B297" s="330">
        <v>78225</v>
      </c>
      <c r="C297" s="330">
        <v>87587.5</v>
      </c>
      <c r="D297" s="330">
        <v>66325</v>
      </c>
      <c r="E297" s="330">
        <v>15000</v>
      </c>
      <c r="F297" s="330">
        <v>60800</v>
      </c>
      <c r="G297" s="330">
        <v>19750</v>
      </c>
      <c r="H297" s="330">
        <v>7550</v>
      </c>
      <c r="I297" s="330">
        <v>58037.5</v>
      </c>
      <c r="J297" s="330">
        <v>55725</v>
      </c>
      <c r="K297" s="330">
        <v>109600</v>
      </c>
      <c r="L297" s="330">
        <v>53950</v>
      </c>
      <c r="M297" s="330"/>
      <c r="N297" s="330">
        <f t="shared" si="68"/>
        <v>612550</v>
      </c>
    </row>
    <row r="298" spans="1:14" ht="13.5" thickBot="1">
      <c r="A298" s="359" t="s">
        <v>208</v>
      </c>
      <c r="B298" s="344"/>
      <c r="C298" s="344"/>
      <c r="D298" s="344"/>
      <c r="E298" s="344"/>
      <c r="F298" s="344"/>
      <c r="G298" s="344"/>
      <c r="H298" s="344"/>
      <c r="I298" s="344"/>
      <c r="J298" s="344"/>
      <c r="K298" s="344"/>
      <c r="L298" s="344"/>
      <c r="M298" s="344"/>
      <c r="N298" s="330">
        <f t="shared" si="68"/>
        <v>0</v>
      </c>
    </row>
    <row r="299" spans="1:14" ht="13.5" thickBot="1">
      <c r="A299" s="360" t="s">
        <v>126</v>
      </c>
      <c r="B299" s="361">
        <f t="shared" ref="B299:N299" si="70">SUM(B295:B298)</f>
        <v>78225</v>
      </c>
      <c r="C299" s="361">
        <f t="shared" si="70"/>
        <v>97587.5</v>
      </c>
      <c r="D299" s="361">
        <f t="shared" si="70"/>
        <v>76325</v>
      </c>
      <c r="E299" s="361">
        <f t="shared" si="70"/>
        <v>15000</v>
      </c>
      <c r="F299" s="361">
        <f t="shared" si="70"/>
        <v>60800</v>
      </c>
      <c r="G299" s="361">
        <f t="shared" si="70"/>
        <v>19750</v>
      </c>
      <c r="H299" s="361">
        <f t="shared" si="70"/>
        <v>7550</v>
      </c>
      <c r="I299" s="361">
        <f t="shared" si="70"/>
        <v>58037.5</v>
      </c>
      <c r="J299" s="361">
        <f t="shared" si="70"/>
        <v>55725</v>
      </c>
      <c r="K299" s="361">
        <f t="shared" si="70"/>
        <v>109600</v>
      </c>
      <c r="L299" s="361">
        <f t="shared" si="70"/>
        <v>53950</v>
      </c>
      <c r="M299" s="361">
        <f t="shared" si="70"/>
        <v>0</v>
      </c>
      <c r="N299" s="361">
        <f t="shared" si="70"/>
        <v>632550</v>
      </c>
    </row>
    <row r="300" spans="1:14">
      <c r="A300" s="228" t="s">
        <v>127</v>
      </c>
      <c r="B300" s="332"/>
      <c r="C300" s="332"/>
      <c r="D300" s="332"/>
      <c r="E300" s="332"/>
      <c r="F300" s="332"/>
      <c r="G300" s="398"/>
      <c r="H300" s="332"/>
      <c r="I300" s="332"/>
      <c r="J300" s="332"/>
      <c r="K300" s="332"/>
      <c r="L300" s="332"/>
      <c r="M300" s="332"/>
      <c r="N300" s="332">
        <f>SUM(B300:M300)</f>
        <v>0</v>
      </c>
    </row>
    <row r="301" spans="1:14">
      <c r="A301" s="363" t="s">
        <v>129</v>
      </c>
      <c r="B301" s="405">
        <f t="shared" ref="B301:N301" si="71">SUM(B294,B299,B300)</f>
        <v>78225</v>
      </c>
      <c r="C301" s="405">
        <f t="shared" si="71"/>
        <v>97587.5</v>
      </c>
      <c r="D301" s="405">
        <f t="shared" si="71"/>
        <v>76325</v>
      </c>
      <c r="E301" s="405">
        <f t="shared" si="71"/>
        <v>15000</v>
      </c>
      <c r="F301" s="405">
        <f t="shared" si="71"/>
        <v>60800</v>
      </c>
      <c r="G301" s="405">
        <f t="shared" si="71"/>
        <v>19750</v>
      </c>
      <c r="H301" s="405">
        <f t="shared" si="71"/>
        <v>7550</v>
      </c>
      <c r="I301" s="405">
        <f t="shared" si="71"/>
        <v>58037.5</v>
      </c>
      <c r="J301" s="405">
        <f t="shared" si="71"/>
        <v>55725</v>
      </c>
      <c r="K301" s="405">
        <f t="shared" si="71"/>
        <v>109600</v>
      </c>
      <c r="L301" s="405">
        <f t="shared" si="71"/>
        <v>53950</v>
      </c>
      <c r="M301" s="405">
        <f t="shared" si="71"/>
        <v>0</v>
      </c>
      <c r="N301" s="405">
        <f t="shared" si="71"/>
        <v>632550</v>
      </c>
    </row>
    <row r="302" spans="1:14">
      <c r="A302" s="400" t="s">
        <v>131</v>
      </c>
      <c r="B302" s="332">
        <v>470429.24</v>
      </c>
      <c r="C302" s="332">
        <v>448031</v>
      </c>
      <c r="D302" s="332">
        <v>494316</v>
      </c>
      <c r="E302" s="332">
        <v>609265</v>
      </c>
      <c r="F302" s="332">
        <v>482089</v>
      </c>
      <c r="G302" s="332">
        <v>476124</v>
      </c>
      <c r="H302" s="332">
        <v>431742</v>
      </c>
      <c r="I302" s="332">
        <v>438577</v>
      </c>
      <c r="J302" s="332">
        <v>441760</v>
      </c>
      <c r="K302" s="332">
        <v>445627</v>
      </c>
      <c r="L302" s="332">
        <v>438584</v>
      </c>
      <c r="M302" s="332"/>
      <c r="N302" s="332">
        <f>SUM(B302:M302)</f>
        <v>5176544.24</v>
      </c>
    </row>
    <row r="303" spans="1:14">
      <c r="A303" s="228" t="s">
        <v>130</v>
      </c>
      <c r="B303" s="228">
        <v>8000</v>
      </c>
      <c r="C303" s="228">
        <v>8000</v>
      </c>
      <c r="D303" s="228">
        <v>8000</v>
      </c>
      <c r="E303" s="228">
        <v>8000</v>
      </c>
      <c r="F303" s="228">
        <v>8000</v>
      </c>
      <c r="G303" s="228">
        <v>8000</v>
      </c>
      <c r="H303" s="228">
        <v>8000</v>
      </c>
      <c r="I303" s="228">
        <v>8000</v>
      </c>
      <c r="J303" s="228">
        <v>8000</v>
      </c>
      <c r="K303" s="228">
        <v>8000</v>
      </c>
      <c r="L303" s="228">
        <v>8000</v>
      </c>
      <c r="M303" s="228">
        <v>8000</v>
      </c>
      <c r="N303" s="332">
        <f>SUM(B303:M303)</f>
        <v>96000</v>
      </c>
    </row>
    <row r="304" spans="1:14">
      <c r="A304" s="367" t="s">
        <v>146</v>
      </c>
      <c r="B304" s="368">
        <f t="shared" ref="B304:N304" si="72">SUM(B301-B302-B303)</f>
        <v>-400204.24</v>
      </c>
      <c r="C304" s="368">
        <f t="shared" si="72"/>
        <v>-358443.5</v>
      </c>
      <c r="D304" s="368">
        <f t="shared" si="72"/>
        <v>-425991</v>
      </c>
      <c r="E304" s="368">
        <f t="shared" si="72"/>
        <v>-602265</v>
      </c>
      <c r="F304" s="368">
        <f t="shared" si="72"/>
        <v>-429289</v>
      </c>
      <c r="G304" s="368">
        <f t="shared" si="72"/>
        <v>-464374</v>
      </c>
      <c r="H304" s="368">
        <f t="shared" si="72"/>
        <v>-432192</v>
      </c>
      <c r="I304" s="368">
        <f t="shared" si="72"/>
        <v>-388539.5</v>
      </c>
      <c r="J304" s="368">
        <f t="shared" si="72"/>
        <v>-394035</v>
      </c>
      <c r="K304" s="368">
        <f t="shared" si="72"/>
        <v>-344027</v>
      </c>
      <c r="L304" s="368">
        <f t="shared" si="72"/>
        <v>-392634</v>
      </c>
      <c r="M304" s="368">
        <f t="shared" si="72"/>
        <v>-8000</v>
      </c>
      <c r="N304" s="368">
        <f t="shared" si="72"/>
        <v>-4639994.24</v>
      </c>
    </row>
    <row r="305" spans="1:14">
      <c r="A305" s="406"/>
      <c r="B305" s="407"/>
      <c r="C305" s="407"/>
      <c r="D305" s="407"/>
      <c r="E305" s="407"/>
      <c r="F305" s="407"/>
      <c r="G305" s="407"/>
      <c r="H305" s="407"/>
      <c r="I305" s="407"/>
      <c r="J305" s="407"/>
      <c r="K305" s="407"/>
      <c r="L305" s="407"/>
      <c r="M305" s="407"/>
      <c r="N305" s="407"/>
    </row>
    <row r="307" spans="1:14">
      <c r="A307" s="400" t="s">
        <v>401</v>
      </c>
      <c r="B307" s="232" t="s">
        <v>39</v>
      </c>
      <c r="C307" s="232" t="s">
        <v>40</v>
      </c>
      <c r="D307" s="232" t="s">
        <v>41</v>
      </c>
      <c r="E307" s="232" t="s">
        <v>42</v>
      </c>
      <c r="F307" s="232" t="s">
        <v>43</v>
      </c>
      <c r="G307" s="232" t="s">
        <v>44</v>
      </c>
      <c r="H307" s="232" t="s">
        <v>45</v>
      </c>
      <c r="I307" s="232" t="s">
        <v>46</v>
      </c>
      <c r="J307" s="232" t="s">
        <v>47</v>
      </c>
      <c r="K307" s="232" t="s">
        <v>48</v>
      </c>
      <c r="L307" s="232" t="s">
        <v>49</v>
      </c>
      <c r="M307" s="232" t="s">
        <v>38</v>
      </c>
      <c r="N307" s="407"/>
    </row>
    <row r="308" spans="1:14">
      <c r="A308" s="292" t="s">
        <v>402</v>
      </c>
      <c r="B308" s="292">
        <v>60</v>
      </c>
      <c r="C308" s="292"/>
      <c r="D308" s="292">
        <v>17</v>
      </c>
      <c r="E308" s="292"/>
      <c r="F308" s="292"/>
      <c r="G308" s="292"/>
      <c r="H308" s="292"/>
      <c r="I308" s="292"/>
      <c r="J308" s="292"/>
      <c r="K308" s="292"/>
      <c r="L308" s="292"/>
      <c r="M308" s="292"/>
    </row>
    <row r="309" spans="1:14">
      <c r="A309" s="292" t="s">
        <v>213</v>
      </c>
      <c r="B309" s="292">
        <v>1616</v>
      </c>
      <c r="C309" s="292"/>
      <c r="D309" s="292">
        <v>217</v>
      </c>
      <c r="E309" s="292"/>
      <c r="F309" s="292"/>
      <c r="G309" s="292"/>
      <c r="H309" s="292"/>
      <c r="I309" s="292"/>
      <c r="J309" s="292"/>
      <c r="K309" s="292"/>
      <c r="L309" s="292"/>
      <c r="M309" s="292"/>
    </row>
    <row r="310" spans="1:14">
      <c r="A310" s="292" t="s">
        <v>403</v>
      </c>
      <c r="B310" s="292">
        <v>11</v>
      </c>
      <c r="C310" s="292"/>
      <c r="D310" s="292"/>
      <c r="E310" s="292"/>
      <c r="F310" s="292"/>
      <c r="G310" s="292"/>
      <c r="H310" s="292"/>
      <c r="I310" s="292"/>
      <c r="J310" s="292"/>
      <c r="K310" s="292"/>
      <c r="L310" s="292"/>
      <c r="M310" s="292"/>
    </row>
    <row r="311" spans="1:14">
      <c r="A311" s="292" t="s">
        <v>213</v>
      </c>
      <c r="B311" s="292">
        <v>520</v>
      </c>
      <c r="C311" s="292"/>
      <c r="D311" s="292"/>
      <c r="E311" s="292"/>
      <c r="F311" s="292"/>
      <c r="G311" s="292"/>
      <c r="H311" s="292"/>
      <c r="I311" s="292"/>
      <c r="J311" s="292"/>
      <c r="K311" s="292"/>
      <c r="L311" s="292"/>
      <c r="M311" s="292"/>
    </row>
    <row r="312" spans="1:14">
      <c r="A312" s="408" t="s">
        <v>404</v>
      </c>
      <c r="B312" s="409"/>
      <c r="C312" s="409"/>
      <c r="D312" s="409"/>
      <c r="E312" s="409"/>
      <c r="F312" s="409"/>
      <c r="G312" s="409"/>
      <c r="H312" s="409"/>
      <c r="I312" s="409"/>
      <c r="J312" s="409"/>
      <c r="K312" s="409"/>
      <c r="L312" s="409"/>
      <c r="M312" s="409"/>
    </row>
  </sheetData>
  <mergeCells count="6">
    <mergeCell ref="A172:N172"/>
    <mergeCell ref="A243:N243"/>
    <mergeCell ref="A56:N56"/>
    <mergeCell ref="A1:N1"/>
    <mergeCell ref="I60:M60"/>
    <mergeCell ref="A116:N116"/>
  </mergeCells>
  <phoneticPr fontId="39" type="noConversion"/>
  <pageMargins left="0.19685039370078741" right="0" top="0.19685039370078741" bottom="0.19685039370078741" header="0.51181102362204722" footer="0.51181102362204722"/>
  <pageSetup paperSize="9" scale="80" orientation="landscape" horizontalDpi="4294967293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20"/>
  <dimension ref="A1:Q310"/>
  <sheetViews>
    <sheetView topLeftCell="A139" zoomScale="67" zoomScaleNormal="67" workbookViewId="0" xr3:uid="{33642244-9AC9-5136-AF77-195C889548CE}">
      <selection activeCell="Q179" sqref="Q179"/>
    </sheetView>
  </sheetViews>
  <sheetFormatPr defaultRowHeight="12.75"/>
  <cols>
    <col min="1" max="1" width="23.85546875" customWidth="1"/>
    <col min="2" max="2" width="11.140625" customWidth="1"/>
    <col min="3" max="5" width="11.7109375" customWidth="1"/>
    <col min="6" max="6" width="12.28515625" customWidth="1"/>
    <col min="7" max="7" width="11.140625" customWidth="1"/>
    <col min="8" max="8" width="12.28515625" customWidth="1"/>
    <col min="9" max="9" width="13" customWidth="1"/>
    <col min="10" max="10" width="12.5703125" customWidth="1"/>
    <col min="11" max="11" width="12.140625" customWidth="1"/>
    <col min="12" max="12" width="11.140625" customWidth="1"/>
    <col min="13" max="13" width="10.7109375" customWidth="1"/>
    <col min="14" max="14" width="12" customWidth="1"/>
  </cols>
  <sheetData>
    <row r="1" spans="1:14" ht="20.25">
      <c r="A1" s="833" t="s">
        <v>405</v>
      </c>
      <c r="B1" s="833"/>
      <c r="C1" s="833"/>
      <c r="D1" s="833"/>
      <c r="E1" s="833"/>
      <c r="F1" s="833"/>
      <c r="G1" s="833"/>
      <c r="H1" s="833"/>
      <c r="I1" s="833"/>
      <c r="J1" s="833"/>
      <c r="K1" s="833"/>
      <c r="L1" s="833"/>
      <c r="M1" s="833"/>
      <c r="N1" s="833"/>
    </row>
    <row r="2" spans="1:14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</row>
    <row r="3" spans="1:14">
      <c r="A3" s="50"/>
      <c r="B3" s="51" t="s">
        <v>44</v>
      </c>
      <c r="C3" s="51" t="s">
        <v>45</v>
      </c>
      <c r="D3" s="52" t="s">
        <v>46</v>
      </c>
      <c r="E3" s="51" t="s">
        <v>47</v>
      </c>
      <c r="F3" s="51" t="s">
        <v>48</v>
      </c>
      <c r="G3" s="52" t="s">
        <v>49</v>
      </c>
      <c r="H3" s="51" t="s">
        <v>38</v>
      </c>
      <c r="I3" s="51" t="s">
        <v>39</v>
      </c>
      <c r="J3" s="51" t="s">
        <v>40</v>
      </c>
      <c r="K3" s="51" t="s">
        <v>41</v>
      </c>
      <c r="L3" s="51" t="s">
        <v>42</v>
      </c>
      <c r="M3" s="51" t="s">
        <v>43</v>
      </c>
      <c r="N3" s="50" t="s">
        <v>64</v>
      </c>
    </row>
    <row r="4" spans="1:14">
      <c r="A4" s="53" t="s">
        <v>65</v>
      </c>
      <c r="B4" s="54">
        <v>6575</v>
      </c>
      <c r="C4" s="54">
        <v>6575</v>
      </c>
      <c r="D4" s="54">
        <v>6575</v>
      </c>
      <c r="E4" s="54">
        <v>6575</v>
      </c>
      <c r="F4" s="54">
        <v>6575</v>
      </c>
      <c r="G4" s="54">
        <v>6575</v>
      </c>
      <c r="H4" s="54">
        <v>6575</v>
      </c>
      <c r="I4" s="54">
        <v>6575</v>
      </c>
      <c r="J4" s="54">
        <v>6575</v>
      </c>
      <c r="K4" s="54">
        <v>6575</v>
      </c>
      <c r="L4" s="54">
        <v>6575</v>
      </c>
      <c r="M4" s="54">
        <v>6575</v>
      </c>
      <c r="N4" s="54">
        <f t="shared" ref="N4:N16" si="0">SUM(B4:M4)</f>
        <v>78900</v>
      </c>
    </row>
    <row r="5" spans="1:14">
      <c r="A5" s="53" t="s">
        <v>66</v>
      </c>
      <c r="B5" s="54">
        <v>78.75</v>
      </c>
      <c r="C5" s="54">
        <v>163</v>
      </c>
      <c r="D5" s="54">
        <v>58</v>
      </c>
      <c r="E5" s="54"/>
      <c r="F5" s="54">
        <v>13.5</v>
      </c>
      <c r="G5" s="55"/>
      <c r="H5" s="54">
        <v>80</v>
      </c>
      <c r="I5" s="54">
        <v>194</v>
      </c>
      <c r="J5" s="56">
        <v>125.75</v>
      </c>
      <c r="K5" s="54">
        <v>18.5</v>
      </c>
      <c r="L5" s="54">
        <v>164</v>
      </c>
      <c r="M5" s="54">
        <v>128.25</v>
      </c>
      <c r="N5" s="54">
        <f t="shared" si="0"/>
        <v>1023.75</v>
      </c>
    </row>
    <row r="6" spans="1:14">
      <c r="A6" s="53" t="s">
        <v>67</v>
      </c>
      <c r="B6" s="54"/>
      <c r="C6" s="54"/>
      <c r="D6" s="54"/>
      <c r="E6" s="54"/>
      <c r="F6" s="54"/>
      <c r="G6" s="55"/>
      <c r="H6" s="54"/>
      <c r="I6" s="54"/>
      <c r="J6" s="54"/>
      <c r="K6" s="54"/>
      <c r="L6" s="54"/>
      <c r="M6" s="50"/>
      <c r="N6" s="54">
        <f t="shared" si="0"/>
        <v>0</v>
      </c>
    </row>
    <row r="7" spans="1:14">
      <c r="A7" s="53" t="s">
        <v>68</v>
      </c>
      <c r="B7" s="54">
        <v>8</v>
      </c>
      <c r="C7" s="54">
        <v>12</v>
      </c>
      <c r="D7" s="54">
        <v>17</v>
      </c>
      <c r="E7" s="54">
        <v>8</v>
      </c>
      <c r="F7" s="54">
        <v>15</v>
      </c>
      <c r="G7" s="55">
        <v>12</v>
      </c>
      <c r="H7" s="54">
        <v>3</v>
      </c>
      <c r="I7" s="54">
        <v>5</v>
      </c>
      <c r="J7" s="54">
        <v>26.75</v>
      </c>
      <c r="K7" s="54">
        <v>4.5</v>
      </c>
      <c r="L7" s="54">
        <v>8</v>
      </c>
      <c r="M7" s="50"/>
      <c r="N7" s="54">
        <f t="shared" si="0"/>
        <v>119.25</v>
      </c>
    </row>
    <row r="8" spans="1:14">
      <c r="A8" s="53" t="s">
        <v>69</v>
      </c>
      <c r="B8" s="54">
        <v>126</v>
      </c>
      <c r="C8" s="54">
        <v>598.5</v>
      </c>
      <c r="D8" s="54">
        <v>559.75</v>
      </c>
      <c r="E8" s="54">
        <v>617.75</v>
      </c>
      <c r="F8" s="54">
        <v>138.25</v>
      </c>
      <c r="G8" s="55">
        <v>887.75</v>
      </c>
      <c r="H8" s="54">
        <v>1344</v>
      </c>
      <c r="I8" s="54">
        <v>1278.5</v>
      </c>
      <c r="J8" s="54">
        <v>634.25</v>
      </c>
      <c r="K8" s="54">
        <v>491.75</v>
      </c>
      <c r="L8" s="54">
        <v>434.75</v>
      </c>
      <c r="M8" s="54">
        <v>280.25</v>
      </c>
      <c r="N8" s="54">
        <f t="shared" si="0"/>
        <v>7391.5</v>
      </c>
    </row>
    <row r="9" spans="1:14">
      <c r="A9" s="53" t="s">
        <v>70</v>
      </c>
      <c r="B9" s="54">
        <v>59.5</v>
      </c>
      <c r="C9" s="54">
        <v>70.5</v>
      </c>
      <c r="D9" s="54">
        <v>53</v>
      </c>
      <c r="E9" s="54">
        <v>90.75</v>
      </c>
      <c r="F9" s="54">
        <v>40</v>
      </c>
      <c r="G9" s="55">
        <v>0</v>
      </c>
      <c r="H9" s="54">
        <v>0</v>
      </c>
      <c r="I9" s="54">
        <v>0</v>
      </c>
      <c r="J9" s="54">
        <v>0</v>
      </c>
      <c r="K9" s="54">
        <v>0</v>
      </c>
      <c r="L9" s="54">
        <v>0</v>
      </c>
      <c r="M9" s="54">
        <v>195.75</v>
      </c>
      <c r="N9" s="54">
        <f t="shared" si="0"/>
        <v>509.5</v>
      </c>
    </row>
    <row r="10" spans="1:14">
      <c r="A10" s="53" t="s">
        <v>71</v>
      </c>
      <c r="B10" s="54">
        <v>312</v>
      </c>
      <c r="C10" s="54">
        <v>291.75</v>
      </c>
      <c r="D10" s="54">
        <v>182</v>
      </c>
      <c r="E10" s="54">
        <v>59.25</v>
      </c>
      <c r="F10" s="54">
        <v>244.5</v>
      </c>
      <c r="G10" s="55">
        <v>91.5</v>
      </c>
      <c r="H10" s="54">
        <v>32</v>
      </c>
      <c r="I10" s="54">
        <v>137</v>
      </c>
      <c r="J10" s="54">
        <v>183.75</v>
      </c>
      <c r="K10" s="54">
        <v>113.25</v>
      </c>
      <c r="L10" s="54">
        <v>270.25</v>
      </c>
      <c r="M10" s="54">
        <v>314</v>
      </c>
      <c r="N10" s="54">
        <f t="shared" si="0"/>
        <v>2231.25</v>
      </c>
    </row>
    <row r="11" spans="1:14">
      <c r="A11" s="53" t="s">
        <v>72</v>
      </c>
      <c r="B11" s="54">
        <v>0</v>
      </c>
      <c r="C11" s="54">
        <v>0</v>
      </c>
      <c r="D11" s="54">
        <v>0</v>
      </c>
      <c r="E11" s="54">
        <v>0</v>
      </c>
      <c r="F11" s="54">
        <v>0</v>
      </c>
      <c r="G11" s="55">
        <v>0</v>
      </c>
      <c r="H11" s="54">
        <v>0</v>
      </c>
      <c r="I11" s="54">
        <v>0</v>
      </c>
      <c r="J11" s="54">
        <v>0</v>
      </c>
      <c r="K11" s="54">
        <v>0</v>
      </c>
      <c r="L11" s="54">
        <v>8</v>
      </c>
      <c r="M11" s="54">
        <v>0</v>
      </c>
      <c r="N11" s="54">
        <f t="shared" si="0"/>
        <v>8</v>
      </c>
    </row>
    <row r="12" spans="1:14">
      <c r="A12" s="53" t="s">
        <v>73</v>
      </c>
      <c r="B12" s="54">
        <v>438</v>
      </c>
      <c r="C12" s="54">
        <v>156.75</v>
      </c>
      <c r="D12" s="54">
        <v>500</v>
      </c>
      <c r="E12" s="54">
        <v>336.75</v>
      </c>
      <c r="F12" s="54">
        <v>644.25</v>
      </c>
      <c r="G12" s="55">
        <v>326</v>
      </c>
      <c r="H12" s="54">
        <v>47</v>
      </c>
      <c r="I12" s="54">
        <v>203.75</v>
      </c>
      <c r="J12" s="54">
        <v>271.75</v>
      </c>
      <c r="K12" s="54">
        <v>464.75</v>
      </c>
      <c r="L12" s="54">
        <v>332.75</v>
      </c>
      <c r="M12" s="54">
        <v>460.25</v>
      </c>
      <c r="N12" s="54">
        <f t="shared" si="0"/>
        <v>4182</v>
      </c>
    </row>
    <row r="13" spans="1:14">
      <c r="A13" s="53" t="s">
        <v>74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  <c r="G13" s="55">
        <v>0</v>
      </c>
      <c r="H13" s="54">
        <v>0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f t="shared" si="0"/>
        <v>0</v>
      </c>
    </row>
    <row r="14" spans="1:14">
      <c r="A14" s="53" t="s">
        <v>75</v>
      </c>
      <c r="B14" s="54">
        <v>144.25</v>
      </c>
      <c r="C14" s="54">
        <v>31</v>
      </c>
      <c r="D14" s="54">
        <v>104.75</v>
      </c>
      <c r="E14" s="54">
        <v>66.25</v>
      </c>
      <c r="F14" s="54">
        <v>89</v>
      </c>
      <c r="G14" s="55">
        <v>14.75</v>
      </c>
      <c r="H14" s="54">
        <v>32.5</v>
      </c>
      <c r="I14" s="54">
        <v>0</v>
      </c>
      <c r="J14" s="54">
        <v>14</v>
      </c>
      <c r="K14" s="54">
        <v>34.25</v>
      </c>
      <c r="L14" s="54">
        <v>301</v>
      </c>
      <c r="M14" s="54">
        <v>183.25</v>
      </c>
      <c r="N14" s="54">
        <f t="shared" si="0"/>
        <v>1015</v>
      </c>
    </row>
    <row r="15" spans="1:14">
      <c r="A15" s="57" t="s">
        <v>76</v>
      </c>
      <c r="B15" s="58">
        <v>0</v>
      </c>
      <c r="C15" s="58">
        <v>0</v>
      </c>
      <c r="D15" s="58">
        <v>23.25</v>
      </c>
      <c r="E15" s="58">
        <v>0</v>
      </c>
      <c r="F15" s="58">
        <v>0</v>
      </c>
      <c r="G15" s="59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/>
      <c r="N15" s="60">
        <f t="shared" si="0"/>
        <v>23.25</v>
      </c>
    </row>
    <row r="16" spans="1:14">
      <c r="A16" s="61" t="s">
        <v>77</v>
      </c>
      <c r="B16" s="62">
        <f t="shared" ref="B16:M16" si="1">SUM(B4+B5+B6+B7-B8-B9-B10-B12-B13-B14-B15)</f>
        <v>5582</v>
      </c>
      <c r="C16" s="62">
        <f t="shared" si="1"/>
        <v>5601.5</v>
      </c>
      <c r="D16" s="62">
        <f t="shared" si="1"/>
        <v>5227.25</v>
      </c>
      <c r="E16" s="62">
        <f t="shared" si="1"/>
        <v>5412.25</v>
      </c>
      <c r="F16" s="62">
        <f t="shared" si="1"/>
        <v>5447.5</v>
      </c>
      <c r="G16" s="62">
        <f t="shared" si="1"/>
        <v>5267</v>
      </c>
      <c r="H16" s="62">
        <f t="shared" si="1"/>
        <v>5202.5</v>
      </c>
      <c r="I16" s="62">
        <f t="shared" si="1"/>
        <v>5154.75</v>
      </c>
      <c r="J16" s="62">
        <f t="shared" si="1"/>
        <v>5623.75</v>
      </c>
      <c r="K16" s="62">
        <f t="shared" si="1"/>
        <v>5494</v>
      </c>
      <c r="L16" s="62">
        <f t="shared" si="1"/>
        <v>5408.25</v>
      </c>
      <c r="M16" s="63">
        <f t="shared" si="1"/>
        <v>5269.75</v>
      </c>
      <c r="N16" s="64">
        <f t="shared" si="0"/>
        <v>64690.5</v>
      </c>
    </row>
    <row r="17" spans="1:14">
      <c r="A17" s="65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</row>
    <row r="18" spans="1:14">
      <c r="A18" s="65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7" t="s">
        <v>78</v>
      </c>
    </row>
    <row r="19" spans="1:14">
      <c r="A19" s="53" t="s">
        <v>79</v>
      </c>
      <c r="B19" s="54">
        <f t="shared" ref="B19:M19" si="2">SUM(B5*100/B16)</f>
        <v>1.4107846649946256</v>
      </c>
      <c r="C19" s="54">
        <f t="shared" si="2"/>
        <v>2.9099348388824424</v>
      </c>
      <c r="D19" s="54">
        <f t="shared" si="2"/>
        <v>1.1095700416088765</v>
      </c>
      <c r="E19" s="54">
        <f t="shared" si="2"/>
        <v>0</v>
      </c>
      <c r="F19" s="54">
        <f t="shared" si="2"/>
        <v>0.24782010096374485</v>
      </c>
      <c r="G19" s="54">
        <f t="shared" si="2"/>
        <v>0</v>
      </c>
      <c r="H19" s="54">
        <f t="shared" si="2"/>
        <v>1.5377222489187889</v>
      </c>
      <c r="I19" s="54">
        <f t="shared" si="2"/>
        <v>3.7635190843396868</v>
      </c>
      <c r="J19" s="54">
        <f t="shared" si="2"/>
        <v>2.2360524561013557</v>
      </c>
      <c r="K19" s="54">
        <f t="shared" si="2"/>
        <v>0.33673097925009099</v>
      </c>
      <c r="L19" s="54">
        <f t="shared" si="2"/>
        <v>3.0324041972911755</v>
      </c>
      <c r="M19" s="54">
        <f t="shared" si="2"/>
        <v>2.4337017885098913</v>
      </c>
      <c r="N19" s="68">
        <f>SUM(B19:M19)/12</f>
        <v>1.5848533667383897</v>
      </c>
    </row>
    <row r="20" spans="1:14">
      <c r="A20" s="65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49"/>
    </row>
    <row r="21" spans="1:14">
      <c r="A21" s="53" t="s">
        <v>80</v>
      </c>
      <c r="B21" s="54">
        <f t="shared" ref="B21:M21" si="3">SUM(B10*100/B16)</f>
        <v>5.5893944822644217</v>
      </c>
      <c r="C21" s="54">
        <f t="shared" si="3"/>
        <v>5.2084263143800769</v>
      </c>
      <c r="D21" s="54">
        <f t="shared" si="3"/>
        <v>3.4817542684968195</v>
      </c>
      <c r="E21" s="54">
        <f t="shared" si="3"/>
        <v>1.0947387870109473</v>
      </c>
      <c r="F21" s="54">
        <f t="shared" si="3"/>
        <v>4.4882973841211564</v>
      </c>
      <c r="G21" s="54">
        <f t="shared" si="3"/>
        <v>1.7372318207708373</v>
      </c>
      <c r="H21" s="54">
        <f t="shared" si="3"/>
        <v>0.61508889956751567</v>
      </c>
      <c r="I21" s="54">
        <f t="shared" si="3"/>
        <v>2.6577428585285414</v>
      </c>
      <c r="J21" s="54">
        <f t="shared" si="3"/>
        <v>3.2673927539453214</v>
      </c>
      <c r="K21" s="54">
        <f t="shared" si="3"/>
        <v>2.0613396432471789</v>
      </c>
      <c r="L21" s="54">
        <f t="shared" si="3"/>
        <v>4.9969953312069526</v>
      </c>
      <c r="M21" s="54">
        <f t="shared" si="3"/>
        <v>5.9585369324920539</v>
      </c>
      <c r="N21" s="68">
        <f>SUM(B21:M21)/12</f>
        <v>3.4297449563359854</v>
      </c>
    </row>
    <row r="22" spans="1:14">
      <c r="A22" s="69" t="s">
        <v>81</v>
      </c>
      <c r="B22" s="60">
        <f t="shared" ref="B22:M22" si="4">SUM(B11*100/B16)</f>
        <v>0</v>
      </c>
      <c r="C22" s="60">
        <f t="shared" si="4"/>
        <v>0</v>
      </c>
      <c r="D22" s="60">
        <f t="shared" si="4"/>
        <v>0</v>
      </c>
      <c r="E22" s="60">
        <f t="shared" si="4"/>
        <v>0</v>
      </c>
      <c r="F22" s="60">
        <f t="shared" si="4"/>
        <v>0</v>
      </c>
      <c r="G22" s="60">
        <f t="shared" si="4"/>
        <v>0</v>
      </c>
      <c r="H22" s="60">
        <f t="shared" si="4"/>
        <v>0</v>
      </c>
      <c r="I22" s="60">
        <f t="shared" si="4"/>
        <v>0</v>
      </c>
      <c r="J22" s="60">
        <f t="shared" si="4"/>
        <v>0</v>
      </c>
      <c r="K22" s="60">
        <f t="shared" si="4"/>
        <v>0</v>
      </c>
      <c r="L22" s="60">
        <f t="shared" si="4"/>
        <v>0.14792215596542319</v>
      </c>
      <c r="M22" s="60">
        <f t="shared" si="4"/>
        <v>0</v>
      </c>
      <c r="N22" s="70">
        <f>SUM(B22:M22)/12</f>
        <v>1.2326846330451932E-2</v>
      </c>
    </row>
    <row r="23" spans="1:14">
      <c r="A23" s="71" t="s">
        <v>82</v>
      </c>
      <c r="B23" s="72">
        <f t="shared" ref="B23:M23" si="5">SUM(B21:B21)</f>
        <v>5.5893944822644217</v>
      </c>
      <c r="C23" s="72">
        <f t="shared" si="5"/>
        <v>5.2084263143800769</v>
      </c>
      <c r="D23" s="72">
        <f t="shared" si="5"/>
        <v>3.4817542684968195</v>
      </c>
      <c r="E23" s="72">
        <f t="shared" si="5"/>
        <v>1.0947387870109473</v>
      </c>
      <c r="F23" s="72">
        <f t="shared" si="5"/>
        <v>4.4882973841211564</v>
      </c>
      <c r="G23" s="72">
        <f t="shared" si="5"/>
        <v>1.7372318207708373</v>
      </c>
      <c r="H23" s="72">
        <f t="shared" si="5"/>
        <v>0.61508889956751567</v>
      </c>
      <c r="I23" s="72">
        <f t="shared" si="5"/>
        <v>2.6577428585285414</v>
      </c>
      <c r="J23" s="72">
        <f t="shared" si="5"/>
        <v>3.2673927539453214</v>
      </c>
      <c r="K23" s="72">
        <f t="shared" si="5"/>
        <v>2.0613396432471789</v>
      </c>
      <c r="L23" s="72">
        <f t="shared" si="5"/>
        <v>4.9969953312069526</v>
      </c>
      <c r="M23" s="72">
        <f t="shared" si="5"/>
        <v>5.9585369324920539</v>
      </c>
      <c r="N23" s="73">
        <f>SUM(N21:N22)</f>
        <v>3.4420718026664372</v>
      </c>
    </row>
    <row r="24" spans="1:14">
      <c r="A24" s="65" t="s">
        <v>83</v>
      </c>
      <c r="B24" s="66"/>
      <c r="C24" s="66"/>
      <c r="D24" s="74">
        <f>SUM(B23:D23)/3</f>
        <v>4.7598583550471059</v>
      </c>
      <c r="E24" s="66"/>
      <c r="F24" s="66"/>
      <c r="G24" s="74">
        <f>SUM(E23,F23,G23)/3</f>
        <v>2.4400893306343137</v>
      </c>
      <c r="H24" s="66"/>
      <c r="I24" s="66"/>
      <c r="J24" s="74">
        <f>SUM(H23,I23,J23)/3</f>
        <v>2.1800748373471261</v>
      </c>
      <c r="K24" s="66"/>
      <c r="L24" s="66"/>
      <c r="M24" s="74">
        <f>SUM(K23,L23,M23)/3</f>
        <v>4.3389573023153956</v>
      </c>
      <c r="N24" s="75">
        <f>SUM(D24:M24)/4</f>
        <v>3.429744956335985</v>
      </c>
    </row>
    <row r="25" spans="1:14">
      <c r="A25" s="65" t="s">
        <v>84</v>
      </c>
      <c r="B25" s="66"/>
      <c r="C25" s="66"/>
      <c r="D25" s="76"/>
      <c r="E25" s="66"/>
      <c r="F25" s="66"/>
      <c r="G25" s="76"/>
      <c r="H25" s="66"/>
      <c r="I25" s="66"/>
      <c r="J25" s="76"/>
      <c r="K25" s="66"/>
      <c r="L25" s="66"/>
      <c r="M25" s="76"/>
      <c r="N25" s="68">
        <f>SUM(D25:G25,J25,M25)/4</f>
        <v>0</v>
      </c>
    </row>
    <row r="26" spans="1:14">
      <c r="A26" s="65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</row>
    <row r="27" spans="1:14">
      <c r="A27" s="53" t="s">
        <v>85</v>
      </c>
      <c r="B27" s="54">
        <f t="shared" ref="B27:M27" si="6">B14*100/B16</f>
        <v>2.5841992117520602</v>
      </c>
      <c r="C27" s="54">
        <f t="shared" si="6"/>
        <v>0.55342319021690622</v>
      </c>
      <c r="D27" s="54">
        <f t="shared" si="6"/>
        <v>2.0039217561815486</v>
      </c>
      <c r="E27" s="54">
        <f t="shared" si="6"/>
        <v>1.2240750150122408</v>
      </c>
      <c r="F27" s="54">
        <f t="shared" si="6"/>
        <v>1.6337769619091327</v>
      </c>
      <c r="G27" s="54">
        <f t="shared" si="6"/>
        <v>0.2800455667362825</v>
      </c>
      <c r="H27" s="54">
        <f t="shared" si="6"/>
        <v>0.62469966362325802</v>
      </c>
      <c r="I27" s="54">
        <f t="shared" si="6"/>
        <v>0</v>
      </c>
      <c r="J27" s="54">
        <f t="shared" si="6"/>
        <v>0.24894420982440543</v>
      </c>
      <c r="K27" s="54">
        <f t="shared" si="6"/>
        <v>0.62340735347651988</v>
      </c>
      <c r="L27" s="54">
        <f t="shared" si="6"/>
        <v>5.5655711181990482</v>
      </c>
      <c r="M27" s="54">
        <f t="shared" si="6"/>
        <v>3.477394563309455</v>
      </c>
      <c r="N27" s="68">
        <f>SUM(B27:M27)/12</f>
        <v>1.5682882175200714</v>
      </c>
    </row>
    <row r="28" spans="1:14">
      <c r="A28" s="53" t="s">
        <v>86</v>
      </c>
      <c r="B28" s="54">
        <f t="shared" ref="B28:M28" si="7">B12*100/B16</f>
        <v>7.8466499462558223</v>
      </c>
      <c r="C28" s="54">
        <f t="shared" si="7"/>
        <v>2.7983575827903242</v>
      </c>
      <c r="D28" s="54">
        <f t="shared" si="7"/>
        <v>9.5652589793868668</v>
      </c>
      <c r="E28" s="54">
        <f t="shared" si="7"/>
        <v>6.2219963970622203</v>
      </c>
      <c r="F28" s="54">
        <f t="shared" si="7"/>
        <v>11.826525929325379</v>
      </c>
      <c r="G28" s="54">
        <f t="shared" si="7"/>
        <v>6.1894816783747864</v>
      </c>
      <c r="H28" s="54">
        <f t="shared" si="7"/>
        <v>0.90341182123978858</v>
      </c>
      <c r="I28" s="54">
        <f t="shared" si="7"/>
        <v>3.9526650177021194</v>
      </c>
      <c r="J28" s="54">
        <f t="shared" si="7"/>
        <v>4.8321849299844413</v>
      </c>
      <c r="K28" s="54">
        <f t="shared" si="7"/>
        <v>8.4592282489989081</v>
      </c>
      <c r="L28" s="54">
        <f t="shared" si="7"/>
        <v>6.1526371746868209</v>
      </c>
      <c r="M28" s="54">
        <f t="shared" si="7"/>
        <v>8.7338109018454393</v>
      </c>
      <c r="N28" s="68">
        <f>SUM(B28:M28)/12</f>
        <v>6.456850717304409</v>
      </c>
    </row>
    <row r="29" spans="1:14">
      <c r="A29" s="53" t="s">
        <v>87</v>
      </c>
      <c r="B29" s="54">
        <f t="shared" ref="B29:M29" si="8">B8*100/B16</f>
        <v>2.2572554639914011</v>
      </c>
      <c r="C29" s="54">
        <f t="shared" si="8"/>
        <v>10.684638043381238</v>
      </c>
      <c r="D29" s="54">
        <f t="shared" si="8"/>
        <v>10.708307427423598</v>
      </c>
      <c r="E29" s="54">
        <f t="shared" si="8"/>
        <v>11.413922121114139</v>
      </c>
      <c r="F29" s="54">
        <f t="shared" si="8"/>
        <v>2.5378614043139054</v>
      </c>
      <c r="G29" s="54">
        <f t="shared" si="8"/>
        <v>16.854945889500666</v>
      </c>
      <c r="H29" s="54">
        <f t="shared" si="8"/>
        <v>25.833733781835654</v>
      </c>
      <c r="I29" s="54">
        <f t="shared" si="8"/>
        <v>24.802366749114896</v>
      </c>
      <c r="J29" s="54">
        <f t="shared" si="8"/>
        <v>11.278061791509224</v>
      </c>
      <c r="K29" s="54">
        <f t="shared" si="8"/>
        <v>8.9506734619585</v>
      </c>
      <c r="L29" s="54">
        <f t="shared" si="8"/>
        <v>8.0386446632459663</v>
      </c>
      <c r="M29" s="54">
        <f t="shared" si="8"/>
        <v>5.318089093410503</v>
      </c>
      <c r="N29" s="68">
        <f>SUM(B29:M29)/12</f>
        <v>11.556541657566642</v>
      </c>
    </row>
    <row r="30" spans="1:14">
      <c r="A30" s="77" t="s">
        <v>88</v>
      </c>
      <c r="B30" s="78">
        <f t="shared" ref="B30:M30" si="9">SUM(B4-B16)*100/B16</f>
        <v>17.789322823360802</v>
      </c>
      <c r="C30" s="78">
        <f t="shared" si="9"/>
        <v>17.379273408908329</v>
      </c>
      <c r="D30" s="78">
        <f t="shared" si="9"/>
        <v>25.783155578937301</v>
      </c>
      <c r="E30" s="78">
        <f t="shared" si="9"/>
        <v>21.483671301214837</v>
      </c>
      <c r="F30" s="78">
        <f t="shared" si="9"/>
        <v>20.697567691601652</v>
      </c>
      <c r="G30" s="78">
        <f t="shared" si="9"/>
        <v>24.833871273970001</v>
      </c>
      <c r="H30" s="78">
        <f t="shared" si="9"/>
        <v>26.381547333012975</v>
      </c>
      <c r="I30" s="78">
        <f t="shared" si="9"/>
        <v>27.552257626461031</v>
      </c>
      <c r="J30" s="78">
        <f t="shared" si="9"/>
        <v>16.914869971104689</v>
      </c>
      <c r="K30" s="78">
        <f t="shared" si="9"/>
        <v>19.676010192937749</v>
      </c>
      <c r="L30" s="78">
        <f t="shared" si="9"/>
        <v>21.573521934082191</v>
      </c>
      <c r="M30" s="78">
        <f t="shared" si="9"/>
        <v>24.768727169220551</v>
      </c>
      <c r="N30" s="79">
        <f>SUM(B30:M30)/12</f>
        <v>22.069483025401009</v>
      </c>
    </row>
    <row r="31" spans="1:14">
      <c r="A31" s="65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49"/>
    </row>
    <row r="32" spans="1:14">
      <c r="A32" s="80" t="s">
        <v>89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49"/>
    </row>
    <row r="33" spans="1:14">
      <c r="A33" s="53" t="s">
        <v>90</v>
      </c>
      <c r="B33" s="81">
        <v>47</v>
      </c>
      <c r="C33" s="81">
        <f t="shared" ref="C33:N33" si="10">B36</f>
        <v>45</v>
      </c>
      <c r="D33" s="81">
        <f t="shared" si="10"/>
        <v>47</v>
      </c>
      <c r="E33" s="81">
        <f t="shared" si="10"/>
        <v>44</v>
      </c>
      <c r="F33" s="81">
        <f t="shared" si="10"/>
        <v>44</v>
      </c>
      <c r="G33" s="81">
        <f t="shared" si="10"/>
        <v>44</v>
      </c>
      <c r="H33" s="81">
        <f t="shared" si="10"/>
        <v>46</v>
      </c>
      <c r="I33" s="81">
        <f t="shared" si="10"/>
        <v>45</v>
      </c>
      <c r="J33" s="81">
        <f t="shared" si="10"/>
        <v>43</v>
      </c>
      <c r="K33" s="81">
        <f t="shared" si="10"/>
        <v>43</v>
      </c>
      <c r="L33" s="81">
        <f t="shared" si="10"/>
        <v>43</v>
      </c>
      <c r="M33" s="81">
        <f t="shared" si="10"/>
        <v>43</v>
      </c>
      <c r="N33" s="81">
        <f t="shared" si="10"/>
        <v>43</v>
      </c>
    </row>
    <row r="34" spans="1:14">
      <c r="A34" s="53" t="s">
        <v>91</v>
      </c>
      <c r="B34" s="81">
        <v>1</v>
      </c>
      <c r="C34" s="81">
        <v>2</v>
      </c>
      <c r="D34" s="81"/>
      <c r="E34" s="81"/>
      <c r="F34" s="81"/>
      <c r="G34" s="81">
        <v>2</v>
      </c>
      <c r="H34" s="81">
        <v>1</v>
      </c>
      <c r="I34" s="81"/>
      <c r="J34" s="81"/>
      <c r="K34" s="81"/>
      <c r="L34" s="81"/>
      <c r="M34" s="81"/>
      <c r="N34" s="81"/>
    </row>
    <row r="35" spans="1:14">
      <c r="A35" s="53" t="s">
        <v>92</v>
      </c>
      <c r="B35" s="81">
        <v>3</v>
      </c>
      <c r="C35" s="81"/>
      <c r="D35" s="81">
        <v>3</v>
      </c>
      <c r="E35" s="81"/>
      <c r="F35" s="81"/>
      <c r="G35" s="81"/>
      <c r="H35" s="81">
        <v>2</v>
      </c>
      <c r="I35" s="81">
        <v>2</v>
      </c>
      <c r="J35" s="81"/>
      <c r="K35" s="81"/>
      <c r="L35" s="81"/>
      <c r="M35" s="81"/>
      <c r="N35" s="81"/>
    </row>
    <row r="36" spans="1:14">
      <c r="A36" s="53" t="s">
        <v>89</v>
      </c>
      <c r="B36" s="81">
        <f t="shared" ref="B36:M36" si="11">SUM(B33+B34-B35)</f>
        <v>45</v>
      </c>
      <c r="C36" s="81">
        <f t="shared" si="11"/>
        <v>47</v>
      </c>
      <c r="D36" s="81">
        <f t="shared" si="11"/>
        <v>44</v>
      </c>
      <c r="E36" s="81">
        <f t="shared" si="11"/>
        <v>44</v>
      </c>
      <c r="F36" s="81">
        <f t="shared" si="11"/>
        <v>44</v>
      </c>
      <c r="G36" s="81">
        <f t="shared" si="11"/>
        <v>46</v>
      </c>
      <c r="H36" s="81">
        <f t="shared" si="11"/>
        <v>45</v>
      </c>
      <c r="I36" s="81">
        <f t="shared" si="11"/>
        <v>43</v>
      </c>
      <c r="J36" s="81">
        <f t="shared" si="11"/>
        <v>43</v>
      </c>
      <c r="K36" s="81">
        <f t="shared" si="11"/>
        <v>43</v>
      </c>
      <c r="L36" s="81">
        <f t="shared" si="11"/>
        <v>43</v>
      </c>
      <c r="M36" s="81">
        <f t="shared" si="11"/>
        <v>43</v>
      </c>
      <c r="N36" s="81">
        <f>SUM(B36:M36)/12</f>
        <v>44.166666666666664</v>
      </c>
    </row>
    <row r="37" spans="1:14">
      <c r="A37" s="53" t="s">
        <v>93</v>
      </c>
      <c r="B37" s="82">
        <f t="shared" ref="B37:M37" si="12">SUM(B36*100)/B33-100</f>
        <v>-4.2553191489361666</v>
      </c>
      <c r="C37" s="82">
        <f t="shared" si="12"/>
        <v>4.4444444444444429</v>
      </c>
      <c r="D37" s="82">
        <f t="shared" si="12"/>
        <v>-6.3829787234042499</v>
      </c>
      <c r="E37" s="82">
        <f t="shared" si="12"/>
        <v>0</v>
      </c>
      <c r="F37" s="82">
        <f t="shared" si="12"/>
        <v>0</v>
      </c>
      <c r="G37" s="82">
        <f t="shared" si="12"/>
        <v>4.5454545454545467</v>
      </c>
      <c r="H37" s="82">
        <f t="shared" si="12"/>
        <v>-2.1739130434782652</v>
      </c>
      <c r="I37" s="82">
        <f t="shared" si="12"/>
        <v>-4.4444444444444429</v>
      </c>
      <c r="J37" s="82">
        <f t="shared" si="12"/>
        <v>0</v>
      </c>
      <c r="K37" s="82">
        <f t="shared" si="12"/>
        <v>0</v>
      </c>
      <c r="L37" s="82">
        <f t="shared" si="12"/>
        <v>0</v>
      </c>
      <c r="M37" s="82">
        <f t="shared" si="12"/>
        <v>0</v>
      </c>
      <c r="N37" s="81"/>
    </row>
    <row r="38" spans="1:14">
      <c r="A38" s="65" t="s">
        <v>94</v>
      </c>
      <c r="B38" s="83"/>
      <c r="C38" s="83"/>
      <c r="D38" s="84">
        <f>SUM(B37:D37/3)</f>
        <v>-2.1276595744680833</v>
      </c>
      <c r="E38" s="83"/>
      <c r="F38" s="83"/>
      <c r="G38" s="84">
        <f>SUM(E37:G37)/3</f>
        <v>1.5151515151515156</v>
      </c>
      <c r="H38" s="83"/>
      <c r="I38" s="83"/>
      <c r="J38" s="84">
        <f>SUM(H37:J37)/3</f>
        <v>-2.2061191626409027</v>
      </c>
      <c r="K38" s="83"/>
      <c r="L38" s="83"/>
      <c r="M38" s="84">
        <f>SUM(K37:M37)/3</f>
        <v>0</v>
      </c>
      <c r="N38" s="83"/>
    </row>
    <row r="39" spans="1:14">
      <c r="A39" s="65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49"/>
    </row>
    <row r="40" spans="1:14" ht="15.75">
      <c r="E40" s="85" t="s">
        <v>253</v>
      </c>
      <c r="F40" s="86"/>
      <c r="G40" s="87">
        <v>2010</v>
      </c>
    </row>
    <row r="41" spans="1:14">
      <c r="A41" s="88" t="s">
        <v>96</v>
      </c>
      <c r="B41" s="89" t="s">
        <v>44</v>
      </c>
      <c r="C41" s="89" t="s">
        <v>45</v>
      </c>
      <c r="D41" s="89" t="s">
        <v>46</v>
      </c>
      <c r="E41" s="89" t="s">
        <v>47</v>
      </c>
      <c r="F41" s="89" t="s">
        <v>48</v>
      </c>
      <c r="G41" s="89" t="s">
        <v>49</v>
      </c>
      <c r="H41" s="89" t="s">
        <v>38</v>
      </c>
      <c r="I41" s="89" t="s">
        <v>39</v>
      </c>
      <c r="J41" s="89" t="s">
        <v>40</v>
      </c>
      <c r="K41" s="89" t="s">
        <v>41</v>
      </c>
      <c r="L41" s="89" t="s">
        <v>42</v>
      </c>
      <c r="M41" s="89" t="s">
        <v>43</v>
      </c>
      <c r="N41" s="90" t="s">
        <v>64</v>
      </c>
    </row>
    <row r="42" spans="1:14">
      <c r="A42" s="14" t="s">
        <v>97</v>
      </c>
      <c r="B42" s="10">
        <v>25</v>
      </c>
      <c r="C42" s="10">
        <v>45</v>
      </c>
      <c r="D42" s="10">
        <v>39</v>
      </c>
      <c r="E42" s="10">
        <v>42</v>
      </c>
      <c r="F42" s="10">
        <v>42</v>
      </c>
      <c r="G42" s="10">
        <v>67</v>
      </c>
      <c r="H42" s="10">
        <v>44</v>
      </c>
      <c r="I42" s="10">
        <v>38</v>
      </c>
      <c r="J42" s="10">
        <v>45</v>
      </c>
      <c r="K42" s="10">
        <v>68</v>
      </c>
      <c r="L42" s="10">
        <v>58</v>
      </c>
      <c r="M42" s="10">
        <v>28</v>
      </c>
      <c r="N42" s="17">
        <f>SUM(B42:M42)</f>
        <v>541</v>
      </c>
    </row>
    <row r="43" spans="1:14">
      <c r="A43" s="14" t="s">
        <v>98</v>
      </c>
      <c r="B43" s="10">
        <v>911</v>
      </c>
      <c r="C43" s="10">
        <v>923</v>
      </c>
      <c r="D43" s="10">
        <v>428</v>
      </c>
      <c r="E43" s="10">
        <v>788</v>
      </c>
      <c r="F43" s="10">
        <v>711</v>
      </c>
      <c r="G43" s="10">
        <v>1895</v>
      </c>
      <c r="H43" s="10">
        <v>1028</v>
      </c>
      <c r="I43" s="10">
        <v>907</v>
      </c>
      <c r="J43" s="10">
        <v>1109</v>
      </c>
      <c r="K43" s="10">
        <v>2496</v>
      </c>
      <c r="L43" s="10">
        <v>2238</v>
      </c>
      <c r="M43" s="10">
        <v>1144</v>
      </c>
      <c r="N43" s="17">
        <f>SUM(B43:M43)</f>
        <v>14578</v>
      </c>
    </row>
    <row r="44" spans="1:14">
      <c r="A44" s="14" t="s">
        <v>99</v>
      </c>
      <c r="B44" s="10">
        <v>37</v>
      </c>
      <c r="C44" s="10">
        <v>81</v>
      </c>
      <c r="D44" s="10">
        <v>148</v>
      </c>
      <c r="E44" s="10">
        <v>546</v>
      </c>
      <c r="F44" s="10">
        <v>821</v>
      </c>
      <c r="G44" s="10">
        <v>2832</v>
      </c>
      <c r="H44" s="10">
        <v>3984</v>
      </c>
      <c r="I44" s="10">
        <v>1989</v>
      </c>
      <c r="J44" s="10">
        <v>706</v>
      </c>
      <c r="K44" s="10">
        <v>580</v>
      </c>
      <c r="L44" s="10">
        <v>250</v>
      </c>
      <c r="M44" s="10">
        <v>41</v>
      </c>
      <c r="N44" s="17">
        <f>SUM(B44:M44)</f>
        <v>12015</v>
      </c>
    </row>
    <row r="45" spans="1:14">
      <c r="A45" s="14" t="s">
        <v>100</v>
      </c>
      <c r="B45" s="10">
        <v>278</v>
      </c>
      <c r="C45" s="10">
        <v>360</v>
      </c>
      <c r="D45" s="10">
        <v>211</v>
      </c>
      <c r="E45" s="10">
        <v>365</v>
      </c>
      <c r="F45" s="10">
        <v>364</v>
      </c>
      <c r="G45" s="10">
        <v>793</v>
      </c>
      <c r="H45" s="10">
        <v>386</v>
      </c>
      <c r="I45" s="10">
        <v>542</v>
      </c>
      <c r="J45" s="10">
        <v>525</v>
      </c>
      <c r="K45" s="10">
        <v>746</v>
      </c>
      <c r="L45" s="10">
        <v>796</v>
      </c>
      <c r="M45" s="10">
        <v>420</v>
      </c>
      <c r="N45" s="17">
        <f>SUM(B45:M45)</f>
        <v>5786</v>
      </c>
    </row>
    <row r="46" spans="1:14">
      <c r="A46" s="47" t="s">
        <v>107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91">
        <f>SUM(B46:M46)</f>
        <v>0</v>
      </c>
    </row>
    <row r="48" spans="1:14" ht="15.75">
      <c r="E48" s="85" t="s">
        <v>287</v>
      </c>
      <c r="F48" s="86"/>
      <c r="G48" s="87">
        <v>2010</v>
      </c>
    </row>
    <row r="49" spans="1:17">
      <c r="A49" s="88" t="s">
        <v>102</v>
      </c>
      <c r="B49" s="89" t="s">
        <v>44</v>
      </c>
      <c r="C49" s="89" t="s">
        <v>45</v>
      </c>
      <c r="D49" s="89" t="s">
        <v>46</v>
      </c>
      <c r="E49" s="89" t="s">
        <v>47</v>
      </c>
      <c r="F49" s="89" t="s">
        <v>48</v>
      </c>
      <c r="G49" s="89" t="s">
        <v>49</v>
      </c>
      <c r="H49" s="89" t="s">
        <v>38</v>
      </c>
      <c r="I49" s="89" t="s">
        <v>39</v>
      </c>
      <c r="J49" s="89" t="s">
        <v>40</v>
      </c>
      <c r="K49" s="89" t="s">
        <v>41</v>
      </c>
      <c r="L49" s="89" t="s">
        <v>42</v>
      </c>
      <c r="M49" s="89" t="s">
        <v>43</v>
      </c>
      <c r="N49" s="90" t="s">
        <v>64</v>
      </c>
    </row>
    <row r="50" spans="1:17">
      <c r="A50" s="46" t="s">
        <v>103</v>
      </c>
      <c r="B50" s="92"/>
      <c r="C50" s="92"/>
      <c r="D50" s="92">
        <v>1</v>
      </c>
      <c r="E50" s="92"/>
      <c r="F50" s="92"/>
      <c r="G50" s="92"/>
      <c r="H50" s="92"/>
      <c r="I50" s="92"/>
      <c r="J50" s="92"/>
      <c r="K50" s="92"/>
      <c r="L50" s="92"/>
      <c r="M50" s="92"/>
      <c r="N50" s="93">
        <f>SUM(B50:M50)</f>
        <v>1</v>
      </c>
    </row>
    <row r="51" spans="1:17">
      <c r="A51" s="14" t="s">
        <v>104</v>
      </c>
      <c r="B51" s="94">
        <v>27</v>
      </c>
      <c r="C51" s="94">
        <v>19</v>
      </c>
      <c r="D51" s="94">
        <v>21</v>
      </c>
      <c r="E51" s="94">
        <v>19</v>
      </c>
      <c r="F51" s="94">
        <v>25</v>
      </c>
      <c r="G51" s="94">
        <v>18</v>
      </c>
      <c r="H51" s="94">
        <v>11</v>
      </c>
      <c r="I51" s="94">
        <v>23</v>
      </c>
      <c r="J51" s="94">
        <v>7</v>
      </c>
      <c r="K51" s="94">
        <v>18</v>
      </c>
      <c r="L51" s="94">
        <v>23</v>
      </c>
      <c r="M51" s="94">
        <v>63</v>
      </c>
      <c r="N51" s="93">
        <f>SUM(B51:M51)</f>
        <v>274</v>
      </c>
    </row>
    <row r="52" spans="1:17">
      <c r="A52" s="14" t="s">
        <v>105</v>
      </c>
      <c r="B52" s="94">
        <v>25</v>
      </c>
      <c r="C52" s="94">
        <v>29</v>
      </c>
      <c r="D52" s="94">
        <v>22</v>
      </c>
      <c r="E52" s="94">
        <v>33</v>
      </c>
      <c r="F52" s="94">
        <v>57</v>
      </c>
      <c r="G52" s="94">
        <v>39</v>
      </c>
      <c r="H52" s="94">
        <v>40</v>
      </c>
      <c r="I52" s="94">
        <v>53</v>
      </c>
      <c r="J52" s="94">
        <v>53</v>
      </c>
      <c r="K52" s="94">
        <v>51</v>
      </c>
      <c r="L52" s="94">
        <v>51</v>
      </c>
      <c r="M52" s="94">
        <v>59</v>
      </c>
      <c r="N52" s="93">
        <f>SUM(B52:M52)</f>
        <v>512</v>
      </c>
    </row>
    <row r="53" spans="1:17">
      <c r="A53" s="14" t="s">
        <v>106</v>
      </c>
      <c r="B53" s="95"/>
      <c r="C53" s="95">
        <v>2</v>
      </c>
      <c r="D53" s="95">
        <v>3</v>
      </c>
      <c r="E53" s="95">
        <v>5</v>
      </c>
      <c r="F53" s="95">
        <v>3</v>
      </c>
      <c r="G53" s="95">
        <v>4</v>
      </c>
      <c r="H53" s="95">
        <v>10</v>
      </c>
      <c r="I53" s="95">
        <v>2</v>
      </c>
      <c r="J53" s="95">
        <v>2</v>
      </c>
      <c r="K53" s="95">
        <v>3</v>
      </c>
      <c r="L53" s="95">
        <v>4</v>
      </c>
      <c r="M53" s="95">
        <v>5</v>
      </c>
      <c r="N53" s="93">
        <f>SUM(B53:M53)</f>
        <v>43</v>
      </c>
    </row>
    <row r="54" spans="1:17">
      <c r="A54" s="47" t="s">
        <v>107</v>
      </c>
      <c r="B54" s="96">
        <v>54</v>
      </c>
      <c r="C54" s="96">
        <v>48</v>
      </c>
      <c r="D54" s="96">
        <v>23</v>
      </c>
      <c r="E54" s="96">
        <v>29</v>
      </c>
      <c r="F54" s="96">
        <v>53</v>
      </c>
      <c r="G54" s="96">
        <v>60</v>
      </c>
      <c r="H54" s="96">
        <v>31</v>
      </c>
      <c r="I54" s="96">
        <v>50</v>
      </c>
      <c r="J54" s="96">
        <v>44</v>
      </c>
      <c r="K54" s="96">
        <v>54</v>
      </c>
      <c r="L54" s="96">
        <v>65</v>
      </c>
      <c r="M54" s="96">
        <v>75</v>
      </c>
      <c r="N54" s="97">
        <f>SUM(B54:M54)</f>
        <v>586</v>
      </c>
    </row>
    <row r="55" spans="1:17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</row>
    <row r="56" spans="1:17" ht="18">
      <c r="A56" s="834" t="s">
        <v>406</v>
      </c>
      <c r="B56" s="834"/>
      <c r="C56" s="834"/>
      <c r="D56" s="834"/>
      <c r="E56" s="834"/>
      <c r="F56" s="834"/>
      <c r="G56" s="834"/>
      <c r="H56" s="834"/>
      <c r="I56" s="834"/>
      <c r="J56" s="834"/>
      <c r="K56" s="834"/>
      <c r="L56" s="834"/>
      <c r="M56" s="834"/>
      <c r="N56" s="834"/>
    </row>
    <row r="57" spans="1:17" ht="15.75">
      <c r="E57" s="24"/>
      <c r="M57" s="66"/>
      <c r="N57" s="49"/>
    </row>
    <row r="58" spans="1:17">
      <c r="A58" s="20" t="s">
        <v>299</v>
      </c>
      <c r="B58" s="12"/>
      <c r="C58" s="98"/>
      <c r="D58" s="9" t="s">
        <v>186</v>
      </c>
      <c r="I58" s="11"/>
      <c r="J58" s="99" t="s">
        <v>300</v>
      </c>
      <c r="K58" s="12"/>
      <c r="L58" s="12"/>
      <c r="M58" s="12"/>
      <c r="N58" s="100"/>
      <c r="P58" s="66"/>
      <c r="Q58" s="49"/>
    </row>
    <row r="59" spans="1:17">
      <c r="A59" s="11">
        <v>722</v>
      </c>
      <c r="B59" s="11" t="s">
        <v>301</v>
      </c>
      <c r="C59" s="22"/>
      <c r="D59" s="101">
        <v>9867745</v>
      </c>
      <c r="E59" s="48"/>
      <c r="F59" s="48"/>
      <c r="G59" s="48"/>
      <c r="H59" s="48"/>
      <c r="I59" s="9" t="s">
        <v>302</v>
      </c>
      <c r="J59" s="10" t="s">
        <v>303</v>
      </c>
      <c r="K59" s="10" t="s">
        <v>304</v>
      </c>
      <c r="L59" s="102" t="s">
        <v>161</v>
      </c>
      <c r="M59" s="103"/>
      <c r="N59" s="10" t="s">
        <v>163</v>
      </c>
      <c r="P59" s="66"/>
      <c r="Q59" s="49"/>
    </row>
    <row r="60" spans="1:17">
      <c r="A60" s="11"/>
      <c r="B60" s="11"/>
      <c r="C60" s="22"/>
      <c r="D60" s="101"/>
      <c r="E60" s="48"/>
      <c r="F60" s="48"/>
      <c r="G60" s="48"/>
      <c r="H60" s="48"/>
      <c r="I60" s="835" t="s">
        <v>305</v>
      </c>
      <c r="J60" s="835"/>
      <c r="K60" s="835"/>
      <c r="L60" s="835"/>
      <c r="M60" s="835"/>
      <c r="N60" s="104">
        <f>F89</f>
        <v>3474196</v>
      </c>
      <c r="O60" s="48"/>
      <c r="P60" s="66"/>
      <c r="Q60" s="49"/>
    </row>
    <row r="61" spans="1:17">
      <c r="A61" s="18" t="s">
        <v>167</v>
      </c>
      <c r="B61" s="6"/>
      <c r="C61" s="105"/>
      <c r="D61" s="106">
        <f>SUM(D59:D60)</f>
        <v>9867745</v>
      </c>
      <c r="E61" s="107"/>
      <c r="F61" s="107"/>
      <c r="G61" s="107"/>
      <c r="H61" s="48"/>
      <c r="I61" s="10"/>
      <c r="J61" s="11"/>
      <c r="K61" s="108"/>
      <c r="L61" s="11"/>
      <c r="M61" s="22"/>
      <c r="N61" s="109"/>
      <c r="O61" s="110"/>
      <c r="P61" s="66"/>
      <c r="Q61" s="49"/>
    </row>
    <row r="62" spans="1:17">
      <c r="A62" t="s">
        <v>168</v>
      </c>
      <c r="B62" s="1"/>
      <c r="C62" s="1"/>
      <c r="D62" s="107">
        <f>D61/12</f>
        <v>822312.08333333337</v>
      </c>
      <c r="E62" s="111"/>
      <c r="F62" s="111"/>
      <c r="G62" s="111"/>
      <c r="H62" s="48"/>
      <c r="I62" s="10">
        <v>62011</v>
      </c>
      <c r="J62" s="11">
        <v>747</v>
      </c>
      <c r="K62" s="108">
        <v>38047</v>
      </c>
      <c r="L62" s="11" t="s">
        <v>407</v>
      </c>
      <c r="M62" s="22"/>
      <c r="N62" s="112">
        <v>60690</v>
      </c>
      <c r="O62" s="113"/>
      <c r="P62" s="66"/>
      <c r="Q62" s="49"/>
    </row>
    <row r="63" spans="1:17">
      <c r="B63" s="1"/>
      <c r="C63" s="1"/>
      <c r="H63" s="48"/>
      <c r="I63" s="10">
        <v>62011</v>
      </c>
      <c r="J63" s="114" t="s">
        <v>308</v>
      </c>
      <c r="K63" s="108">
        <v>38048</v>
      </c>
      <c r="L63" s="11" t="s">
        <v>309</v>
      </c>
      <c r="M63" s="22"/>
      <c r="N63" s="112">
        <v>19215</v>
      </c>
      <c r="O63" s="113"/>
      <c r="P63" s="66"/>
      <c r="Q63" s="49"/>
    </row>
    <row r="64" spans="1:17">
      <c r="B64" s="1"/>
      <c r="C64" s="1"/>
      <c r="H64" s="48"/>
      <c r="I64" s="10" t="s">
        <v>310</v>
      </c>
      <c r="J64" s="114" t="s">
        <v>311</v>
      </c>
      <c r="K64" s="108">
        <v>38047</v>
      </c>
      <c r="L64" s="11" t="s">
        <v>312</v>
      </c>
      <c r="M64" s="22"/>
      <c r="N64" s="112">
        <v>19215</v>
      </c>
      <c r="O64" s="113"/>
      <c r="P64" s="66"/>
      <c r="Q64" s="49"/>
    </row>
    <row r="65" spans="1:17">
      <c r="A65" s="11"/>
      <c r="B65" s="99" t="s">
        <v>300</v>
      </c>
      <c r="C65" s="12"/>
      <c r="D65" s="12"/>
      <c r="E65" s="12"/>
      <c r="F65" s="100"/>
      <c r="G65" s="1"/>
      <c r="H65" s="48" t="s">
        <v>313</v>
      </c>
      <c r="I65" s="115"/>
      <c r="J65" s="116"/>
      <c r="K65" s="117"/>
      <c r="L65" s="116"/>
      <c r="M65" s="118"/>
      <c r="N65" s="119"/>
      <c r="O65" s="48"/>
      <c r="P65" s="66"/>
      <c r="Q65" s="49"/>
    </row>
    <row r="66" spans="1:17">
      <c r="A66" s="9" t="s">
        <v>302</v>
      </c>
      <c r="B66" s="10" t="s">
        <v>303</v>
      </c>
      <c r="C66" s="10" t="s">
        <v>304</v>
      </c>
      <c r="D66" s="102" t="s">
        <v>161</v>
      </c>
      <c r="E66" s="103"/>
      <c r="F66" s="10" t="s">
        <v>163</v>
      </c>
      <c r="G66" s="7"/>
      <c r="H66" s="120" t="s">
        <v>314</v>
      </c>
      <c r="I66" s="45">
        <v>31400</v>
      </c>
      <c r="J66" s="121">
        <v>758</v>
      </c>
      <c r="K66" s="122">
        <v>37500</v>
      </c>
      <c r="L66" s="121" t="s">
        <v>315</v>
      </c>
      <c r="M66" s="123"/>
      <c r="N66" s="124">
        <v>38640</v>
      </c>
      <c r="O66" s="125"/>
      <c r="P66" s="66"/>
      <c r="Q66" s="49"/>
    </row>
    <row r="67" spans="1:17">
      <c r="A67" s="126" t="s">
        <v>319</v>
      </c>
      <c r="B67" s="11">
        <v>112</v>
      </c>
      <c r="C67" s="108">
        <v>37956</v>
      </c>
      <c r="D67" s="11" t="s">
        <v>320</v>
      </c>
      <c r="E67" s="22"/>
      <c r="F67" s="112">
        <v>114030</v>
      </c>
      <c r="G67" s="113"/>
      <c r="H67" s="120" t="s">
        <v>317</v>
      </c>
      <c r="I67" s="45">
        <v>51302</v>
      </c>
      <c r="J67" s="121">
        <v>759</v>
      </c>
      <c r="K67" s="122">
        <v>37501</v>
      </c>
      <c r="L67" s="121" t="s">
        <v>318</v>
      </c>
      <c r="M67" s="123"/>
      <c r="N67" s="124">
        <v>16170</v>
      </c>
      <c r="O67" s="113"/>
      <c r="P67" s="66"/>
      <c r="Q67" s="49"/>
    </row>
    <row r="68" spans="1:17">
      <c r="A68" s="126" t="s">
        <v>323</v>
      </c>
      <c r="B68" s="127">
        <v>113</v>
      </c>
      <c r="C68" s="128">
        <v>38012</v>
      </c>
      <c r="D68" s="127" t="s">
        <v>324</v>
      </c>
      <c r="E68" s="129"/>
      <c r="F68" s="130">
        <v>143325</v>
      </c>
      <c r="G68" s="48"/>
      <c r="H68" s="120" t="s">
        <v>321</v>
      </c>
      <c r="I68" s="45">
        <v>53204</v>
      </c>
      <c r="J68" s="121">
        <v>760</v>
      </c>
      <c r="K68" s="122">
        <v>37502</v>
      </c>
      <c r="L68" s="121" t="s">
        <v>322</v>
      </c>
      <c r="M68" s="123"/>
      <c r="N68" s="124">
        <v>34335</v>
      </c>
      <c r="O68" s="113"/>
      <c r="P68" s="66"/>
      <c r="Q68" s="49"/>
    </row>
    <row r="69" spans="1:17">
      <c r="A69" s="10">
        <v>23140</v>
      </c>
      <c r="B69" s="127">
        <v>116</v>
      </c>
      <c r="C69" s="128">
        <v>38412</v>
      </c>
      <c r="D69" s="127" t="s">
        <v>328</v>
      </c>
      <c r="E69" s="129"/>
      <c r="F69" s="130">
        <v>59220</v>
      </c>
      <c r="G69" s="48"/>
      <c r="I69" s="10">
        <v>62014</v>
      </c>
      <c r="J69" s="11">
        <v>803</v>
      </c>
      <c r="K69" s="108">
        <v>39448</v>
      </c>
      <c r="L69" s="11" t="s">
        <v>325</v>
      </c>
      <c r="M69" s="22"/>
      <c r="N69" s="130">
        <v>48195</v>
      </c>
      <c r="O69" s="48"/>
      <c r="P69" s="66"/>
      <c r="Q69" s="49"/>
    </row>
    <row r="70" spans="1:17">
      <c r="A70" s="10" t="s">
        <v>310</v>
      </c>
      <c r="B70" s="11">
        <v>119</v>
      </c>
      <c r="C70" s="108">
        <v>38808</v>
      </c>
      <c r="D70" s="11" t="s">
        <v>330</v>
      </c>
      <c r="E70" s="22"/>
      <c r="F70" s="112">
        <v>1599570</v>
      </c>
      <c r="G70" s="48"/>
      <c r="H70" s="48"/>
      <c r="I70" s="10">
        <v>62014</v>
      </c>
      <c r="J70" s="11">
        <v>811</v>
      </c>
      <c r="K70" s="108">
        <v>39448</v>
      </c>
      <c r="L70" s="11" t="s">
        <v>327</v>
      </c>
      <c r="M70" s="22"/>
      <c r="N70" s="130">
        <v>141015</v>
      </c>
      <c r="O70" s="48"/>
      <c r="P70" s="66"/>
      <c r="Q70" s="49"/>
    </row>
    <row r="71" spans="1:17">
      <c r="A71" s="10">
        <v>62005</v>
      </c>
      <c r="B71" s="11">
        <v>121</v>
      </c>
      <c r="C71" s="108">
        <v>39264</v>
      </c>
      <c r="D71" s="11" t="s">
        <v>332</v>
      </c>
      <c r="E71" s="22"/>
      <c r="F71" s="112">
        <v>96390</v>
      </c>
      <c r="G71" s="48"/>
      <c r="H71" s="48"/>
      <c r="I71" s="10">
        <v>49500</v>
      </c>
      <c r="J71" s="127">
        <v>900</v>
      </c>
      <c r="K71" s="128">
        <v>38353</v>
      </c>
      <c r="L71" s="127" t="s">
        <v>329</v>
      </c>
      <c r="M71" s="129"/>
      <c r="N71" s="130">
        <v>3990</v>
      </c>
      <c r="O71" s="48"/>
      <c r="P71" s="66"/>
      <c r="Q71" s="49"/>
    </row>
    <row r="72" spans="1:17">
      <c r="A72" s="10">
        <v>38350</v>
      </c>
      <c r="B72" s="11">
        <v>122</v>
      </c>
      <c r="C72" s="108">
        <v>39264</v>
      </c>
      <c r="D72" s="11" t="s">
        <v>335</v>
      </c>
      <c r="E72" s="22"/>
      <c r="F72" s="112">
        <v>18165</v>
      </c>
      <c r="G72" s="48"/>
      <c r="H72" s="48"/>
      <c r="O72" s="48"/>
      <c r="P72" s="66"/>
      <c r="Q72" s="49"/>
    </row>
    <row r="73" spans="1:17">
      <c r="A73" s="10">
        <v>91100</v>
      </c>
      <c r="B73" s="131">
        <v>124</v>
      </c>
      <c r="C73" s="128">
        <v>39814</v>
      </c>
      <c r="D73" s="11" t="s">
        <v>408</v>
      </c>
      <c r="E73" s="132"/>
      <c r="F73" s="130">
        <v>37710</v>
      </c>
      <c r="G73" s="48"/>
      <c r="H73" s="48"/>
      <c r="O73" s="48"/>
      <c r="P73" s="66"/>
      <c r="Q73" s="49"/>
    </row>
    <row r="74" spans="1:17">
      <c r="A74" s="10">
        <v>49500</v>
      </c>
      <c r="B74" s="131">
        <v>125</v>
      </c>
      <c r="C74" s="133">
        <v>40179</v>
      </c>
      <c r="D74" s="134" t="s">
        <v>409</v>
      </c>
      <c r="E74" s="132"/>
      <c r="F74" s="135">
        <v>101146</v>
      </c>
      <c r="G74" s="48"/>
      <c r="H74" s="48"/>
      <c r="I74" s="10" t="s">
        <v>410</v>
      </c>
      <c r="J74" s="136">
        <v>134</v>
      </c>
      <c r="K74" s="133">
        <v>40263</v>
      </c>
      <c r="L74" s="116" t="s">
        <v>411</v>
      </c>
      <c r="M74" s="137"/>
      <c r="N74" s="130">
        <v>32500</v>
      </c>
      <c r="O74" s="48"/>
      <c r="P74" s="66"/>
      <c r="Q74" s="49"/>
    </row>
    <row r="75" spans="1:17">
      <c r="A75" s="10">
        <v>49500</v>
      </c>
      <c r="B75" s="131">
        <v>126</v>
      </c>
      <c r="C75" s="133">
        <v>40179</v>
      </c>
      <c r="D75" s="134" t="s">
        <v>412</v>
      </c>
      <c r="E75" s="132"/>
      <c r="F75" s="135">
        <v>101146</v>
      </c>
      <c r="G75" s="48"/>
      <c r="H75" s="138"/>
      <c r="I75" s="139">
        <v>19020</v>
      </c>
      <c r="J75" s="140">
        <v>131</v>
      </c>
      <c r="K75" s="133">
        <v>40238</v>
      </c>
      <c r="L75" s="141" t="s">
        <v>344</v>
      </c>
      <c r="N75" s="142">
        <v>202291</v>
      </c>
      <c r="O75" s="48"/>
      <c r="P75" s="66"/>
      <c r="Q75" s="49"/>
    </row>
    <row r="76" spans="1:17">
      <c r="A76" s="10">
        <v>60111</v>
      </c>
      <c r="B76" s="131">
        <v>128</v>
      </c>
      <c r="C76" s="128">
        <v>39815</v>
      </c>
      <c r="D76" s="11" t="s">
        <v>338</v>
      </c>
      <c r="E76" s="143"/>
      <c r="F76" s="101">
        <v>172149</v>
      </c>
      <c r="G76" s="48"/>
      <c r="H76" s="48"/>
      <c r="I76" s="10"/>
      <c r="J76" s="127"/>
      <c r="K76" s="128"/>
      <c r="L76" s="127"/>
      <c r="M76" s="129"/>
      <c r="N76" s="130"/>
      <c r="O76" s="48"/>
      <c r="P76" s="66"/>
      <c r="Q76" s="49"/>
    </row>
    <row r="77" spans="1:17">
      <c r="A77" s="10">
        <v>37105</v>
      </c>
      <c r="B77" s="131">
        <v>129</v>
      </c>
      <c r="C77" s="128">
        <v>39904</v>
      </c>
      <c r="D77" s="11" t="s">
        <v>340</v>
      </c>
      <c r="E77" s="143"/>
      <c r="F77" s="101">
        <v>18523</v>
      </c>
      <c r="G77" s="48"/>
      <c r="H77" s="48"/>
      <c r="I77" s="10"/>
      <c r="J77" s="127"/>
      <c r="K77" s="128"/>
      <c r="L77" s="127"/>
      <c r="M77" s="129"/>
      <c r="N77" s="130"/>
      <c r="O77" s="48"/>
      <c r="P77" s="66"/>
      <c r="Q77" s="49"/>
    </row>
    <row r="78" spans="1:17">
      <c r="A78" s="10">
        <v>69725</v>
      </c>
      <c r="B78" s="131">
        <v>130</v>
      </c>
      <c r="C78" s="128">
        <v>39918</v>
      </c>
      <c r="D78" s="11" t="s">
        <v>342</v>
      </c>
      <c r="E78" s="143"/>
      <c r="F78" s="101">
        <v>28691</v>
      </c>
      <c r="G78" s="48"/>
      <c r="H78" s="48"/>
      <c r="I78" s="10"/>
      <c r="J78" s="127"/>
      <c r="K78" s="128"/>
      <c r="L78" s="127"/>
      <c r="M78" s="129"/>
      <c r="N78" s="130"/>
      <c r="O78" s="48"/>
      <c r="P78" s="66"/>
      <c r="Q78" s="49"/>
    </row>
    <row r="79" spans="1:17">
      <c r="A79" s="10">
        <v>54100</v>
      </c>
      <c r="B79" s="131">
        <v>133</v>
      </c>
      <c r="C79" s="128">
        <v>40040</v>
      </c>
      <c r="D79" s="11" t="s">
        <v>345</v>
      </c>
      <c r="E79" s="143"/>
      <c r="F79" s="142"/>
      <c r="G79" s="48" t="s">
        <v>388</v>
      </c>
      <c r="H79" s="48"/>
      <c r="I79" s="10"/>
      <c r="J79" s="127"/>
      <c r="K79" s="128"/>
      <c r="L79" s="127"/>
      <c r="M79" s="129"/>
      <c r="N79" s="130"/>
      <c r="O79" s="48"/>
      <c r="P79" s="66"/>
      <c r="Q79" s="49"/>
    </row>
    <row r="80" spans="1:17">
      <c r="A80" s="10">
        <v>50005</v>
      </c>
      <c r="B80" s="11">
        <v>132</v>
      </c>
      <c r="C80" s="108">
        <v>40057</v>
      </c>
      <c r="D80" s="11" t="s">
        <v>347</v>
      </c>
      <c r="E80" s="101"/>
      <c r="F80" s="112">
        <v>175350</v>
      </c>
      <c r="G80" s="48"/>
      <c r="H80" s="48"/>
      <c r="I80" s="10">
        <v>20100</v>
      </c>
      <c r="J80" s="116" t="s">
        <v>301</v>
      </c>
      <c r="K80" s="108">
        <v>40179</v>
      </c>
      <c r="L80" s="11" t="s">
        <v>294</v>
      </c>
      <c r="M80" s="22"/>
      <c r="N80" s="130">
        <v>536360</v>
      </c>
      <c r="O80" s="48"/>
      <c r="P80" s="66"/>
      <c r="Q80" s="49"/>
    </row>
    <row r="81" spans="1:17">
      <c r="A81" s="10"/>
      <c r="B81" s="131" t="s">
        <v>336</v>
      </c>
      <c r="C81" s="128">
        <v>39448</v>
      </c>
      <c r="D81" s="11" t="s">
        <v>387</v>
      </c>
      <c r="E81" s="144"/>
      <c r="F81" s="130">
        <v>28665</v>
      </c>
      <c r="G81" s="48"/>
      <c r="H81" s="48"/>
      <c r="I81" s="10">
        <v>80005</v>
      </c>
      <c r="J81" s="116" t="s">
        <v>301</v>
      </c>
      <c r="K81" s="108">
        <v>40179</v>
      </c>
      <c r="L81" s="11" t="s">
        <v>350</v>
      </c>
      <c r="M81" s="22"/>
      <c r="N81" s="130">
        <v>496511</v>
      </c>
      <c r="O81" s="48"/>
      <c r="P81" s="66"/>
      <c r="Q81" s="49"/>
    </row>
    <row r="82" spans="1:17">
      <c r="A82" s="10">
        <v>11040</v>
      </c>
      <c r="B82" s="131" t="s">
        <v>413</v>
      </c>
      <c r="C82" s="128">
        <v>39448</v>
      </c>
      <c r="D82" s="11" t="s">
        <v>414</v>
      </c>
      <c r="E82" s="144"/>
      <c r="F82" s="130">
        <v>28665</v>
      </c>
      <c r="G82" s="48"/>
      <c r="H82" s="48"/>
      <c r="I82" s="10">
        <v>39630</v>
      </c>
      <c r="J82" s="116" t="s">
        <v>301</v>
      </c>
      <c r="K82" s="108">
        <v>40179</v>
      </c>
      <c r="L82" s="11" t="s">
        <v>353</v>
      </c>
      <c r="M82" s="22"/>
      <c r="N82" s="130">
        <v>567857</v>
      </c>
      <c r="O82" s="48"/>
      <c r="P82" s="66"/>
      <c r="Q82" s="49"/>
    </row>
    <row r="83" spans="1:17">
      <c r="A83" s="10">
        <v>28100</v>
      </c>
      <c r="B83" s="127">
        <v>728</v>
      </c>
      <c r="C83" s="128">
        <v>38846</v>
      </c>
      <c r="D83" s="11" t="s">
        <v>339</v>
      </c>
      <c r="E83" s="129"/>
      <c r="F83" s="129">
        <v>72450</v>
      </c>
      <c r="G83" s="48"/>
      <c r="H83" s="48"/>
      <c r="I83" s="10">
        <v>49500</v>
      </c>
      <c r="J83" s="116" t="s">
        <v>301</v>
      </c>
      <c r="K83" s="108">
        <v>40179</v>
      </c>
      <c r="L83" s="11" t="s">
        <v>356</v>
      </c>
      <c r="M83" s="22"/>
      <c r="N83" s="130">
        <v>532376</v>
      </c>
      <c r="O83" s="48"/>
      <c r="P83" s="66"/>
      <c r="Q83" s="49"/>
    </row>
    <row r="84" spans="1:17" ht="15.75">
      <c r="A84" s="10">
        <v>11023</v>
      </c>
      <c r="B84" s="127">
        <v>732</v>
      </c>
      <c r="C84" s="133" t="s">
        <v>415</v>
      </c>
      <c r="D84" s="116" t="s">
        <v>416</v>
      </c>
      <c r="E84" s="22"/>
      <c r="F84" s="119">
        <v>28455</v>
      </c>
      <c r="G84" s="145"/>
      <c r="H84" s="48"/>
      <c r="I84" s="10">
        <v>60111</v>
      </c>
      <c r="J84" s="116" t="s">
        <v>301</v>
      </c>
      <c r="K84" s="108">
        <v>40179</v>
      </c>
      <c r="L84" s="11" t="s">
        <v>359</v>
      </c>
      <c r="M84" s="22"/>
      <c r="N84" s="130">
        <v>703724</v>
      </c>
      <c r="O84" s="48"/>
      <c r="P84" s="66"/>
      <c r="Q84" s="49"/>
    </row>
    <row r="85" spans="1:17" ht="15.75">
      <c r="A85" s="10">
        <v>62001</v>
      </c>
      <c r="B85" s="127">
        <v>737</v>
      </c>
      <c r="C85" s="128">
        <v>38292</v>
      </c>
      <c r="D85" s="127" t="s">
        <v>417</v>
      </c>
      <c r="E85" s="129"/>
      <c r="F85" s="130">
        <v>100905</v>
      </c>
      <c r="G85" s="145"/>
      <c r="H85" s="23"/>
      <c r="I85" s="10">
        <v>11023</v>
      </c>
      <c r="J85" s="116" t="s">
        <v>301</v>
      </c>
      <c r="K85" s="108">
        <v>40179</v>
      </c>
      <c r="L85" s="127" t="s">
        <v>362</v>
      </c>
      <c r="M85" s="129"/>
      <c r="N85" s="130">
        <v>4258207</v>
      </c>
      <c r="O85" s="48"/>
      <c r="P85" s="66"/>
      <c r="Q85" s="49"/>
    </row>
    <row r="86" spans="1:17" ht="15.75">
      <c r="A86" s="10">
        <v>82500</v>
      </c>
      <c r="B86" s="11">
        <v>740</v>
      </c>
      <c r="C86" s="108">
        <v>37834</v>
      </c>
      <c r="D86" s="11" t="s">
        <v>418</v>
      </c>
      <c r="E86" s="22"/>
      <c r="F86" s="112">
        <v>91350</v>
      </c>
      <c r="G86" s="145"/>
      <c r="H86" s="48"/>
      <c r="I86" s="10">
        <v>11023</v>
      </c>
      <c r="J86" s="116" t="s">
        <v>301</v>
      </c>
      <c r="K86" s="108">
        <v>40179</v>
      </c>
      <c r="L86" s="11" t="s">
        <v>365</v>
      </c>
      <c r="M86" s="22"/>
      <c r="N86" s="130">
        <v>1122930</v>
      </c>
      <c r="O86" s="48"/>
      <c r="P86" s="66"/>
      <c r="Q86" s="49"/>
    </row>
    <row r="87" spans="1:17">
      <c r="A87" s="10">
        <v>62006</v>
      </c>
      <c r="B87" s="114" t="s">
        <v>333</v>
      </c>
      <c r="C87" s="108">
        <v>39173</v>
      </c>
      <c r="D87" s="11" t="s">
        <v>419</v>
      </c>
      <c r="E87" s="22"/>
      <c r="F87" s="112">
        <v>40110</v>
      </c>
      <c r="G87" s="48"/>
      <c r="H87" s="23"/>
      <c r="I87" s="10" t="s">
        <v>368</v>
      </c>
      <c r="J87" s="116" t="s">
        <v>301</v>
      </c>
      <c r="K87" s="108">
        <v>40179</v>
      </c>
      <c r="L87" s="127" t="s">
        <v>310</v>
      </c>
      <c r="M87" s="129"/>
      <c r="N87" s="130">
        <v>1649780</v>
      </c>
      <c r="O87" s="48"/>
      <c r="P87" s="66"/>
      <c r="Q87" s="49"/>
    </row>
    <row r="88" spans="1:17">
      <c r="A88" s="115"/>
      <c r="B88" s="114">
        <v>745</v>
      </c>
      <c r="C88" s="117">
        <v>40238</v>
      </c>
      <c r="D88" s="116" t="s">
        <v>420</v>
      </c>
      <c r="E88" s="143"/>
      <c r="F88" s="146">
        <v>418181</v>
      </c>
      <c r="G88" s="48"/>
      <c r="H88" s="23"/>
      <c r="J88" s="18" t="s">
        <v>167</v>
      </c>
      <c r="K88" s="105"/>
      <c r="L88" s="6"/>
      <c r="M88" s="105"/>
      <c r="N88" s="106">
        <f>SUM(N60:N87)</f>
        <v>13958197</v>
      </c>
      <c r="O88" s="113"/>
      <c r="P88" s="66"/>
      <c r="Q88" s="49"/>
    </row>
    <row r="89" spans="1:17">
      <c r="B89" s="18" t="s">
        <v>370</v>
      </c>
      <c r="C89" s="105"/>
      <c r="D89" s="6"/>
      <c r="E89" s="105"/>
      <c r="F89" s="147">
        <f>SUM(F66:F88)</f>
        <v>3474196</v>
      </c>
      <c r="G89" s="48"/>
      <c r="H89" s="23"/>
      <c r="J89" s="4" t="s">
        <v>168</v>
      </c>
      <c r="K89" s="4"/>
      <c r="L89" s="4"/>
      <c r="M89" s="148"/>
      <c r="N89" s="149">
        <f>N88/12</f>
        <v>1163183.0833333333</v>
      </c>
      <c r="O89" s="113"/>
      <c r="P89" s="66"/>
      <c r="Q89" s="49"/>
    </row>
    <row r="90" spans="1:17">
      <c r="C90" s="48"/>
      <c r="D90" s="48"/>
      <c r="E90" s="48"/>
      <c r="F90" s="48"/>
      <c r="G90" s="48"/>
      <c r="H90" s="48"/>
      <c r="L90" s="107"/>
      <c r="M90" s="150"/>
      <c r="N90" s="150"/>
      <c r="O90" s="113"/>
      <c r="P90" s="66"/>
      <c r="Q90" s="49"/>
    </row>
    <row r="91" spans="1:17">
      <c r="C91" s="48"/>
      <c r="D91" s="48"/>
      <c r="E91" s="48"/>
      <c r="F91" s="48"/>
      <c r="G91" s="48"/>
      <c r="H91" s="48"/>
      <c r="L91" s="107"/>
      <c r="M91" s="150"/>
      <c r="N91" s="150"/>
      <c r="O91" s="48"/>
      <c r="P91" s="66"/>
      <c r="Q91" s="49"/>
    </row>
    <row r="92" spans="1:17">
      <c r="C92" s="48"/>
      <c r="D92" s="48"/>
      <c r="E92" s="48"/>
      <c r="F92" s="48"/>
      <c r="G92" s="48"/>
      <c r="H92" s="48"/>
      <c r="L92" s="107"/>
      <c r="M92" s="150"/>
      <c r="N92" s="150"/>
      <c r="O92" s="151"/>
      <c r="P92" s="66"/>
      <c r="Q92" s="49"/>
    </row>
    <row r="93" spans="1:17">
      <c r="C93" s="48"/>
      <c r="D93" s="48"/>
      <c r="E93" s="48"/>
      <c r="F93" s="48"/>
      <c r="G93" s="48"/>
      <c r="L93" s="107"/>
      <c r="M93" s="150"/>
      <c r="N93" s="150"/>
      <c r="O93" s="151"/>
      <c r="P93" s="66"/>
      <c r="Q93" s="49"/>
    </row>
    <row r="94" spans="1:17">
      <c r="C94" s="48"/>
      <c r="D94" s="48"/>
      <c r="E94" s="48"/>
      <c r="F94" s="48"/>
      <c r="G94" s="48"/>
      <c r="L94" s="107"/>
      <c r="M94" s="150"/>
      <c r="N94" s="150"/>
      <c r="O94" s="113"/>
      <c r="P94" s="66"/>
      <c r="Q94" s="49"/>
    </row>
    <row r="95" spans="1:17">
      <c r="C95" s="48"/>
      <c r="D95" s="48"/>
      <c r="E95" s="48"/>
      <c r="F95" s="48"/>
      <c r="G95" s="48"/>
      <c r="L95" s="107"/>
      <c r="M95" s="150"/>
      <c r="N95" s="150"/>
      <c r="O95" s="48"/>
      <c r="P95" s="66"/>
      <c r="Q95" s="49"/>
    </row>
    <row r="96" spans="1:17">
      <c r="C96" s="48"/>
      <c r="D96" s="48"/>
      <c r="L96" s="107"/>
      <c r="M96" s="150"/>
      <c r="N96" s="150"/>
    </row>
    <row r="97" spans="1:14">
      <c r="A97" s="152" t="s">
        <v>113</v>
      </c>
      <c r="B97" s="54" t="s">
        <v>44</v>
      </c>
      <c r="C97" s="54" t="s">
        <v>45</v>
      </c>
      <c r="D97" s="54" t="s">
        <v>46</v>
      </c>
      <c r="E97" s="54" t="s">
        <v>47</v>
      </c>
      <c r="F97" s="54" t="s">
        <v>48</v>
      </c>
      <c r="G97" s="54" t="s">
        <v>49</v>
      </c>
      <c r="H97" s="54" t="s">
        <v>38</v>
      </c>
      <c r="I97" s="54" t="s">
        <v>39</v>
      </c>
      <c r="J97" s="54" t="s">
        <v>40</v>
      </c>
      <c r="K97" s="54" t="s">
        <v>41</v>
      </c>
      <c r="L97" s="54" t="s">
        <v>42</v>
      </c>
      <c r="M97" s="54" t="s">
        <v>43</v>
      </c>
      <c r="N97" s="50"/>
    </row>
    <row r="98" spans="1:14">
      <c r="A98" s="53" t="s">
        <v>115</v>
      </c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4">
        <f>SUM(B98:M98)</f>
        <v>0</v>
      </c>
    </row>
    <row r="99" spans="1:14">
      <c r="A99" s="69" t="s">
        <v>116</v>
      </c>
      <c r="B99" s="155">
        <f>N89</f>
        <v>1163183.0833333333</v>
      </c>
      <c r="C99" s="155">
        <f>N89</f>
        <v>1163183.0833333333</v>
      </c>
      <c r="D99" s="155">
        <f>N89</f>
        <v>1163183.0833333333</v>
      </c>
      <c r="E99" s="155">
        <f>N89</f>
        <v>1163183.0833333333</v>
      </c>
      <c r="F99" s="155">
        <f>N89</f>
        <v>1163183.0833333333</v>
      </c>
      <c r="G99" s="155">
        <f>N89</f>
        <v>1163183.0833333333</v>
      </c>
      <c r="H99" s="155">
        <f>N89</f>
        <v>1163183.0833333333</v>
      </c>
      <c r="I99" s="155">
        <f>N89</f>
        <v>1163183.0833333333</v>
      </c>
      <c r="J99" s="155">
        <f>N89</f>
        <v>1163183.0833333333</v>
      </c>
      <c r="K99" s="155">
        <f>N89</f>
        <v>1163183.0833333333</v>
      </c>
      <c r="L99" s="155">
        <f>N89</f>
        <v>1163183.0833333333</v>
      </c>
      <c r="M99" s="155">
        <f>N89</f>
        <v>1163183.0833333333</v>
      </c>
      <c r="N99" s="156">
        <f>SUM(B99:M99)</f>
        <v>13958197.000000002</v>
      </c>
    </row>
    <row r="100" spans="1:14">
      <c r="A100" s="157" t="s">
        <v>117</v>
      </c>
      <c r="B100" s="158">
        <f t="shared" ref="B100:N100" si="13">SUM(B98:B99)</f>
        <v>1163183.0833333333</v>
      </c>
      <c r="C100" s="158">
        <f t="shared" si="13"/>
        <v>1163183.0833333333</v>
      </c>
      <c r="D100" s="158">
        <f t="shared" si="13"/>
        <v>1163183.0833333333</v>
      </c>
      <c r="E100" s="158">
        <f t="shared" si="13"/>
        <v>1163183.0833333333</v>
      </c>
      <c r="F100" s="158">
        <f t="shared" si="13"/>
        <v>1163183.0833333333</v>
      </c>
      <c r="G100" s="158">
        <f t="shared" si="13"/>
        <v>1163183.0833333333</v>
      </c>
      <c r="H100" s="158">
        <f t="shared" si="13"/>
        <v>1163183.0833333333</v>
      </c>
      <c r="I100" s="158">
        <f t="shared" si="13"/>
        <v>1163183.0833333333</v>
      </c>
      <c r="J100" s="158">
        <f t="shared" si="13"/>
        <v>1163183.0833333333</v>
      </c>
      <c r="K100" s="158">
        <f t="shared" si="13"/>
        <v>1163183.0833333333</v>
      </c>
      <c r="L100" s="158">
        <f t="shared" si="13"/>
        <v>1163183.0833333333</v>
      </c>
      <c r="M100" s="158">
        <f t="shared" si="13"/>
        <v>1163183.0833333333</v>
      </c>
      <c r="N100" s="159">
        <f t="shared" si="13"/>
        <v>13958197.000000002</v>
      </c>
    </row>
    <row r="101" spans="1:14">
      <c r="A101" s="160" t="s">
        <v>255</v>
      </c>
      <c r="B101" s="161">
        <v>2800</v>
      </c>
      <c r="C101" s="161">
        <v>4200</v>
      </c>
      <c r="D101" s="161">
        <v>9275</v>
      </c>
      <c r="E101" s="161">
        <v>2800</v>
      </c>
      <c r="F101" s="161">
        <v>5250</v>
      </c>
      <c r="G101" s="162">
        <v>4150</v>
      </c>
      <c r="H101" s="161">
        <v>950</v>
      </c>
      <c r="I101" s="161">
        <v>1750</v>
      </c>
      <c r="J101" s="161">
        <v>9369</v>
      </c>
      <c r="K101" s="161">
        <v>1575</v>
      </c>
      <c r="L101" s="161">
        <v>6300</v>
      </c>
      <c r="M101" s="161"/>
      <c r="N101" s="161">
        <f>SUM(B101:M101)</f>
        <v>48419</v>
      </c>
    </row>
    <row r="102" spans="1:14">
      <c r="A102" s="50" t="s">
        <v>256</v>
      </c>
      <c r="B102" s="154">
        <v>175617</v>
      </c>
      <c r="C102" s="154">
        <v>188510</v>
      </c>
      <c r="D102" s="154">
        <v>193915</v>
      </c>
      <c r="E102" s="154">
        <v>203313</v>
      </c>
      <c r="F102" s="154">
        <v>107512</v>
      </c>
      <c r="G102" s="163">
        <v>120470</v>
      </c>
      <c r="H102" s="154">
        <v>190988</v>
      </c>
      <c r="I102" s="154">
        <v>237363</v>
      </c>
      <c r="J102" s="154">
        <v>173912</v>
      </c>
      <c r="K102" s="154">
        <v>114375</v>
      </c>
      <c r="L102" s="154">
        <v>154343</v>
      </c>
      <c r="M102" s="154">
        <v>136225</v>
      </c>
      <c r="N102" s="161">
        <f>SUM(B102:M102)</f>
        <v>1996543</v>
      </c>
    </row>
    <row r="103" spans="1:14">
      <c r="A103" s="50" t="s">
        <v>257</v>
      </c>
      <c r="B103" s="154">
        <v>39634</v>
      </c>
      <c r="C103" s="154">
        <v>41213.5</v>
      </c>
      <c r="D103" s="154">
        <v>107249.5</v>
      </c>
      <c r="E103" s="154">
        <v>37553</v>
      </c>
      <c r="F103" s="154">
        <v>37559.5</v>
      </c>
      <c r="G103" s="163">
        <v>30462</v>
      </c>
      <c r="H103" s="154">
        <v>23371</v>
      </c>
      <c r="I103" s="154">
        <v>11437</v>
      </c>
      <c r="J103" s="154">
        <v>42165.5</v>
      </c>
      <c r="K103" s="154">
        <v>37553.5</v>
      </c>
      <c r="L103" s="154">
        <v>3953</v>
      </c>
      <c r="M103" s="154">
        <v>38553</v>
      </c>
      <c r="N103" s="161">
        <f>SUM(B103:M103)</f>
        <v>450704.5</v>
      </c>
    </row>
    <row r="104" spans="1:14">
      <c r="A104" s="50" t="s">
        <v>211</v>
      </c>
      <c r="B104" s="154">
        <v>165768.75</v>
      </c>
      <c r="C104" s="153">
        <v>92750.5</v>
      </c>
      <c r="D104" s="153">
        <v>131600</v>
      </c>
      <c r="E104" s="153">
        <v>187818.75</v>
      </c>
      <c r="F104" s="153">
        <v>118050</v>
      </c>
      <c r="G104" s="153">
        <v>58625</v>
      </c>
      <c r="H104" s="153">
        <v>20125</v>
      </c>
      <c r="I104" s="153">
        <v>143456.25</v>
      </c>
      <c r="J104" s="153">
        <v>80062.5</v>
      </c>
      <c r="K104" s="153">
        <v>198406.25</v>
      </c>
      <c r="L104" s="153">
        <v>55650</v>
      </c>
      <c r="M104" s="153">
        <v>70875.25</v>
      </c>
      <c r="N104" s="161">
        <f>SUM(B104:M104)</f>
        <v>1323188.25</v>
      </c>
    </row>
    <row r="105" spans="1:14">
      <c r="A105" s="50" t="s">
        <v>421</v>
      </c>
      <c r="B105" s="154">
        <v>5500</v>
      </c>
      <c r="C105" s="153">
        <v>1000</v>
      </c>
      <c r="D105" s="153">
        <v>1900</v>
      </c>
      <c r="E105" s="153">
        <v>3525</v>
      </c>
      <c r="F105" s="153">
        <v>3575</v>
      </c>
      <c r="G105" s="153">
        <v>3000</v>
      </c>
      <c r="H105" s="153">
        <v>1225</v>
      </c>
      <c r="I105" s="153">
        <v>4025</v>
      </c>
      <c r="J105" s="153">
        <v>2125</v>
      </c>
      <c r="K105" s="153">
        <v>850</v>
      </c>
      <c r="L105" s="153">
        <v>325</v>
      </c>
      <c r="M105" s="153"/>
      <c r="N105" s="161">
        <f>SUM(B105:M105)</f>
        <v>27050</v>
      </c>
    </row>
    <row r="106" spans="1:14">
      <c r="A106" s="164" t="s">
        <v>125</v>
      </c>
      <c r="B106" s="165"/>
      <c r="C106" s="166"/>
      <c r="D106" s="166"/>
      <c r="E106" s="166"/>
      <c r="F106" s="166"/>
      <c r="G106" s="166"/>
      <c r="H106" s="166"/>
      <c r="I106" s="166"/>
      <c r="J106" s="166"/>
      <c r="K106" s="166"/>
      <c r="L106" s="166"/>
      <c r="M106" s="166"/>
      <c r="N106" s="165"/>
    </row>
    <row r="107" spans="1:14">
      <c r="A107" s="167" t="s">
        <v>126</v>
      </c>
      <c r="B107" s="168">
        <f t="shared" ref="B107:N107" si="14">SUM(B101:B106)</f>
        <v>389319.75</v>
      </c>
      <c r="C107" s="168">
        <f t="shared" si="14"/>
        <v>327674</v>
      </c>
      <c r="D107" s="168">
        <f t="shared" si="14"/>
        <v>443939.5</v>
      </c>
      <c r="E107" s="168">
        <f t="shared" si="14"/>
        <v>435009.75</v>
      </c>
      <c r="F107" s="168">
        <f t="shared" si="14"/>
        <v>271946.5</v>
      </c>
      <c r="G107" s="168">
        <f t="shared" si="14"/>
        <v>216707</v>
      </c>
      <c r="H107" s="168">
        <f t="shared" si="14"/>
        <v>236659</v>
      </c>
      <c r="I107" s="168">
        <f t="shared" si="14"/>
        <v>398031.25</v>
      </c>
      <c r="J107" s="168">
        <f t="shared" si="14"/>
        <v>307634</v>
      </c>
      <c r="K107" s="168">
        <f t="shared" si="14"/>
        <v>352759.75</v>
      </c>
      <c r="L107" s="168">
        <f t="shared" si="14"/>
        <v>220571</v>
      </c>
      <c r="M107" s="168">
        <f t="shared" si="14"/>
        <v>245653.25</v>
      </c>
      <c r="N107" s="168">
        <f t="shared" si="14"/>
        <v>3845904.75</v>
      </c>
    </row>
    <row r="108" spans="1:14">
      <c r="A108" s="160" t="s">
        <v>127</v>
      </c>
      <c r="B108" s="165"/>
      <c r="C108" s="165">
        <v>2800</v>
      </c>
      <c r="D108" s="165"/>
      <c r="E108" s="165"/>
      <c r="F108" s="165"/>
      <c r="G108" s="165"/>
      <c r="H108" s="165"/>
      <c r="I108" s="165"/>
      <c r="J108" s="165">
        <v>14500</v>
      </c>
      <c r="K108" s="165">
        <v>12487</v>
      </c>
      <c r="L108" s="165">
        <v>6520</v>
      </c>
      <c r="M108" s="165"/>
      <c r="N108" s="161">
        <f>SUM(B108:M108)</f>
        <v>36307</v>
      </c>
    </row>
    <row r="109" spans="1:14">
      <c r="A109" s="169" t="s">
        <v>129</v>
      </c>
      <c r="B109" s="170">
        <f t="shared" ref="B109:N109" si="15">SUM(B100,B107,B108)</f>
        <v>1552502.8333333333</v>
      </c>
      <c r="C109" s="170">
        <f t="shared" si="15"/>
        <v>1493657.0833333333</v>
      </c>
      <c r="D109" s="170">
        <f t="shared" si="15"/>
        <v>1607122.5833333333</v>
      </c>
      <c r="E109" s="170">
        <f t="shared" si="15"/>
        <v>1598192.8333333333</v>
      </c>
      <c r="F109" s="170">
        <f t="shared" si="15"/>
        <v>1435129.5833333333</v>
      </c>
      <c r="G109" s="170">
        <f t="shared" si="15"/>
        <v>1379890.0833333333</v>
      </c>
      <c r="H109" s="170">
        <f t="shared" si="15"/>
        <v>1399842.0833333333</v>
      </c>
      <c r="I109" s="170">
        <f t="shared" si="15"/>
        <v>1561214.3333333333</v>
      </c>
      <c r="J109" s="170">
        <f t="shared" si="15"/>
        <v>1485317.0833333333</v>
      </c>
      <c r="K109" s="170">
        <f t="shared" si="15"/>
        <v>1528429.8333333333</v>
      </c>
      <c r="L109" s="170">
        <f t="shared" si="15"/>
        <v>1390274.0833333333</v>
      </c>
      <c r="M109" s="170">
        <f t="shared" si="15"/>
        <v>1408836.3333333333</v>
      </c>
      <c r="N109" s="170">
        <f t="shared" si="15"/>
        <v>17840408.75</v>
      </c>
    </row>
    <row r="110" spans="1:14">
      <c r="A110" s="171" t="s">
        <v>131</v>
      </c>
      <c r="B110" s="155">
        <v>1277777</v>
      </c>
      <c r="C110" s="155">
        <v>1300000</v>
      </c>
      <c r="D110" s="155">
        <v>1132260</v>
      </c>
      <c r="E110" s="155">
        <v>1507299</v>
      </c>
      <c r="F110" s="155">
        <v>1470730</v>
      </c>
      <c r="G110" s="155">
        <v>1447833</v>
      </c>
      <c r="H110" s="155">
        <v>1326297</v>
      </c>
      <c r="I110" s="155">
        <v>1317537</v>
      </c>
      <c r="J110" s="155">
        <v>1345612</v>
      </c>
      <c r="K110" s="155">
        <v>1333333</v>
      </c>
      <c r="L110" s="155">
        <v>1333333</v>
      </c>
      <c r="M110" s="155">
        <v>1333333</v>
      </c>
      <c r="N110" s="172">
        <f>SUM(B110:M110)</f>
        <v>16125344</v>
      </c>
    </row>
    <row r="111" spans="1:14">
      <c r="A111" s="173" t="s">
        <v>130</v>
      </c>
      <c r="B111" s="155">
        <v>10000</v>
      </c>
      <c r="C111" s="155">
        <v>10000</v>
      </c>
      <c r="D111" s="155">
        <v>10000</v>
      </c>
      <c r="E111" s="155">
        <v>10000</v>
      </c>
      <c r="F111" s="155">
        <v>10000</v>
      </c>
      <c r="G111" s="155">
        <v>10000</v>
      </c>
      <c r="H111" s="155">
        <v>10000</v>
      </c>
      <c r="I111" s="155">
        <v>10000</v>
      </c>
      <c r="J111" s="155">
        <v>10000</v>
      </c>
      <c r="K111" s="155">
        <v>10000</v>
      </c>
      <c r="L111" s="155">
        <v>10000</v>
      </c>
      <c r="M111" s="155">
        <v>10000</v>
      </c>
      <c r="N111" s="155">
        <f>SUM(B111:M111)</f>
        <v>120000</v>
      </c>
    </row>
    <row r="112" spans="1:14">
      <c r="A112" s="174" t="s">
        <v>146</v>
      </c>
      <c r="B112" s="175">
        <f t="shared" ref="B112:N112" si="16">SUM(B109-B110-B111)</f>
        <v>264725.83333333326</v>
      </c>
      <c r="C112" s="175">
        <f t="shared" si="16"/>
        <v>183657.08333333326</v>
      </c>
      <c r="D112" s="175">
        <f t="shared" si="16"/>
        <v>464862.58333333326</v>
      </c>
      <c r="E112" s="175">
        <f t="shared" si="16"/>
        <v>80893.833333333256</v>
      </c>
      <c r="F112" s="175">
        <f t="shared" si="16"/>
        <v>-45600.416666666744</v>
      </c>
      <c r="G112" s="175">
        <f t="shared" si="16"/>
        <v>-77942.916666666744</v>
      </c>
      <c r="H112" s="175">
        <f t="shared" si="16"/>
        <v>63545.083333333256</v>
      </c>
      <c r="I112" s="175">
        <f t="shared" si="16"/>
        <v>233677.33333333326</v>
      </c>
      <c r="J112" s="175">
        <f t="shared" si="16"/>
        <v>129705.08333333326</v>
      </c>
      <c r="K112" s="175">
        <f t="shared" si="16"/>
        <v>185096.83333333326</v>
      </c>
      <c r="L112" s="175">
        <f t="shared" si="16"/>
        <v>46941.083333333256</v>
      </c>
      <c r="M112" s="175">
        <f t="shared" si="16"/>
        <v>65503.333333333256</v>
      </c>
      <c r="N112" s="175">
        <f t="shared" si="16"/>
        <v>1595064.75</v>
      </c>
    </row>
    <row r="113" spans="1:14">
      <c r="A113" s="176"/>
      <c r="B113" s="177"/>
      <c r="C113" s="177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</row>
    <row r="114" spans="1:14" ht="20.25">
      <c r="A114" s="836" t="s">
        <v>422</v>
      </c>
      <c r="B114" s="836"/>
      <c r="C114" s="836"/>
      <c r="D114" s="836"/>
      <c r="E114" s="836"/>
      <c r="F114" s="836"/>
      <c r="G114" s="836"/>
      <c r="H114" s="836"/>
      <c r="I114" s="836"/>
      <c r="J114" s="836"/>
      <c r="K114" s="836"/>
      <c r="L114" s="836"/>
      <c r="M114" s="836"/>
      <c r="N114" s="836"/>
    </row>
    <row r="115" spans="1:14">
      <c r="A115" s="49"/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</row>
    <row r="116" spans="1:14">
      <c r="A116" s="50"/>
      <c r="B116" s="51" t="s">
        <v>44</v>
      </c>
      <c r="C116" s="51" t="s">
        <v>45</v>
      </c>
      <c r="D116" s="52" t="s">
        <v>46</v>
      </c>
      <c r="E116" s="51" t="s">
        <v>47</v>
      </c>
      <c r="F116" s="51" t="s">
        <v>48</v>
      </c>
      <c r="G116" s="52" t="s">
        <v>49</v>
      </c>
      <c r="H116" s="51" t="s">
        <v>38</v>
      </c>
      <c r="I116" s="51" t="s">
        <v>39</v>
      </c>
      <c r="J116" s="51" t="s">
        <v>40</v>
      </c>
      <c r="K116" s="51" t="s">
        <v>41</v>
      </c>
      <c r="L116" s="51" t="s">
        <v>42</v>
      </c>
      <c r="M116" s="51" t="s">
        <v>43</v>
      </c>
      <c r="N116" s="50" t="s">
        <v>64</v>
      </c>
    </row>
    <row r="117" spans="1:14">
      <c r="A117" s="53" t="s">
        <v>65</v>
      </c>
      <c r="B117" s="54">
        <v>2886</v>
      </c>
      <c r="C117" s="54">
        <v>2886</v>
      </c>
      <c r="D117" s="54">
        <v>2886</v>
      </c>
      <c r="E117" s="54">
        <v>2886</v>
      </c>
      <c r="F117" s="54">
        <v>2886</v>
      </c>
      <c r="G117" s="54">
        <v>2886</v>
      </c>
      <c r="H117" s="54">
        <v>2886</v>
      </c>
      <c r="I117" s="54">
        <v>2886</v>
      </c>
      <c r="J117" s="54">
        <v>2886</v>
      </c>
      <c r="K117" s="54">
        <v>2886</v>
      </c>
      <c r="L117" s="54">
        <v>2886</v>
      </c>
      <c r="M117" s="54">
        <v>2886</v>
      </c>
      <c r="N117" s="54">
        <f t="shared" ref="N117:N128" si="17">SUM(B117:M117)</f>
        <v>34632</v>
      </c>
    </row>
    <row r="118" spans="1:14">
      <c r="A118" s="53" t="s">
        <v>66</v>
      </c>
      <c r="B118" s="54">
        <v>0</v>
      </c>
      <c r="C118" s="54">
        <v>0</v>
      </c>
      <c r="D118" s="54">
        <v>0</v>
      </c>
      <c r="E118" s="54">
        <v>0</v>
      </c>
      <c r="F118" s="54">
        <v>0</v>
      </c>
      <c r="G118" s="55">
        <v>0</v>
      </c>
      <c r="H118" s="54">
        <v>0</v>
      </c>
      <c r="I118" s="54">
        <v>0</v>
      </c>
      <c r="J118" s="56"/>
      <c r="K118" s="54">
        <v>21.75</v>
      </c>
      <c r="L118" s="54">
        <v>0</v>
      </c>
      <c r="M118" s="54">
        <v>0</v>
      </c>
      <c r="N118" s="54">
        <f t="shared" si="17"/>
        <v>21.75</v>
      </c>
    </row>
    <row r="119" spans="1:14">
      <c r="A119" s="53" t="s">
        <v>148</v>
      </c>
      <c r="B119" s="54">
        <v>0</v>
      </c>
      <c r="C119" s="54">
        <v>0</v>
      </c>
      <c r="D119" s="54">
        <v>0</v>
      </c>
      <c r="E119" s="54">
        <v>0</v>
      </c>
      <c r="F119" s="54">
        <v>0</v>
      </c>
      <c r="G119" s="55">
        <v>0</v>
      </c>
      <c r="H119" s="54">
        <v>0</v>
      </c>
      <c r="I119" s="54">
        <v>0</v>
      </c>
      <c r="J119" s="54"/>
      <c r="K119" s="54"/>
      <c r="L119" s="54">
        <v>0</v>
      </c>
      <c r="M119" s="50">
        <v>0</v>
      </c>
      <c r="N119" s="54">
        <f t="shared" si="17"/>
        <v>0</v>
      </c>
    </row>
    <row r="120" spans="1:14">
      <c r="A120" s="53" t="s">
        <v>69</v>
      </c>
      <c r="B120" s="54">
        <v>43</v>
      </c>
      <c r="C120" s="54">
        <v>278.75</v>
      </c>
      <c r="D120" s="54">
        <v>301.25</v>
      </c>
      <c r="E120" s="54">
        <v>140.25</v>
      </c>
      <c r="F120" s="54">
        <v>161.75</v>
      </c>
      <c r="G120" s="55">
        <v>94</v>
      </c>
      <c r="H120" s="54">
        <v>1246.25</v>
      </c>
      <c r="I120" s="54">
        <v>778.75</v>
      </c>
      <c r="J120" s="54">
        <v>21.5</v>
      </c>
      <c r="K120" s="54">
        <v>264</v>
      </c>
      <c r="L120" s="54">
        <v>80</v>
      </c>
      <c r="M120" s="54">
        <v>37</v>
      </c>
      <c r="N120" s="54">
        <f t="shared" si="17"/>
        <v>3446.5</v>
      </c>
    </row>
    <row r="121" spans="1:14">
      <c r="A121" s="53" t="s">
        <v>70</v>
      </c>
      <c r="B121" s="54">
        <v>29.25</v>
      </c>
      <c r="C121" s="54">
        <v>7.75</v>
      </c>
      <c r="D121" s="54">
        <v>23.25</v>
      </c>
      <c r="E121" s="54">
        <v>58.5</v>
      </c>
      <c r="F121" s="54">
        <v>0</v>
      </c>
      <c r="G121" s="55">
        <v>15.5</v>
      </c>
      <c r="H121" s="54">
        <v>0</v>
      </c>
      <c r="I121" s="54">
        <v>13.75</v>
      </c>
      <c r="J121" s="54">
        <v>23.25</v>
      </c>
      <c r="K121" s="54">
        <v>58.5</v>
      </c>
      <c r="L121" s="54">
        <v>60.25</v>
      </c>
      <c r="M121" s="54">
        <v>52.5</v>
      </c>
      <c r="N121" s="54">
        <f t="shared" si="17"/>
        <v>342.5</v>
      </c>
    </row>
    <row r="122" spans="1:14">
      <c r="A122" s="53" t="s">
        <v>71</v>
      </c>
      <c r="B122" s="54">
        <v>23.75</v>
      </c>
      <c r="C122" s="54">
        <v>93.5</v>
      </c>
      <c r="D122" s="54">
        <v>29.25</v>
      </c>
      <c r="E122" s="54">
        <v>81.25</v>
      </c>
      <c r="F122" s="54">
        <v>118.75</v>
      </c>
      <c r="G122" s="55">
        <v>7.75</v>
      </c>
      <c r="H122" s="54">
        <v>0</v>
      </c>
      <c r="I122" s="54">
        <v>68.5</v>
      </c>
      <c r="J122" s="54">
        <v>65.5</v>
      </c>
      <c r="K122" s="54">
        <v>85.5</v>
      </c>
      <c r="L122" s="54">
        <v>148</v>
      </c>
      <c r="M122" s="54">
        <v>99</v>
      </c>
      <c r="N122" s="54">
        <f t="shared" si="17"/>
        <v>820.75</v>
      </c>
    </row>
    <row r="123" spans="1:14">
      <c r="A123" s="53" t="s">
        <v>72</v>
      </c>
      <c r="B123" s="54">
        <v>0</v>
      </c>
      <c r="C123" s="54">
        <v>0</v>
      </c>
      <c r="D123" s="54">
        <v>7.75</v>
      </c>
      <c r="E123" s="54">
        <v>0</v>
      </c>
      <c r="F123" s="54">
        <v>0</v>
      </c>
      <c r="G123" s="55">
        <v>7.75</v>
      </c>
      <c r="H123" s="54">
        <v>0</v>
      </c>
      <c r="I123" s="54">
        <v>0</v>
      </c>
      <c r="J123" s="54">
        <v>0</v>
      </c>
      <c r="K123" s="54">
        <v>0</v>
      </c>
      <c r="L123" s="54">
        <v>0</v>
      </c>
      <c r="M123" s="54">
        <v>0</v>
      </c>
      <c r="N123" s="54">
        <f t="shared" si="17"/>
        <v>15.5</v>
      </c>
    </row>
    <row r="124" spans="1:14">
      <c r="A124" s="53" t="s">
        <v>73</v>
      </c>
      <c r="B124" s="54">
        <v>54</v>
      </c>
      <c r="C124" s="54">
        <v>80</v>
      </c>
      <c r="D124" s="54">
        <v>74.25</v>
      </c>
      <c r="E124" s="54">
        <v>69.75</v>
      </c>
      <c r="F124" s="54">
        <v>172.75</v>
      </c>
      <c r="G124" s="55">
        <v>153</v>
      </c>
      <c r="H124" s="54">
        <v>282.75</v>
      </c>
      <c r="I124" s="54">
        <v>98.75</v>
      </c>
      <c r="J124" s="54">
        <v>84.5</v>
      </c>
      <c r="K124" s="54">
        <v>96.25</v>
      </c>
      <c r="L124" s="54">
        <v>80.5</v>
      </c>
      <c r="M124" s="54">
        <v>184.5</v>
      </c>
      <c r="N124" s="54">
        <f t="shared" si="17"/>
        <v>1431</v>
      </c>
    </row>
    <row r="125" spans="1:14">
      <c r="A125" s="53" t="s">
        <v>74</v>
      </c>
      <c r="B125" s="54">
        <v>0</v>
      </c>
      <c r="C125" s="54">
        <v>0</v>
      </c>
      <c r="D125" s="54">
        <v>0</v>
      </c>
      <c r="E125" s="54">
        <v>0</v>
      </c>
      <c r="F125" s="54">
        <v>0</v>
      </c>
      <c r="G125" s="55">
        <v>0</v>
      </c>
      <c r="H125" s="54">
        <v>0</v>
      </c>
      <c r="I125" s="54">
        <v>0</v>
      </c>
      <c r="J125" s="54">
        <v>0</v>
      </c>
      <c r="K125" s="54">
        <v>0</v>
      </c>
      <c r="L125" s="54">
        <v>0</v>
      </c>
      <c r="M125" s="54">
        <v>0</v>
      </c>
      <c r="N125" s="54">
        <f t="shared" si="17"/>
        <v>0</v>
      </c>
    </row>
    <row r="126" spans="1:14">
      <c r="A126" s="53" t="s">
        <v>75</v>
      </c>
      <c r="B126" s="54">
        <v>140.25</v>
      </c>
      <c r="C126" s="54">
        <v>93.5</v>
      </c>
      <c r="D126" s="54">
        <v>83.5</v>
      </c>
      <c r="E126" s="54">
        <v>21.5</v>
      </c>
      <c r="F126" s="54">
        <v>0</v>
      </c>
      <c r="G126" s="55">
        <v>23.75</v>
      </c>
      <c r="H126" s="54">
        <v>0</v>
      </c>
      <c r="I126" s="54">
        <v>0</v>
      </c>
      <c r="J126" s="54">
        <v>58.25</v>
      </c>
      <c r="K126" s="54">
        <v>23.25</v>
      </c>
      <c r="L126" s="54">
        <v>195.25</v>
      </c>
      <c r="M126" s="54">
        <v>140.75</v>
      </c>
      <c r="N126" s="54">
        <f t="shared" si="17"/>
        <v>780</v>
      </c>
    </row>
    <row r="127" spans="1:14">
      <c r="A127" s="57" t="s">
        <v>76</v>
      </c>
      <c r="B127" s="58">
        <v>0</v>
      </c>
      <c r="C127" s="58">
        <v>0</v>
      </c>
      <c r="D127" s="58">
        <v>7.75</v>
      </c>
      <c r="E127" s="58">
        <v>0</v>
      </c>
      <c r="F127" s="58">
        <v>12</v>
      </c>
      <c r="G127" s="59">
        <v>0</v>
      </c>
      <c r="H127" s="58">
        <v>0</v>
      </c>
      <c r="I127" s="58">
        <v>0</v>
      </c>
      <c r="J127" s="58">
        <v>0</v>
      </c>
      <c r="K127" s="58">
        <v>7.75</v>
      </c>
      <c r="L127" s="58">
        <v>0</v>
      </c>
      <c r="M127" s="58">
        <v>46.5</v>
      </c>
      <c r="N127" s="60">
        <f t="shared" si="17"/>
        <v>74</v>
      </c>
    </row>
    <row r="128" spans="1:14">
      <c r="A128" s="61" t="s">
        <v>77</v>
      </c>
      <c r="B128" s="62">
        <f t="shared" ref="B128:M128" si="18">SUM(B117+B118+B119-B120-B121-B122-B124-B125-B126-B127)</f>
        <v>2595.75</v>
      </c>
      <c r="C128" s="62">
        <f t="shared" si="18"/>
        <v>2332.5</v>
      </c>
      <c r="D128" s="62">
        <f t="shared" si="18"/>
        <v>2366.75</v>
      </c>
      <c r="E128" s="62">
        <f t="shared" si="18"/>
        <v>2514.75</v>
      </c>
      <c r="F128" s="62">
        <f t="shared" si="18"/>
        <v>2420.75</v>
      </c>
      <c r="G128" s="178">
        <f t="shared" si="18"/>
        <v>2592</v>
      </c>
      <c r="H128" s="62">
        <f t="shared" si="18"/>
        <v>1357</v>
      </c>
      <c r="I128" s="62">
        <f t="shared" si="18"/>
        <v>1926.25</v>
      </c>
      <c r="J128" s="62">
        <f t="shared" si="18"/>
        <v>2633</v>
      </c>
      <c r="K128" s="62">
        <f t="shared" si="18"/>
        <v>2372.5</v>
      </c>
      <c r="L128" s="62">
        <f t="shared" si="18"/>
        <v>2322</v>
      </c>
      <c r="M128" s="63">
        <f t="shared" si="18"/>
        <v>2325.75</v>
      </c>
      <c r="N128" s="64">
        <f t="shared" si="17"/>
        <v>27759</v>
      </c>
    </row>
    <row r="129" spans="1:14">
      <c r="A129" s="65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</row>
    <row r="130" spans="1:14">
      <c r="A130" s="65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7" t="s">
        <v>78</v>
      </c>
    </row>
    <row r="131" spans="1:14">
      <c r="A131" s="53" t="s">
        <v>79</v>
      </c>
      <c r="B131" s="54">
        <f t="shared" ref="B131:M131" si="19">SUM(B118*100/B128)</f>
        <v>0</v>
      </c>
      <c r="C131" s="54">
        <f t="shared" si="19"/>
        <v>0</v>
      </c>
      <c r="D131" s="54">
        <f t="shared" si="19"/>
        <v>0</v>
      </c>
      <c r="E131" s="54">
        <f t="shared" si="19"/>
        <v>0</v>
      </c>
      <c r="F131" s="54">
        <f t="shared" si="19"/>
        <v>0</v>
      </c>
      <c r="G131" s="54">
        <f t="shared" si="19"/>
        <v>0</v>
      </c>
      <c r="H131" s="54">
        <f t="shared" si="19"/>
        <v>0</v>
      </c>
      <c r="I131" s="54">
        <f t="shared" si="19"/>
        <v>0</v>
      </c>
      <c r="J131" s="54">
        <f t="shared" si="19"/>
        <v>0</v>
      </c>
      <c r="K131" s="54">
        <f t="shared" si="19"/>
        <v>0.91675447839831403</v>
      </c>
      <c r="L131" s="54">
        <f t="shared" si="19"/>
        <v>0</v>
      </c>
      <c r="M131" s="54">
        <f t="shared" si="19"/>
        <v>0</v>
      </c>
      <c r="N131" s="68">
        <f>SUM(B131:M131)/12</f>
        <v>7.6396206533192831E-2</v>
      </c>
    </row>
    <row r="132" spans="1:14">
      <c r="A132" s="65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49"/>
    </row>
    <row r="133" spans="1:14">
      <c r="A133" s="53" t="s">
        <v>80</v>
      </c>
      <c r="B133" s="54">
        <f t="shared" ref="B133:M133" si="20">SUM(B122*100/B128)</f>
        <v>0.9149571414812675</v>
      </c>
      <c r="C133" s="54">
        <f t="shared" si="20"/>
        <v>4.008574490889603</v>
      </c>
      <c r="D133" s="54">
        <f t="shared" si="20"/>
        <v>1.2358719763388613</v>
      </c>
      <c r="E133" s="54">
        <f t="shared" si="20"/>
        <v>3.2309374689332935</v>
      </c>
      <c r="F133" s="54">
        <f t="shared" si="20"/>
        <v>4.9055044924093769</v>
      </c>
      <c r="G133" s="54">
        <f t="shared" si="20"/>
        <v>0.29899691358024694</v>
      </c>
      <c r="H133" s="54">
        <f t="shared" si="20"/>
        <v>0</v>
      </c>
      <c r="I133" s="54">
        <f t="shared" si="20"/>
        <v>3.5561323815704089</v>
      </c>
      <c r="J133" s="54">
        <f t="shared" si="20"/>
        <v>2.4876566654006838</v>
      </c>
      <c r="K133" s="54">
        <f t="shared" si="20"/>
        <v>3.6037934668071654</v>
      </c>
      <c r="L133" s="54">
        <f t="shared" si="20"/>
        <v>6.3738156761412572</v>
      </c>
      <c r="M133" s="54">
        <f t="shared" si="20"/>
        <v>4.2566913898742342</v>
      </c>
      <c r="N133" s="68">
        <f>SUM(B133:M133)/12</f>
        <v>2.9060776719522003</v>
      </c>
    </row>
    <row r="134" spans="1:14">
      <c r="A134" s="69" t="s">
        <v>81</v>
      </c>
      <c r="B134" s="60">
        <f t="shared" ref="B134:M134" si="21">SUM(B123*100/B128)</f>
        <v>0</v>
      </c>
      <c r="C134" s="60">
        <f t="shared" si="21"/>
        <v>0</v>
      </c>
      <c r="D134" s="60">
        <f t="shared" si="21"/>
        <v>0.32745325868807434</v>
      </c>
      <c r="E134" s="60">
        <f t="shared" si="21"/>
        <v>0</v>
      </c>
      <c r="F134" s="60">
        <f t="shared" si="21"/>
        <v>0</v>
      </c>
      <c r="G134" s="60">
        <f t="shared" si="21"/>
        <v>0.29899691358024694</v>
      </c>
      <c r="H134" s="60">
        <f t="shared" si="21"/>
        <v>0</v>
      </c>
      <c r="I134" s="60">
        <f t="shared" si="21"/>
        <v>0</v>
      </c>
      <c r="J134" s="60">
        <f t="shared" si="21"/>
        <v>0</v>
      </c>
      <c r="K134" s="60">
        <f t="shared" si="21"/>
        <v>0</v>
      </c>
      <c r="L134" s="60">
        <f t="shared" si="21"/>
        <v>0</v>
      </c>
      <c r="M134" s="60">
        <f t="shared" si="21"/>
        <v>0</v>
      </c>
      <c r="N134" s="70">
        <f>SUM(B134:M134)/12</f>
        <v>5.2204181022360109E-2</v>
      </c>
    </row>
    <row r="135" spans="1:14">
      <c r="A135" s="71" t="s">
        <v>82</v>
      </c>
      <c r="B135" s="72">
        <f t="shared" ref="B135:M135" si="22">SUM(B133:B133)</f>
        <v>0.9149571414812675</v>
      </c>
      <c r="C135" s="72">
        <f t="shared" si="22"/>
        <v>4.008574490889603</v>
      </c>
      <c r="D135" s="72">
        <f t="shared" si="22"/>
        <v>1.2358719763388613</v>
      </c>
      <c r="E135" s="72">
        <f t="shared" si="22"/>
        <v>3.2309374689332935</v>
      </c>
      <c r="F135" s="72">
        <f t="shared" si="22"/>
        <v>4.9055044924093769</v>
      </c>
      <c r="G135" s="72">
        <f t="shared" si="22"/>
        <v>0.29899691358024694</v>
      </c>
      <c r="H135" s="72">
        <f t="shared" si="22"/>
        <v>0</v>
      </c>
      <c r="I135" s="72">
        <f t="shared" si="22"/>
        <v>3.5561323815704089</v>
      </c>
      <c r="J135" s="72">
        <f t="shared" si="22"/>
        <v>2.4876566654006838</v>
      </c>
      <c r="K135" s="72">
        <f t="shared" si="22"/>
        <v>3.6037934668071654</v>
      </c>
      <c r="L135" s="72">
        <f t="shared" si="22"/>
        <v>6.3738156761412572</v>
      </c>
      <c r="M135" s="72">
        <f t="shared" si="22"/>
        <v>4.2566913898742342</v>
      </c>
      <c r="N135" s="73">
        <f>SUM(N133:N134)</f>
        <v>2.9582818529745603</v>
      </c>
    </row>
    <row r="136" spans="1:14">
      <c r="A136" s="65" t="s">
        <v>83</v>
      </c>
      <c r="B136" s="66"/>
      <c r="C136" s="66"/>
      <c r="D136" s="74">
        <f>SUM(B135:D135)/3</f>
        <v>2.0531345362365774</v>
      </c>
      <c r="E136" s="66"/>
      <c r="F136" s="66"/>
      <c r="G136" s="74">
        <f>SUM(E135,F135,G135)/3</f>
        <v>2.8118129583076392</v>
      </c>
      <c r="H136" s="66"/>
      <c r="I136" s="66"/>
      <c r="J136" s="74">
        <f>SUM(H135,I135,J135)/3</f>
        <v>2.0145963489903642</v>
      </c>
      <c r="K136" s="66"/>
      <c r="L136" s="66"/>
      <c r="M136" s="74">
        <f>SUM(K135,L135,M135)/3</f>
        <v>4.7447668442742188</v>
      </c>
      <c r="N136" s="75">
        <f>SUM(D136:M136)/4</f>
        <v>2.9060776719521999</v>
      </c>
    </row>
    <row r="137" spans="1:14">
      <c r="A137" s="65" t="s">
        <v>84</v>
      </c>
      <c r="B137" s="66"/>
      <c r="C137" s="66"/>
      <c r="D137" s="76"/>
      <c r="E137" s="66"/>
      <c r="F137" s="66"/>
      <c r="G137" s="76"/>
      <c r="H137" s="66"/>
      <c r="I137" s="66"/>
      <c r="J137" s="76"/>
      <c r="K137" s="66"/>
      <c r="L137" s="66"/>
      <c r="M137" s="76"/>
      <c r="N137" s="68">
        <f>SUM(D137:G137,J137,M137)/4</f>
        <v>0</v>
      </c>
    </row>
    <row r="138" spans="1:14">
      <c r="A138" s="65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</row>
    <row r="139" spans="1:14">
      <c r="A139" s="53" t="s">
        <v>85</v>
      </c>
      <c r="B139" s="54">
        <f t="shared" ref="B139:M139" si="23">B126*100/B128</f>
        <v>5.4030626986420112</v>
      </c>
      <c r="C139" s="54">
        <f t="shared" si="23"/>
        <v>4.008574490889603</v>
      </c>
      <c r="D139" s="54">
        <f t="shared" si="23"/>
        <v>3.5280447871553817</v>
      </c>
      <c r="E139" s="54">
        <f t="shared" si="23"/>
        <v>0.85495576101004078</v>
      </c>
      <c r="F139" s="54">
        <f t="shared" si="23"/>
        <v>0</v>
      </c>
      <c r="G139" s="54">
        <f t="shared" si="23"/>
        <v>0.91628086419753085</v>
      </c>
      <c r="H139" s="54">
        <f t="shared" si="23"/>
        <v>0</v>
      </c>
      <c r="I139" s="54">
        <f t="shared" si="23"/>
        <v>0</v>
      </c>
      <c r="J139" s="54">
        <f t="shared" si="23"/>
        <v>2.2123053551082417</v>
      </c>
      <c r="K139" s="54">
        <f t="shared" si="23"/>
        <v>0.97997892518440466</v>
      </c>
      <c r="L139" s="54">
        <f t="shared" si="23"/>
        <v>8.4086993970714907</v>
      </c>
      <c r="M139" s="54">
        <f t="shared" si="23"/>
        <v>6.051811243684833</v>
      </c>
      <c r="N139" s="68">
        <f>SUM(B139:M139)/12</f>
        <v>2.6969761269119616</v>
      </c>
    </row>
    <row r="140" spans="1:14">
      <c r="A140" s="53" t="s">
        <v>86</v>
      </c>
      <c r="B140" s="54">
        <f t="shared" ref="B140:M140" si="24">B124*100/B128</f>
        <v>2.0803236058942502</v>
      </c>
      <c r="C140" s="54">
        <f t="shared" si="24"/>
        <v>3.429796355841372</v>
      </c>
      <c r="D140" s="54">
        <f t="shared" si="24"/>
        <v>3.1372134783986478</v>
      </c>
      <c r="E140" s="54">
        <f t="shared" si="24"/>
        <v>2.7736355502535042</v>
      </c>
      <c r="F140" s="54">
        <f t="shared" si="24"/>
        <v>7.1362181142207994</v>
      </c>
      <c r="G140" s="54">
        <f t="shared" si="24"/>
        <v>5.9027777777777777</v>
      </c>
      <c r="H140" s="54">
        <f t="shared" si="24"/>
        <v>20.836403831982313</v>
      </c>
      <c r="I140" s="54">
        <f t="shared" si="24"/>
        <v>5.1265412070084357</v>
      </c>
      <c r="J140" s="54">
        <f t="shared" si="24"/>
        <v>3.2092669958222562</v>
      </c>
      <c r="K140" s="54">
        <f t="shared" si="24"/>
        <v>4.0569020021074813</v>
      </c>
      <c r="L140" s="54">
        <f t="shared" si="24"/>
        <v>3.4668389319552109</v>
      </c>
      <c r="M140" s="54">
        <f t="shared" si="24"/>
        <v>7.932924862947436</v>
      </c>
      <c r="N140" s="68">
        <f>SUM(B140:M140)/12</f>
        <v>5.7574035595174564</v>
      </c>
    </row>
    <row r="141" spans="1:14">
      <c r="A141" s="53" t="s">
        <v>87</v>
      </c>
      <c r="B141" s="54">
        <f t="shared" ref="B141:M141" si="25">B120*100/B128</f>
        <v>1.6565539824713473</v>
      </c>
      <c r="C141" s="54">
        <f t="shared" si="25"/>
        <v>11.95069667738478</v>
      </c>
      <c r="D141" s="54">
        <f t="shared" si="25"/>
        <v>12.728425055455794</v>
      </c>
      <c r="E141" s="54">
        <f t="shared" si="25"/>
        <v>5.5770951386817771</v>
      </c>
      <c r="F141" s="54">
        <f t="shared" si="25"/>
        <v>6.6818134875555097</v>
      </c>
      <c r="G141" s="54">
        <f t="shared" si="25"/>
        <v>3.6265432098765431</v>
      </c>
      <c r="H141" s="54">
        <f t="shared" si="25"/>
        <v>91.838614591009573</v>
      </c>
      <c r="I141" s="54">
        <f t="shared" si="25"/>
        <v>40.428293316028551</v>
      </c>
      <c r="J141" s="54">
        <f t="shared" si="25"/>
        <v>0.81655905810862139</v>
      </c>
      <c r="K141" s="54">
        <f t="shared" si="25"/>
        <v>11.12750263435195</v>
      </c>
      <c r="L141" s="54">
        <f t="shared" si="25"/>
        <v>3.4453057708871664</v>
      </c>
      <c r="M141" s="54">
        <f t="shared" si="25"/>
        <v>1.5908846608620875</v>
      </c>
      <c r="N141" s="68">
        <f>SUM(B141:M141)/12</f>
        <v>15.955690631889473</v>
      </c>
    </row>
    <row r="142" spans="1:14">
      <c r="A142" s="77" t="s">
        <v>88</v>
      </c>
      <c r="B142" s="78">
        <f t="shared" ref="B142:M142" si="26">SUM(B117-B128)*100/B128</f>
        <v>11.181739381681595</v>
      </c>
      <c r="C142" s="78">
        <f t="shared" si="26"/>
        <v>23.729903536977492</v>
      </c>
      <c r="D142" s="78">
        <f t="shared" si="26"/>
        <v>21.939368332100983</v>
      </c>
      <c r="E142" s="78">
        <f t="shared" si="26"/>
        <v>14.762898896510588</v>
      </c>
      <c r="F142" s="78">
        <f t="shared" si="26"/>
        <v>19.219250232366001</v>
      </c>
      <c r="G142" s="78">
        <f t="shared" si="26"/>
        <v>11.342592592592593</v>
      </c>
      <c r="H142" s="78">
        <f t="shared" si="26"/>
        <v>112.6750184229919</v>
      </c>
      <c r="I142" s="78">
        <f t="shared" si="26"/>
        <v>49.824789097988322</v>
      </c>
      <c r="J142" s="78">
        <f t="shared" si="26"/>
        <v>9.6088112419293576</v>
      </c>
      <c r="K142" s="78">
        <f t="shared" si="26"/>
        <v>21.643835616438356</v>
      </c>
      <c r="L142" s="78">
        <f t="shared" si="26"/>
        <v>24.289405684754524</v>
      </c>
      <c r="M142" s="78">
        <f t="shared" si="26"/>
        <v>24.089003547242825</v>
      </c>
      <c r="N142" s="79">
        <f>SUM(B142:M142)/12</f>
        <v>28.692218048631215</v>
      </c>
    </row>
    <row r="143" spans="1:14">
      <c r="A143" s="65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49"/>
    </row>
    <row r="144" spans="1:14">
      <c r="A144" s="80" t="s">
        <v>89</v>
      </c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49"/>
    </row>
    <row r="145" spans="1:14">
      <c r="A145" s="53" t="s">
        <v>90</v>
      </c>
      <c r="B145" s="81">
        <v>18</v>
      </c>
      <c r="C145" s="81">
        <f t="shared" ref="C145:N145" si="27">B148</f>
        <v>18</v>
      </c>
      <c r="D145" s="81">
        <f t="shared" si="27"/>
        <v>18</v>
      </c>
      <c r="E145" s="81">
        <f t="shared" si="27"/>
        <v>18</v>
      </c>
      <c r="F145" s="81">
        <f t="shared" si="27"/>
        <v>18</v>
      </c>
      <c r="G145" s="81">
        <f t="shared" si="27"/>
        <v>18</v>
      </c>
      <c r="H145" s="81">
        <f t="shared" si="27"/>
        <v>18</v>
      </c>
      <c r="I145" s="81">
        <f t="shared" si="27"/>
        <v>18</v>
      </c>
      <c r="J145" s="81">
        <f t="shared" si="27"/>
        <v>18</v>
      </c>
      <c r="K145" s="81">
        <f t="shared" si="27"/>
        <v>18</v>
      </c>
      <c r="L145" s="81">
        <f t="shared" si="27"/>
        <v>18</v>
      </c>
      <c r="M145" s="81">
        <f t="shared" si="27"/>
        <v>18</v>
      </c>
      <c r="N145" s="81">
        <f t="shared" si="27"/>
        <v>18</v>
      </c>
    </row>
    <row r="146" spans="1:14">
      <c r="A146" s="53" t="s">
        <v>91</v>
      </c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>
        <f>SUM(B146:M146)/12</f>
        <v>0</v>
      </c>
    </row>
    <row r="147" spans="1:14">
      <c r="A147" s="53" t="s">
        <v>92</v>
      </c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>
        <f>SUM(B146:M146)/12</f>
        <v>0</v>
      </c>
    </row>
    <row r="148" spans="1:14">
      <c r="A148" s="53" t="s">
        <v>89</v>
      </c>
      <c r="B148" s="81">
        <f t="shared" ref="B148:M148" si="28">SUM(B145+B146-B147)</f>
        <v>18</v>
      </c>
      <c r="C148" s="81">
        <f t="shared" si="28"/>
        <v>18</v>
      </c>
      <c r="D148" s="81">
        <f t="shared" si="28"/>
        <v>18</v>
      </c>
      <c r="E148" s="81">
        <f t="shared" si="28"/>
        <v>18</v>
      </c>
      <c r="F148" s="81">
        <f t="shared" si="28"/>
        <v>18</v>
      </c>
      <c r="G148" s="81">
        <f t="shared" si="28"/>
        <v>18</v>
      </c>
      <c r="H148" s="81">
        <f t="shared" si="28"/>
        <v>18</v>
      </c>
      <c r="I148" s="81">
        <f t="shared" si="28"/>
        <v>18</v>
      </c>
      <c r="J148" s="81">
        <f t="shared" si="28"/>
        <v>18</v>
      </c>
      <c r="K148" s="81">
        <f t="shared" si="28"/>
        <v>18</v>
      </c>
      <c r="L148" s="81">
        <f t="shared" si="28"/>
        <v>18</v>
      </c>
      <c r="M148" s="81">
        <f t="shared" si="28"/>
        <v>18</v>
      </c>
      <c r="N148" s="81">
        <f>SUM(B147:M147)/12</f>
        <v>0</v>
      </c>
    </row>
    <row r="149" spans="1:14">
      <c r="A149" s="53" t="s">
        <v>93</v>
      </c>
      <c r="B149" s="82">
        <f t="shared" ref="B149:M149" si="29">SUM(B148*100)/B145-100</f>
        <v>0</v>
      </c>
      <c r="C149" s="82">
        <f t="shared" si="29"/>
        <v>0</v>
      </c>
      <c r="D149" s="82">
        <f t="shared" si="29"/>
        <v>0</v>
      </c>
      <c r="E149" s="82">
        <f t="shared" si="29"/>
        <v>0</v>
      </c>
      <c r="F149" s="82">
        <f t="shared" si="29"/>
        <v>0</v>
      </c>
      <c r="G149" s="82">
        <f t="shared" si="29"/>
        <v>0</v>
      </c>
      <c r="H149" s="82">
        <f t="shared" si="29"/>
        <v>0</v>
      </c>
      <c r="I149" s="82">
        <f t="shared" si="29"/>
        <v>0</v>
      </c>
      <c r="J149" s="82">
        <f t="shared" si="29"/>
        <v>0</v>
      </c>
      <c r="K149" s="82">
        <f t="shared" si="29"/>
        <v>0</v>
      </c>
      <c r="L149" s="82">
        <f t="shared" si="29"/>
        <v>0</v>
      </c>
      <c r="M149" s="82">
        <f t="shared" si="29"/>
        <v>0</v>
      </c>
      <c r="N149" s="81"/>
    </row>
    <row r="150" spans="1:14">
      <c r="A150" s="65" t="s">
        <v>94</v>
      </c>
      <c r="B150" s="83"/>
      <c r="C150" s="83"/>
      <c r="D150" s="84">
        <f>SUM(B149:D149/3)</f>
        <v>0</v>
      </c>
      <c r="E150" s="83"/>
      <c r="F150" s="83"/>
      <c r="G150" s="84">
        <f>SUM(E149:G149)/3</f>
        <v>0</v>
      </c>
      <c r="H150" s="83"/>
      <c r="I150" s="83"/>
      <c r="J150" s="84">
        <f>SUM(H149:J149)/3</f>
        <v>0</v>
      </c>
      <c r="K150" s="83"/>
      <c r="L150" s="83"/>
      <c r="M150" s="84">
        <f>SUM(K149:M149)/3</f>
        <v>0</v>
      </c>
      <c r="N150" s="83"/>
    </row>
    <row r="151" spans="1:14">
      <c r="A151" s="65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49"/>
    </row>
    <row r="152" spans="1:14" ht="15.75">
      <c r="A152" s="80"/>
      <c r="B152" s="150"/>
      <c r="C152" s="150"/>
      <c r="D152" s="150"/>
      <c r="E152" s="150"/>
      <c r="F152" s="150"/>
      <c r="G152" s="179"/>
      <c r="H152" s="150"/>
      <c r="I152" s="150"/>
      <c r="J152" s="150"/>
      <c r="K152" s="150"/>
      <c r="L152" s="150"/>
      <c r="M152" s="150"/>
      <c r="N152" s="49"/>
    </row>
    <row r="153" spans="1:14">
      <c r="A153" s="152" t="s">
        <v>113</v>
      </c>
      <c r="B153" s="54" t="s">
        <v>44</v>
      </c>
      <c r="C153" s="54" t="s">
        <v>45</v>
      </c>
      <c r="D153" s="54" t="s">
        <v>46</v>
      </c>
      <c r="E153" s="54" t="s">
        <v>47</v>
      </c>
      <c r="F153" s="54" t="s">
        <v>48</v>
      </c>
      <c r="G153" s="54" t="s">
        <v>49</v>
      </c>
      <c r="H153" s="54" t="s">
        <v>38</v>
      </c>
      <c r="I153" s="54" t="s">
        <v>39</v>
      </c>
      <c r="J153" s="54" t="s">
        <v>40</v>
      </c>
      <c r="K153" s="54" t="s">
        <v>41</v>
      </c>
      <c r="L153" s="54" t="s">
        <v>42</v>
      </c>
      <c r="M153" s="54" t="s">
        <v>43</v>
      </c>
      <c r="N153" s="50" t="s">
        <v>64</v>
      </c>
    </row>
    <row r="154" spans="1:14">
      <c r="A154" s="53" t="s">
        <v>239</v>
      </c>
      <c r="B154" s="153">
        <v>81500</v>
      </c>
      <c r="C154" s="153">
        <v>81500</v>
      </c>
      <c r="D154" s="153">
        <v>81500</v>
      </c>
      <c r="E154" s="153">
        <v>81500</v>
      </c>
      <c r="F154" s="153">
        <v>81500</v>
      </c>
      <c r="G154" s="153">
        <v>81500</v>
      </c>
      <c r="H154" s="153">
        <v>81500</v>
      </c>
      <c r="I154" s="153">
        <v>81500</v>
      </c>
      <c r="J154" s="153">
        <v>81500</v>
      </c>
      <c r="K154" s="153">
        <v>81500</v>
      </c>
      <c r="L154" s="153">
        <v>81500</v>
      </c>
      <c r="M154" s="153">
        <v>81500</v>
      </c>
      <c r="N154" s="153">
        <f>SUM(B154:M154)</f>
        <v>978000</v>
      </c>
    </row>
    <row r="155" spans="1:14">
      <c r="A155" s="53" t="s">
        <v>394</v>
      </c>
      <c r="B155" s="153">
        <v>0</v>
      </c>
      <c r="C155" s="153">
        <v>0</v>
      </c>
      <c r="D155" s="153">
        <v>0</v>
      </c>
      <c r="E155" s="153">
        <v>0</v>
      </c>
      <c r="F155" s="153">
        <v>0</v>
      </c>
      <c r="G155" s="153">
        <v>0</v>
      </c>
      <c r="H155" s="153">
        <v>0</v>
      </c>
      <c r="I155" s="153">
        <v>0</v>
      </c>
      <c r="J155" s="153">
        <v>0</v>
      </c>
      <c r="K155" s="153">
        <v>0</v>
      </c>
      <c r="L155" s="153">
        <v>0</v>
      </c>
      <c r="M155" s="153">
        <v>0</v>
      </c>
      <c r="N155" s="153">
        <f>SUM(B155:M155)</f>
        <v>0</v>
      </c>
    </row>
    <row r="156" spans="1:14">
      <c r="A156" s="180" t="s">
        <v>154</v>
      </c>
      <c r="B156" s="166">
        <v>83300</v>
      </c>
      <c r="C156" s="166">
        <v>83300</v>
      </c>
      <c r="D156" s="166">
        <v>83300</v>
      </c>
      <c r="E156" s="166">
        <v>83300</v>
      </c>
      <c r="F156" s="166">
        <v>83300</v>
      </c>
      <c r="G156" s="166">
        <v>83300</v>
      </c>
      <c r="H156" s="166">
        <v>83300</v>
      </c>
      <c r="I156" s="166">
        <v>83300</v>
      </c>
      <c r="J156" s="166">
        <v>83300</v>
      </c>
      <c r="K156" s="166">
        <v>83300</v>
      </c>
      <c r="L156" s="166">
        <v>83300</v>
      </c>
      <c r="M156" s="166">
        <v>83300</v>
      </c>
      <c r="N156" s="153">
        <f>SUM(B156:M156)</f>
        <v>999600</v>
      </c>
    </row>
    <row r="157" spans="1:14">
      <c r="A157" s="157" t="s">
        <v>151</v>
      </c>
      <c r="B157" s="158">
        <f t="shared" ref="B157:N157" si="30">SUM(B154:B156)</f>
        <v>164800</v>
      </c>
      <c r="C157" s="158">
        <f t="shared" si="30"/>
        <v>164800</v>
      </c>
      <c r="D157" s="158">
        <f t="shared" si="30"/>
        <v>164800</v>
      </c>
      <c r="E157" s="158">
        <f t="shared" si="30"/>
        <v>164800</v>
      </c>
      <c r="F157" s="158">
        <f t="shared" si="30"/>
        <v>164800</v>
      </c>
      <c r="G157" s="158">
        <f t="shared" si="30"/>
        <v>164800</v>
      </c>
      <c r="H157" s="158">
        <f t="shared" si="30"/>
        <v>164800</v>
      </c>
      <c r="I157" s="158">
        <f t="shared" si="30"/>
        <v>164800</v>
      </c>
      <c r="J157" s="158">
        <f t="shared" si="30"/>
        <v>164800</v>
      </c>
      <c r="K157" s="158">
        <f t="shared" si="30"/>
        <v>164800</v>
      </c>
      <c r="L157" s="158">
        <f t="shared" si="30"/>
        <v>164800</v>
      </c>
      <c r="M157" s="158">
        <f t="shared" si="30"/>
        <v>164800</v>
      </c>
      <c r="N157" s="158">
        <f t="shared" si="30"/>
        <v>1977600</v>
      </c>
    </row>
    <row r="158" spans="1:14">
      <c r="A158" s="50" t="s">
        <v>152</v>
      </c>
      <c r="B158" s="153">
        <v>11031</v>
      </c>
      <c r="C158" s="153">
        <v>11638</v>
      </c>
      <c r="D158" s="153">
        <v>11775</v>
      </c>
      <c r="E158" s="153">
        <v>14738</v>
      </c>
      <c r="F158" s="153">
        <v>12950</v>
      </c>
      <c r="G158" s="181">
        <v>21516</v>
      </c>
      <c r="H158" s="153">
        <v>1400</v>
      </c>
      <c r="I158" s="153">
        <v>7198</v>
      </c>
      <c r="J158" s="153">
        <v>14287</v>
      </c>
      <c r="K158" s="153">
        <v>11377</v>
      </c>
      <c r="L158" s="153">
        <v>11724</v>
      </c>
      <c r="M158" s="153">
        <v>5600</v>
      </c>
      <c r="N158" s="153">
        <f>SUM(B158:M158)</f>
        <v>135234</v>
      </c>
    </row>
    <row r="159" spans="1:14">
      <c r="A159" s="50" t="s">
        <v>371</v>
      </c>
      <c r="B159" s="153"/>
      <c r="C159" s="153"/>
      <c r="D159" s="153">
        <v>1350</v>
      </c>
      <c r="E159" s="153">
        <v>1350</v>
      </c>
      <c r="F159" s="153">
        <v>900</v>
      </c>
      <c r="G159" s="181"/>
      <c r="H159" s="153"/>
      <c r="I159" s="153"/>
      <c r="J159" s="153"/>
      <c r="K159" s="153"/>
      <c r="L159" s="153">
        <v>1500</v>
      </c>
      <c r="M159" s="153">
        <v>1650</v>
      </c>
      <c r="N159" s="153">
        <f>SUM(B159:M159)</f>
        <v>6750</v>
      </c>
    </row>
    <row r="160" spans="1:14">
      <c r="A160" s="50" t="s">
        <v>374</v>
      </c>
      <c r="B160" s="153">
        <v>8820</v>
      </c>
      <c r="C160" s="153">
        <v>4000</v>
      </c>
      <c r="D160" s="153">
        <v>5600</v>
      </c>
      <c r="E160" s="153">
        <v>5870</v>
      </c>
      <c r="F160" s="153">
        <v>6090</v>
      </c>
      <c r="G160" s="181">
        <v>21430</v>
      </c>
      <c r="H160" s="153"/>
      <c r="I160" s="153">
        <v>9450</v>
      </c>
      <c r="J160" s="153">
        <v>9135</v>
      </c>
      <c r="K160" s="153">
        <v>7350</v>
      </c>
      <c r="L160" s="153">
        <v>8190</v>
      </c>
      <c r="M160" s="153">
        <v>5670</v>
      </c>
      <c r="N160" s="153">
        <f>SUM(B160:M160)</f>
        <v>91605</v>
      </c>
    </row>
    <row r="161" spans="1:15">
      <c r="A161" s="50" t="s">
        <v>211</v>
      </c>
      <c r="B161" s="153">
        <v>346281.25</v>
      </c>
      <c r="C161" s="153">
        <v>69825</v>
      </c>
      <c r="D161" s="153">
        <v>225093.75</v>
      </c>
      <c r="E161" s="153">
        <v>172637.5</v>
      </c>
      <c r="F161" s="153">
        <v>188472.13</v>
      </c>
      <c r="G161" s="153">
        <v>236769.26</v>
      </c>
      <c r="H161" s="153">
        <v>25475</v>
      </c>
      <c r="I161" s="153">
        <v>177975</v>
      </c>
      <c r="J161" s="153">
        <v>182522.13</v>
      </c>
      <c r="K161" s="153">
        <v>158325.39000000001</v>
      </c>
      <c r="L161" s="153">
        <v>216647.13</v>
      </c>
      <c r="M161" s="155">
        <v>214068.63</v>
      </c>
      <c r="N161" s="153">
        <f>SUM(B161:M161)</f>
        <v>2214092.17</v>
      </c>
    </row>
    <row r="162" spans="1:15">
      <c r="A162" s="164" t="s">
        <v>156</v>
      </c>
      <c r="B162" s="166">
        <v>39195.5</v>
      </c>
      <c r="C162" s="166">
        <v>8485</v>
      </c>
      <c r="D162" s="166">
        <v>33979.75</v>
      </c>
      <c r="E162" s="166">
        <v>25325.25</v>
      </c>
      <c r="F162" s="166">
        <v>26527.75</v>
      </c>
      <c r="G162" s="166">
        <v>66934.5</v>
      </c>
      <c r="H162" s="166">
        <v>8038</v>
      </c>
      <c r="I162" s="166">
        <v>38167.5</v>
      </c>
      <c r="J162" s="166">
        <v>44921.5</v>
      </c>
      <c r="K162" s="166">
        <v>24644</v>
      </c>
      <c r="L162" s="166">
        <v>28026.25</v>
      </c>
      <c r="M162" s="153">
        <v>41129</v>
      </c>
      <c r="N162" s="153">
        <f>SUM(B162:M162)</f>
        <v>385374</v>
      </c>
    </row>
    <row r="163" spans="1:15">
      <c r="A163" s="182" t="s">
        <v>126</v>
      </c>
      <c r="B163" s="183">
        <f t="shared" ref="B163:N163" si="31">SUM(B158:B162)</f>
        <v>405327.75</v>
      </c>
      <c r="C163" s="183">
        <f t="shared" si="31"/>
        <v>93948</v>
      </c>
      <c r="D163" s="183">
        <f t="shared" si="31"/>
        <v>277798.5</v>
      </c>
      <c r="E163" s="183">
        <f t="shared" si="31"/>
        <v>219920.75</v>
      </c>
      <c r="F163" s="183">
        <f t="shared" si="31"/>
        <v>234939.88</v>
      </c>
      <c r="G163" s="183">
        <f t="shared" si="31"/>
        <v>346649.76</v>
      </c>
      <c r="H163" s="183">
        <f t="shared" si="31"/>
        <v>34913</v>
      </c>
      <c r="I163" s="183">
        <f t="shared" si="31"/>
        <v>232790.5</v>
      </c>
      <c r="J163" s="183">
        <f t="shared" si="31"/>
        <v>250865.63</v>
      </c>
      <c r="K163" s="183">
        <f t="shared" si="31"/>
        <v>201696.39</v>
      </c>
      <c r="L163" s="183">
        <f t="shared" si="31"/>
        <v>266087.38</v>
      </c>
      <c r="M163" s="184">
        <f t="shared" si="31"/>
        <v>268117.63</v>
      </c>
      <c r="N163" s="183">
        <f t="shared" si="31"/>
        <v>2833055.17</v>
      </c>
    </row>
    <row r="164" spans="1:15">
      <c r="A164" s="50" t="s">
        <v>127</v>
      </c>
      <c r="B164" s="155">
        <v>0</v>
      </c>
      <c r="C164" s="155">
        <v>0</v>
      </c>
      <c r="D164" s="155">
        <v>0</v>
      </c>
      <c r="E164" s="155">
        <v>0</v>
      </c>
      <c r="F164" s="155">
        <v>0</v>
      </c>
      <c r="G164" s="155">
        <v>0</v>
      </c>
      <c r="H164" s="155">
        <v>0</v>
      </c>
      <c r="I164" s="155">
        <v>0</v>
      </c>
      <c r="J164" s="155">
        <v>0</v>
      </c>
      <c r="K164" s="155">
        <v>0</v>
      </c>
      <c r="L164" s="155">
        <v>0</v>
      </c>
      <c r="M164" s="166">
        <v>0</v>
      </c>
      <c r="N164" s="155">
        <f>SUM(B164:M164)</f>
        <v>0</v>
      </c>
      <c r="O164" s="48"/>
    </row>
    <row r="165" spans="1:15">
      <c r="A165" s="185" t="s">
        <v>129</v>
      </c>
      <c r="B165" s="186">
        <f t="shared" ref="B165:N165" si="32">SUM(B157,B163,B164)</f>
        <v>570127.75</v>
      </c>
      <c r="C165" s="186">
        <f t="shared" si="32"/>
        <v>258748</v>
      </c>
      <c r="D165" s="186">
        <f t="shared" si="32"/>
        <v>442598.5</v>
      </c>
      <c r="E165" s="186">
        <f t="shared" si="32"/>
        <v>384720.75</v>
      </c>
      <c r="F165" s="186">
        <f t="shared" si="32"/>
        <v>399739.88</v>
      </c>
      <c r="G165" s="186">
        <f t="shared" si="32"/>
        <v>511449.76</v>
      </c>
      <c r="H165" s="186">
        <f t="shared" si="32"/>
        <v>199713</v>
      </c>
      <c r="I165" s="186">
        <f t="shared" si="32"/>
        <v>397590.5</v>
      </c>
      <c r="J165" s="186">
        <f t="shared" si="32"/>
        <v>415665.63</v>
      </c>
      <c r="K165" s="186">
        <f t="shared" si="32"/>
        <v>366496.39</v>
      </c>
      <c r="L165" s="186">
        <f t="shared" si="32"/>
        <v>430887.38</v>
      </c>
      <c r="M165" s="186">
        <f t="shared" si="32"/>
        <v>432917.63</v>
      </c>
      <c r="N165" s="186">
        <f t="shared" si="32"/>
        <v>4810655.17</v>
      </c>
    </row>
    <row r="166" spans="1:15">
      <c r="A166" s="160" t="s">
        <v>131</v>
      </c>
      <c r="B166" s="187">
        <v>487000</v>
      </c>
      <c r="C166" s="187">
        <v>487000</v>
      </c>
      <c r="D166" s="187">
        <v>487000</v>
      </c>
      <c r="E166" s="187">
        <v>487000</v>
      </c>
      <c r="F166" s="187">
        <v>487000</v>
      </c>
      <c r="G166" s="187">
        <v>487000</v>
      </c>
      <c r="H166" s="187">
        <v>487000</v>
      </c>
      <c r="I166" s="187">
        <v>487000</v>
      </c>
      <c r="J166" s="187">
        <v>487000</v>
      </c>
      <c r="K166" s="187">
        <v>487000</v>
      </c>
      <c r="L166" s="187">
        <v>487000</v>
      </c>
      <c r="M166" s="187">
        <v>487000</v>
      </c>
      <c r="N166" s="188">
        <f>SUM(B166:M166)</f>
        <v>5844000</v>
      </c>
    </row>
    <row r="167" spans="1:15">
      <c r="A167" s="189" t="s">
        <v>146</v>
      </c>
      <c r="B167" s="190">
        <f t="shared" ref="B167:N167" si="33">SUM(B165-B166)</f>
        <v>83127.75</v>
      </c>
      <c r="C167" s="190">
        <f t="shared" si="33"/>
        <v>-228252</v>
      </c>
      <c r="D167" s="190">
        <f t="shared" si="33"/>
        <v>-44401.5</v>
      </c>
      <c r="E167" s="190">
        <f t="shared" si="33"/>
        <v>-102279.25</v>
      </c>
      <c r="F167" s="190">
        <f t="shared" si="33"/>
        <v>-87260.12</v>
      </c>
      <c r="G167" s="190">
        <f t="shared" si="33"/>
        <v>24449.760000000009</v>
      </c>
      <c r="H167" s="190">
        <f t="shared" si="33"/>
        <v>-287287</v>
      </c>
      <c r="I167" s="190">
        <f t="shared" si="33"/>
        <v>-89409.5</v>
      </c>
      <c r="J167" s="190">
        <f t="shared" si="33"/>
        <v>-71334.37</v>
      </c>
      <c r="K167" s="190">
        <f t="shared" si="33"/>
        <v>-120503.60999999999</v>
      </c>
      <c r="L167" s="190">
        <f t="shared" si="33"/>
        <v>-56112.619999999995</v>
      </c>
      <c r="M167" s="190">
        <f t="shared" si="33"/>
        <v>-54082.369999999995</v>
      </c>
      <c r="N167" s="190">
        <f t="shared" si="33"/>
        <v>-1033344.8300000001</v>
      </c>
    </row>
    <row r="168" spans="1:1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</row>
    <row r="170" spans="1:15" ht="20.25">
      <c r="A170" s="831" t="s">
        <v>423</v>
      </c>
      <c r="B170" s="831"/>
      <c r="C170" s="831"/>
      <c r="D170" s="831"/>
      <c r="E170" s="831"/>
      <c r="F170" s="831"/>
      <c r="G170" s="831"/>
      <c r="H170" s="831"/>
      <c r="I170" s="831"/>
      <c r="J170" s="831"/>
      <c r="K170" s="831"/>
      <c r="L170" s="831"/>
      <c r="M170" s="831"/>
      <c r="N170" s="831"/>
    </row>
    <row r="171" spans="1:15">
      <c r="A171" s="49"/>
      <c r="B171" s="49"/>
      <c r="C171" s="49"/>
      <c r="D171" s="49"/>
      <c r="E171" s="49"/>
      <c r="F171" s="49"/>
      <c r="G171" s="49"/>
      <c r="H171" s="49"/>
      <c r="I171" s="49"/>
      <c r="J171" s="49"/>
      <c r="K171" s="49"/>
      <c r="L171" s="49"/>
      <c r="M171" s="49"/>
    </row>
    <row r="172" spans="1:15">
      <c r="A172" s="50"/>
      <c r="B172" s="51" t="s">
        <v>44</v>
      </c>
      <c r="C172" s="51" t="s">
        <v>45</v>
      </c>
      <c r="D172" s="52" t="s">
        <v>46</v>
      </c>
      <c r="E172" s="51" t="s">
        <v>47</v>
      </c>
      <c r="F172" s="51" t="s">
        <v>48</v>
      </c>
      <c r="G172" s="52" t="s">
        <v>49</v>
      </c>
      <c r="H172" s="51" t="s">
        <v>38</v>
      </c>
      <c r="I172" s="51" t="s">
        <v>39</v>
      </c>
      <c r="J172" s="51" t="s">
        <v>40</v>
      </c>
      <c r="K172" s="51" t="s">
        <v>41</v>
      </c>
      <c r="L172" s="51" t="s">
        <v>42</v>
      </c>
      <c r="M172" s="51" t="s">
        <v>43</v>
      </c>
      <c r="N172" s="50" t="s">
        <v>64</v>
      </c>
    </row>
    <row r="173" spans="1:15">
      <c r="A173" s="53" t="s">
        <v>65</v>
      </c>
      <c r="B173" s="54">
        <v>1924</v>
      </c>
      <c r="C173" s="54">
        <v>1924</v>
      </c>
      <c r="D173" s="54">
        <v>1924</v>
      </c>
      <c r="E173" s="54">
        <v>1924</v>
      </c>
      <c r="F173" s="54">
        <v>1924</v>
      </c>
      <c r="G173" s="54">
        <v>1924</v>
      </c>
      <c r="H173" s="54">
        <v>1924</v>
      </c>
      <c r="I173" s="54">
        <v>1924</v>
      </c>
      <c r="J173" s="54">
        <v>1924</v>
      </c>
      <c r="K173" s="54">
        <v>1924</v>
      </c>
      <c r="L173" s="54">
        <v>1924</v>
      </c>
      <c r="M173" s="54">
        <v>1924</v>
      </c>
      <c r="N173" s="54">
        <f t="shared" ref="N173:N184" si="34">SUM(B173:M173)</f>
        <v>23088</v>
      </c>
    </row>
    <row r="174" spans="1:15">
      <c r="A174" s="53" t="s">
        <v>66</v>
      </c>
      <c r="B174" s="54">
        <v>7</v>
      </c>
      <c r="C174" s="54">
        <v>0</v>
      </c>
      <c r="D174" s="54">
        <v>0</v>
      </c>
      <c r="E174" s="54">
        <v>14</v>
      </c>
      <c r="F174" s="54">
        <v>0</v>
      </c>
      <c r="G174" s="55">
        <v>0</v>
      </c>
      <c r="H174" s="54">
        <v>0</v>
      </c>
      <c r="I174" s="54">
        <v>35.75</v>
      </c>
      <c r="J174" s="56">
        <v>0</v>
      </c>
      <c r="K174" s="54">
        <v>0</v>
      </c>
      <c r="L174" s="54">
        <v>24</v>
      </c>
      <c r="M174" s="54">
        <v>0</v>
      </c>
      <c r="N174" s="54">
        <f t="shared" si="34"/>
        <v>80.75</v>
      </c>
    </row>
    <row r="175" spans="1:15">
      <c r="A175" s="53" t="s">
        <v>67</v>
      </c>
      <c r="B175" s="54">
        <v>0</v>
      </c>
      <c r="C175" s="54">
        <v>0</v>
      </c>
      <c r="D175" s="54">
        <v>0</v>
      </c>
      <c r="E175" s="54">
        <v>0</v>
      </c>
      <c r="F175" s="54">
        <v>0</v>
      </c>
      <c r="G175" s="55">
        <v>0</v>
      </c>
      <c r="H175" s="54">
        <v>0</v>
      </c>
      <c r="I175" s="54">
        <v>0</v>
      </c>
      <c r="J175" s="54">
        <v>0</v>
      </c>
      <c r="K175" s="54">
        <v>0</v>
      </c>
      <c r="L175" s="54">
        <v>0</v>
      </c>
      <c r="M175" s="54">
        <v>0</v>
      </c>
      <c r="N175" s="54">
        <f t="shared" si="34"/>
        <v>0</v>
      </c>
    </row>
    <row r="176" spans="1:15">
      <c r="A176" s="53" t="s">
        <v>69</v>
      </c>
      <c r="B176" s="54">
        <v>111</v>
      </c>
      <c r="C176" s="54">
        <v>185</v>
      </c>
      <c r="D176" s="54">
        <v>66.75</v>
      </c>
      <c r="E176" s="54">
        <v>192.25</v>
      </c>
      <c r="F176" s="54">
        <v>43</v>
      </c>
      <c r="G176" s="55">
        <v>114.5</v>
      </c>
      <c r="H176" s="54">
        <v>523</v>
      </c>
      <c r="I176" s="54">
        <v>454</v>
      </c>
      <c r="J176" s="54">
        <v>266.25</v>
      </c>
      <c r="K176" s="54">
        <v>115.25</v>
      </c>
      <c r="L176" s="54">
        <v>15.5</v>
      </c>
      <c r="M176" s="54">
        <v>86</v>
      </c>
      <c r="N176" s="54">
        <f t="shared" si="34"/>
        <v>2172.5</v>
      </c>
    </row>
    <row r="177" spans="1:14">
      <c r="A177" s="53" t="s">
        <v>70</v>
      </c>
      <c r="B177" s="54">
        <v>39</v>
      </c>
      <c r="C177" s="54">
        <v>15.5</v>
      </c>
      <c r="D177" s="54">
        <v>0</v>
      </c>
      <c r="E177" s="54">
        <v>124.25</v>
      </c>
      <c r="F177" s="54">
        <v>0</v>
      </c>
      <c r="G177" s="55">
        <v>0</v>
      </c>
      <c r="H177" s="54"/>
      <c r="I177" s="54">
        <v>0</v>
      </c>
      <c r="J177" s="54">
        <v>0</v>
      </c>
      <c r="K177" s="54">
        <v>0</v>
      </c>
      <c r="L177" s="54">
        <v>37</v>
      </c>
      <c r="M177" s="54">
        <v>0</v>
      </c>
      <c r="N177" s="54">
        <f t="shared" si="34"/>
        <v>215.75</v>
      </c>
    </row>
    <row r="178" spans="1:14">
      <c r="A178" s="53" t="s">
        <v>71</v>
      </c>
      <c r="B178" s="54">
        <v>72.25</v>
      </c>
      <c r="C178" s="54">
        <v>154.5</v>
      </c>
      <c r="D178" s="54">
        <v>197.25</v>
      </c>
      <c r="E178" s="54">
        <v>31</v>
      </c>
      <c r="F178" s="54">
        <v>52.5</v>
      </c>
      <c r="G178" s="55">
        <v>29.25</v>
      </c>
      <c r="H178" s="54">
        <v>35.75</v>
      </c>
      <c r="I178" s="54">
        <v>0</v>
      </c>
      <c r="J178" s="54">
        <v>45.75</v>
      </c>
      <c r="K178" s="54">
        <v>38.75</v>
      </c>
      <c r="L178" s="54">
        <v>69.5</v>
      </c>
      <c r="M178" s="54">
        <v>162.75</v>
      </c>
      <c r="N178" s="54">
        <f t="shared" si="34"/>
        <v>889.25</v>
      </c>
    </row>
    <row r="179" spans="1:14">
      <c r="A179" s="53" t="s">
        <v>72</v>
      </c>
      <c r="B179" s="54">
        <v>0</v>
      </c>
      <c r="C179" s="54">
        <v>7.5</v>
      </c>
      <c r="D179" s="54">
        <v>0</v>
      </c>
      <c r="E179" s="54">
        <v>0</v>
      </c>
      <c r="F179" s="54">
        <v>7.5</v>
      </c>
      <c r="G179" s="55">
        <v>15.5</v>
      </c>
      <c r="H179" s="54">
        <v>0</v>
      </c>
      <c r="I179" s="54">
        <v>0</v>
      </c>
      <c r="J179" s="54">
        <v>0</v>
      </c>
      <c r="K179" s="54">
        <v>0</v>
      </c>
      <c r="L179" s="54">
        <v>0</v>
      </c>
      <c r="M179" s="54">
        <v>0</v>
      </c>
      <c r="N179" s="54">
        <f t="shared" si="34"/>
        <v>30.5</v>
      </c>
    </row>
    <row r="180" spans="1:14">
      <c r="A180" s="53" t="s">
        <v>73</v>
      </c>
      <c r="B180" s="54">
        <v>22.75</v>
      </c>
      <c r="C180" s="54">
        <v>23.25</v>
      </c>
      <c r="D180" s="54">
        <v>44.75</v>
      </c>
      <c r="E180" s="54">
        <v>7.5</v>
      </c>
      <c r="F180" s="54">
        <v>55.75</v>
      </c>
      <c r="G180" s="55">
        <v>14.5</v>
      </c>
      <c r="H180" s="54">
        <v>7</v>
      </c>
      <c r="I180" s="54">
        <v>7.75</v>
      </c>
      <c r="J180" s="54">
        <v>13.75</v>
      </c>
      <c r="K180" s="54">
        <v>40.5</v>
      </c>
      <c r="L180" s="54">
        <v>6</v>
      </c>
      <c r="M180" s="54">
        <v>13.5</v>
      </c>
      <c r="N180" s="54">
        <f t="shared" si="34"/>
        <v>257</v>
      </c>
    </row>
    <row r="181" spans="1:14">
      <c r="A181" s="53" t="s">
        <v>74</v>
      </c>
      <c r="B181" s="54">
        <v>0</v>
      </c>
      <c r="C181" s="54">
        <v>0</v>
      </c>
      <c r="D181" s="54">
        <v>0</v>
      </c>
      <c r="E181" s="54">
        <v>0</v>
      </c>
      <c r="F181" s="54">
        <v>0</v>
      </c>
      <c r="G181" s="55">
        <v>0</v>
      </c>
      <c r="H181" s="54">
        <v>0</v>
      </c>
      <c r="I181" s="54">
        <v>0</v>
      </c>
      <c r="J181" s="54">
        <v>0</v>
      </c>
      <c r="K181" s="54">
        <v>0</v>
      </c>
      <c r="L181" s="54">
        <v>0</v>
      </c>
      <c r="M181" s="54">
        <v>0</v>
      </c>
      <c r="N181" s="54">
        <f t="shared" si="34"/>
        <v>0</v>
      </c>
    </row>
    <row r="182" spans="1:14">
      <c r="A182" s="53" t="s">
        <v>75</v>
      </c>
      <c r="B182" s="54">
        <v>7.5</v>
      </c>
      <c r="C182" s="54">
        <v>15.25</v>
      </c>
      <c r="D182" s="54">
        <v>7.5</v>
      </c>
      <c r="E182" s="54">
        <v>0</v>
      </c>
      <c r="F182" s="54">
        <v>0</v>
      </c>
      <c r="G182" s="55">
        <v>0</v>
      </c>
      <c r="H182" s="54">
        <v>0</v>
      </c>
      <c r="I182" s="54">
        <v>0</v>
      </c>
      <c r="J182" s="54">
        <v>0</v>
      </c>
      <c r="K182" s="54">
        <v>0</v>
      </c>
      <c r="L182" s="54">
        <v>69</v>
      </c>
      <c r="M182" s="54">
        <v>53.75</v>
      </c>
      <c r="N182" s="54">
        <f t="shared" si="34"/>
        <v>153</v>
      </c>
    </row>
    <row r="183" spans="1:14">
      <c r="A183" s="57" t="s">
        <v>76</v>
      </c>
      <c r="B183" s="58">
        <v>0</v>
      </c>
      <c r="C183" s="58">
        <v>7.5</v>
      </c>
      <c r="D183" s="58">
        <v>0</v>
      </c>
      <c r="E183" s="58">
        <v>0</v>
      </c>
      <c r="F183" s="58">
        <v>0</v>
      </c>
      <c r="G183" s="59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15</v>
      </c>
      <c r="N183" s="60">
        <f t="shared" si="34"/>
        <v>22.5</v>
      </c>
    </row>
    <row r="184" spans="1:14">
      <c r="A184" s="61" t="s">
        <v>77</v>
      </c>
      <c r="B184" s="62">
        <f t="shared" ref="B184:M184" si="35">SUM(B173+B174+B175-B176-B177-B178-B180-B181-B182-B183)</f>
        <v>1678.5</v>
      </c>
      <c r="C184" s="62">
        <f t="shared" si="35"/>
        <v>1523</v>
      </c>
      <c r="D184" s="62">
        <f t="shared" si="35"/>
        <v>1607.75</v>
      </c>
      <c r="E184" s="62">
        <f t="shared" si="35"/>
        <v>1583</v>
      </c>
      <c r="F184" s="62">
        <f t="shared" si="35"/>
        <v>1772.75</v>
      </c>
      <c r="G184" s="178">
        <f t="shared" si="35"/>
        <v>1765.75</v>
      </c>
      <c r="H184" s="62">
        <f t="shared" si="35"/>
        <v>1358.25</v>
      </c>
      <c r="I184" s="62">
        <f t="shared" si="35"/>
        <v>1498</v>
      </c>
      <c r="J184" s="62">
        <f t="shared" si="35"/>
        <v>1598.25</v>
      </c>
      <c r="K184" s="62">
        <f t="shared" si="35"/>
        <v>1729.5</v>
      </c>
      <c r="L184" s="62">
        <f t="shared" si="35"/>
        <v>1751</v>
      </c>
      <c r="M184" s="63">
        <f t="shared" si="35"/>
        <v>1593</v>
      </c>
      <c r="N184" s="64">
        <f t="shared" si="34"/>
        <v>19458.75</v>
      </c>
    </row>
    <row r="185" spans="1:14">
      <c r="A185" s="65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</row>
    <row r="186" spans="1:14">
      <c r="A186" s="65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7" t="s">
        <v>78</v>
      </c>
    </row>
    <row r="187" spans="1:14">
      <c r="A187" s="53" t="s">
        <v>79</v>
      </c>
      <c r="B187" s="54">
        <f t="shared" ref="B187:M187" si="36">SUM(B174*100/B184)</f>
        <v>0.41703902293714629</v>
      </c>
      <c r="C187" s="54">
        <f t="shared" si="36"/>
        <v>0</v>
      </c>
      <c r="D187" s="54">
        <f t="shared" si="36"/>
        <v>0</v>
      </c>
      <c r="E187" s="54">
        <f t="shared" si="36"/>
        <v>0.8843967150979154</v>
      </c>
      <c r="F187" s="54">
        <f t="shared" si="36"/>
        <v>0</v>
      </c>
      <c r="G187" s="54">
        <f t="shared" si="36"/>
        <v>0</v>
      </c>
      <c r="H187" s="54">
        <f t="shared" si="36"/>
        <v>0</v>
      </c>
      <c r="I187" s="54">
        <f t="shared" si="36"/>
        <v>2.3865153538050734</v>
      </c>
      <c r="J187" s="54">
        <f t="shared" si="36"/>
        <v>0</v>
      </c>
      <c r="K187" s="54">
        <f t="shared" si="36"/>
        <v>0</v>
      </c>
      <c r="L187" s="54">
        <f t="shared" si="36"/>
        <v>1.3706453455168475</v>
      </c>
      <c r="M187" s="54">
        <f t="shared" si="36"/>
        <v>0</v>
      </c>
      <c r="N187" s="68">
        <f>SUM(B187:M187)/12</f>
        <v>0.42154970311308188</v>
      </c>
    </row>
    <row r="188" spans="1:14">
      <c r="A188" s="65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49"/>
    </row>
    <row r="189" spans="1:14">
      <c r="A189" s="53" t="s">
        <v>80</v>
      </c>
      <c r="B189" s="54">
        <f t="shared" ref="B189:M189" si="37">SUM(B178*100/B184)</f>
        <v>4.3044384867441163</v>
      </c>
      <c r="C189" s="54">
        <f t="shared" si="37"/>
        <v>10.144451739986868</v>
      </c>
      <c r="D189" s="54">
        <f t="shared" si="37"/>
        <v>12.268698491680921</v>
      </c>
      <c r="E189" s="54">
        <f t="shared" si="37"/>
        <v>1.9583070120025268</v>
      </c>
      <c r="F189" s="54">
        <f t="shared" si="37"/>
        <v>2.9615004935834155</v>
      </c>
      <c r="G189" s="54">
        <f t="shared" si="37"/>
        <v>1.6565198923969984</v>
      </c>
      <c r="H189" s="54">
        <f t="shared" si="37"/>
        <v>2.6320633167679</v>
      </c>
      <c r="I189" s="54">
        <f t="shared" si="37"/>
        <v>0</v>
      </c>
      <c r="J189" s="54">
        <f t="shared" si="37"/>
        <v>2.8625058657907085</v>
      </c>
      <c r="K189" s="54">
        <f t="shared" si="37"/>
        <v>2.2405319456490314</v>
      </c>
      <c r="L189" s="54">
        <f t="shared" si="37"/>
        <v>3.969160479725871</v>
      </c>
      <c r="M189" s="54">
        <f t="shared" si="37"/>
        <v>10.216572504708099</v>
      </c>
      <c r="N189" s="68">
        <f>SUM(B189:M189)/12</f>
        <v>4.6012291857530379</v>
      </c>
    </row>
    <row r="190" spans="1:14">
      <c r="A190" s="69" t="s">
        <v>81</v>
      </c>
      <c r="B190" s="60">
        <f t="shared" ref="B190:M190" si="38">SUM(B179*100/B184)</f>
        <v>0</v>
      </c>
      <c r="C190" s="60">
        <f t="shared" si="38"/>
        <v>0.49244911359159554</v>
      </c>
      <c r="D190" s="60">
        <f t="shared" si="38"/>
        <v>0</v>
      </c>
      <c r="E190" s="60">
        <f t="shared" si="38"/>
        <v>0</v>
      </c>
      <c r="F190" s="60">
        <f t="shared" si="38"/>
        <v>0.42307149908334507</v>
      </c>
      <c r="G190" s="60">
        <f t="shared" si="38"/>
        <v>0.87781396007362311</v>
      </c>
      <c r="H190" s="60">
        <f t="shared" si="38"/>
        <v>0</v>
      </c>
      <c r="I190" s="60">
        <f t="shared" si="38"/>
        <v>0</v>
      </c>
      <c r="J190" s="60">
        <f t="shared" si="38"/>
        <v>0</v>
      </c>
      <c r="K190" s="60">
        <f t="shared" si="38"/>
        <v>0</v>
      </c>
      <c r="L190" s="60">
        <f t="shared" si="38"/>
        <v>0</v>
      </c>
      <c r="M190" s="60">
        <f t="shared" si="38"/>
        <v>0</v>
      </c>
      <c r="N190" s="68">
        <f>SUM(B190:M190)/12</f>
        <v>0.149444547729047</v>
      </c>
    </row>
    <row r="191" spans="1:14">
      <c r="A191" s="71" t="s">
        <v>82</v>
      </c>
      <c r="B191" s="72">
        <f t="shared" ref="B191:M191" si="39">SUM(B189:B189)</f>
        <v>4.3044384867441163</v>
      </c>
      <c r="C191" s="72">
        <f t="shared" si="39"/>
        <v>10.144451739986868</v>
      </c>
      <c r="D191" s="72">
        <f t="shared" si="39"/>
        <v>12.268698491680921</v>
      </c>
      <c r="E191" s="72">
        <f t="shared" si="39"/>
        <v>1.9583070120025268</v>
      </c>
      <c r="F191" s="72">
        <f t="shared" si="39"/>
        <v>2.9615004935834155</v>
      </c>
      <c r="G191" s="72">
        <f t="shared" si="39"/>
        <v>1.6565198923969984</v>
      </c>
      <c r="H191" s="72">
        <f t="shared" si="39"/>
        <v>2.6320633167679</v>
      </c>
      <c r="I191" s="72">
        <f t="shared" si="39"/>
        <v>0</v>
      </c>
      <c r="J191" s="72">
        <f t="shared" si="39"/>
        <v>2.8625058657907085</v>
      </c>
      <c r="K191" s="72">
        <f t="shared" si="39"/>
        <v>2.2405319456490314</v>
      </c>
      <c r="L191" s="72">
        <f t="shared" si="39"/>
        <v>3.969160479725871</v>
      </c>
      <c r="M191" s="72">
        <f t="shared" si="39"/>
        <v>10.216572504708099</v>
      </c>
      <c r="N191" s="73">
        <f>SUM(N189:N190)</f>
        <v>4.7506737334820848</v>
      </c>
    </row>
    <row r="192" spans="1:14">
      <c r="A192" s="65" t="s">
        <v>83</v>
      </c>
      <c r="B192" s="66"/>
      <c r="C192" s="66"/>
      <c r="D192" s="74">
        <f>SUM(B191:D191)/3</f>
        <v>8.9058629061373011</v>
      </c>
      <c r="E192" s="66"/>
      <c r="F192" s="66"/>
      <c r="G192" s="74">
        <f>SUM(E191,F191,G191)/3</f>
        <v>2.1921091326609803</v>
      </c>
      <c r="H192" s="66"/>
      <c r="I192" s="66"/>
      <c r="J192" s="74">
        <f>SUM(H191,I191,J191)/3</f>
        <v>1.8315230608528694</v>
      </c>
      <c r="K192" s="66"/>
      <c r="L192" s="66"/>
      <c r="M192" s="74">
        <f>SUM(K191,L191,M191)/3</f>
        <v>5.4754216433609999</v>
      </c>
      <c r="N192" s="75">
        <f>SUM(D192:M192)/4</f>
        <v>4.6012291857530379</v>
      </c>
    </row>
    <row r="193" spans="1:14">
      <c r="A193" s="65" t="s">
        <v>84</v>
      </c>
      <c r="B193" s="66"/>
      <c r="C193" s="66"/>
      <c r="D193" s="76"/>
      <c r="E193" s="66"/>
      <c r="F193" s="66"/>
      <c r="G193" s="76"/>
      <c r="H193" s="66"/>
      <c r="I193" s="66"/>
      <c r="J193" s="76"/>
      <c r="K193" s="66"/>
      <c r="L193" s="66"/>
      <c r="M193" s="76"/>
      <c r="N193" s="68">
        <f>SUM(D193:G193,J193,M193)/4</f>
        <v>0</v>
      </c>
    </row>
    <row r="194" spans="1:14">
      <c r="A194" s="65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</row>
    <row r="195" spans="1:14">
      <c r="A195" s="53" t="s">
        <v>85</v>
      </c>
      <c r="B195" s="54">
        <f t="shared" ref="B195:M195" si="40">B182*100/B184</f>
        <v>0.44682752457551383</v>
      </c>
      <c r="C195" s="54">
        <f t="shared" si="40"/>
        <v>1.0013131976362442</v>
      </c>
      <c r="D195" s="54">
        <f t="shared" si="40"/>
        <v>0.46649043694604259</v>
      </c>
      <c r="E195" s="54">
        <f t="shared" si="40"/>
        <v>0</v>
      </c>
      <c r="F195" s="54">
        <f t="shared" si="40"/>
        <v>0</v>
      </c>
      <c r="G195" s="54">
        <f t="shared" si="40"/>
        <v>0</v>
      </c>
      <c r="H195" s="54">
        <f t="shared" si="40"/>
        <v>0</v>
      </c>
      <c r="I195" s="54">
        <f t="shared" si="40"/>
        <v>0</v>
      </c>
      <c r="J195" s="54">
        <f t="shared" si="40"/>
        <v>0</v>
      </c>
      <c r="K195" s="54">
        <f t="shared" si="40"/>
        <v>0</v>
      </c>
      <c r="L195" s="54">
        <f t="shared" si="40"/>
        <v>3.9406053683609366</v>
      </c>
      <c r="M195" s="54">
        <f t="shared" si="40"/>
        <v>3.3741368487131198</v>
      </c>
      <c r="N195" s="68">
        <f>SUM(B195:M195)/12</f>
        <v>0.76911444801932138</v>
      </c>
    </row>
    <row r="196" spans="1:14">
      <c r="A196" s="53" t="s">
        <v>86</v>
      </c>
      <c r="B196" s="54">
        <f t="shared" ref="B196:M196" si="41">B180*100/B184</f>
        <v>1.3553768245457254</v>
      </c>
      <c r="C196" s="54">
        <f t="shared" si="41"/>
        <v>1.5265922521339461</v>
      </c>
      <c r="D196" s="54">
        <f t="shared" si="41"/>
        <v>2.7833929404447209</v>
      </c>
      <c r="E196" s="54">
        <f t="shared" si="41"/>
        <v>0.47378395451674038</v>
      </c>
      <c r="F196" s="54">
        <f t="shared" si="41"/>
        <v>3.1448314765195318</v>
      </c>
      <c r="G196" s="54">
        <f t="shared" si="41"/>
        <v>0.8211808013591958</v>
      </c>
      <c r="H196" s="54">
        <f t="shared" si="41"/>
        <v>0.51536904104546288</v>
      </c>
      <c r="I196" s="54">
        <f t="shared" si="41"/>
        <v>0.51735647530040052</v>
      </c>
      <c r="J196" s="54">
        <f t="shared" si="41"/>
        <v>0.86031597059283593</v>
      </c>
      <c r="K196" s="54">
        <f t="shared" si="41"/>
        <v>2.3417172593235041</v>
      </c>
      <c r="L196" s="54">
        <f t="shared" si="41"/>
        <v>0.34266133637921187</v>
      </c>
      <c r="M196" s="54">
        <f t="shared" si="41"/>
        <v>0.84745762711864403</v>
      </c>
      <c r="N196" s="68">
        <f>SUM(B196:M196)/12</f>
        <v>1.2941696632733268</v>
      </c>
    </row>
    <row r="197" spans="1:14">
      <c r="A197" s="53" t="s">
        <v>87</v>
      </c>
      <c r="B197" s="54">
        <f t="shared" ref="B197:M197" si="42">B176*100/B184</f>
        <v>6.6130473637176053</v>
      </c>
      <c r="C197" s="54">
        <f t="shared" si="42"/>
        <v>12.147078135259356</v>
      </c>
      <c r="D197" s="54">
        <f t="shared" si="42"/>
        <v>4.1517648888197796</v>
      </c>
      <c r="E197" s="54">
        <f t="shared" si="42"/>
        <v>12.144662034112445</v>
      </c>
      <c r="F197" s="54">
        <f t="shared" si="42"/>
        <v>2.4256099280778454</v>
      </c>
      <c r="G197" s="54">
        <f t="shared" si="42"/>
        <v>6.4844966728019253</v>
      </c>
      <c r="H197" s="54">
        <f t="shared" si="42"/>
        <v>38.505429780968157</v>
      </c>
      <c r="I197" s="54">
        <f t="shared" si="42"/>
        <v>30.307076101468624</v>
      </c>
      <c r="J197" s="54">
        <f t="shared" si="42"/>
        <v>16.65884561238855</v>
      </c>
      <c r="K197" s="54">
        <f t="shared" si="42"/>
        <v>6.6637756577045391</v>
      </c>
      <c r="L197" s="54">
        <f t="shared" si="42"/>
        <v>0.88520845231296397</v>
      </c>
      <c r="M197" s="54">
        <f t="shared" si="42"/>
        <v>5.3986189579409922</v>
      </c>
      <c r="N197" s="70">
        <f>SUM(B197:M197)/12</f>
        <v>11.865467798797731</v>
      </c>
    </row>
    <row r="198" spans="1:14">
      <c r="A198" s="77" t="s">
        <v>88</v>
      </c>
      <c r="B198" s="78">
        <f t="shared" ref="B198:M198" si="43">SUM(B173-B184)*100/B184</f>
        <v>14.626154304438487</v>
      </c>
      <c r="C198" s="78">
        <f t="shared" si="43"/>
        <v>26.329612606697307</v>
      </c>
      <c r="D198" s="78">
        <f t="shared" si="43"/>
        <v>19.670346757891462</v>
      </c>
      <c r="E198" s="78">
        <f t="shared" si="43"/>
        <v>21.541377132027794</v>
      </c>
      <c r="F198" s="78">
        <f t="shared" si="43"/>
        <v>8.5319418981807917</v>
      </c>
      <c r="G198" s="78">
        <f t="shared" si="43"/>
        <v>8.9621973665581205</v>
      </c>
      <c r="H198" s="78">
        <f t="shared" si="43"/>
        <v>41.652862138781522</v>
      </c>
      <c r="I198" s="78">
        <f t="shared" si="43"/>
        <v>28.437917222963954</v>
      </c>
      <c r="J198" s="78">
        <f t="shared" si="43"/>
        <v>20.381667448772095</v>
      </c>
      <c r="K198" s="78">
        <f t="shared" si="43"/>
        <v>11.246024862677075</v>
      </c>
      <c r="L198" s="78">
        <f t="shared" si="43"/>
        <v>9.8800685322672752</v>
      </c>
      <c r="M198" s="191">
        <f t="shared" si="43"/>
        <v>20.778405524168235</v>
      </c>
      <c r="N198" s="192">
        <f>SUM(B198:M198)/12</f>
        <v>19.336547982952013</v>
      </c>
    </row>
    <row r="199" spans="1:14">
      <c r="A199" s="65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49"/>
    </row>
    <row r="200" spans="1:14">
      <c r="A200" s="80" t="s">
        <v>89</v>
      </c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49"/>
    </row>
    <row r="201" spans="1:14">
      <c r="A201" s="53" t="s">
        <v>90</v>
      </c>
      <c r="B201" s="81">
        <v>12</v>
      </c>
      <c r="C201" s="81">
        <f t="shared" ref="C201:N201" si="44">B204</f>
        <v>13</v>
      </c>
      <c r="D201" s="81">
        <f t="shared" si="44"/>
        <v>13</v>
      </c>
      <c r="E201" s="81">
        <f t="shared" si="44"/>
        <v>13</v>
      </c>
      <c r="F201" s="81">
        <f t="shared" si="44"/>
        <v>13</v>
      </c>
      <c r="G201" s="81">
        <f t="shared" si="44"/>
        <v>13</v>
      </c>
      <c r="H201" s="81">
        <f t="shared" si="44"/>
        <v>13</v>
      </c>
      <c r="I201" s="81">
        <f t="shared" si="44"/>
        <v>13</v>
      </c>
      <c r="J201" s="81">
        <f t="shared" si="44"/>
        <v>13</v>
      </c>
      <c r="K201" s="81">
        <f t="shared" si="44"/>
        <v>13</v>
      </c>
      <c r="L201" s="81">
        <f t="shared" si="44"/>
        <v>13</v>
      </c>
      <c r="M201" s="81">
        <f t="shared" si="44"/>
        <v>13</v>
      </c>
      <c r="N201" s="81">
        <f t="shared" si="44"/>
        <v>13</v>
      </c>
    </row>
    <row r="202" spans="1:14">
      <c r="A202" s="53" t="s">
        <v>91</v>
      </c>
      <c r="B202" s="81">
        <v>1</v>
      </c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>
        <f>SUM(B202:M202)/12</f>
        <v>8.3333333333333329E-2</v>
      </c>
    </row>
    <row r="203" spans="1:14">
      <c r="A203" s="53" t="s">
        <v>92</v>
      </c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>
        <f>SUM(B202:M202)/12</f>
        <v>8.3333333333333329E-2</v>
      </c>
    </row>
    <row r="204" spans="1:14">
      <c r="A204" s="53" t="s">
        <v>89</v>
      </c>
      <c r="B204" s="81">
        <f t="shared" ref="B204:M204" si="45">SUM(B201+B202-B203)</f>
        <v>13</v>
      </c>
      <c r="C204" s="81">
        <f t="shared" si="45"/>
        <v>13</v>
      </c>
      <c r="D204" s="81">
        <f t="shared" si="45"/>
        <v>13</v>
      </c>
      <c r="E204" s="81">
        <f t="shared" si="45"/>
        <v>13</v>
      </c>
      <c r="F204" s="81">
        <f t="shared" si="45"/>
        <v>13</v>
      </c>
      <c r="G204" s="81">
        <f t="shared" si="45"/>
        <v>13</v>
      </c>
      <c r="H204" s="81">
        <f t="shared" si="45"/>
        <v>13</v>
      </c>
      <c r="I204" s="81">
        <f t="shared" si="45"/>
        <v>13</v>
      </c>
      <c r="J204" s="81">
        <f t="shared" si="45"/>
        <v>13</v>
      </c>
      <c r="K204" s="81">
        <f t="shared" si="45"/>
        <v>13</v>
      </c>
      <c r="L204" s="81">
        <f t="shared" si="45"/>
        <v>13</v>
      </c>
      <c r="M204" s="81">
        <f t="shared" si="45"/>
        <v>13</v>
      </c>
      <c r="N204" s="81">
        <f>SUM(B203:M203)/12</f>
        <v>0</v>
      </c>
    </row>
    <row r="205" spans="1:14">
      <c r="A205" s="53" t="s">
        <v>93</v>
      </c>
      <c r="B205" s="82">
        <f t="shared" ref="B205:M205" si="46">SUM(B204*100)/B201-100</f>
        <v>8.3333333333333286</v>
      </c>
      <c r="C205" s="82">
        <f t="shared" si="46"/>
        <v>0</v>
      </c>
      <c r="D205" s="82">
        <f t="shared" si="46"/>
        <v>0</v>
      </c>
      <c r="E205" s="82">
        <f t="shared" si="46"/>
        <v>0</v>
      </c>
      <c r="F205" s="82">
        <f t="shared" si="46"/>
        <v>0</v>
      </c>
      <c r="G205" s="82">
        <f t="shared" si="46"/>
        <v>0</v>
      </c>
      <c r="H205" s="82">
        <f t="shared" si="46"/>
        <v>0</v>
      </c>
      <c r="I205" s="82">
        <f t="shared" si="46"/>
        <v>0</v>
      </c>
      <c r="J205" s="82">
        <f t="shared" si="46"/>
        <v>0</v>
      </c>
      <c r="K205" s="82">
        <f t="shared" si="46"/>
        <v>0</v>
      </c>
      <c r="L205" s="82">
        <f t="shared" si="46"/>
        <v>0</v>
      </c>
      <c r="M205" s="82">
        <f t="shared" si="46"/>
        <v>0</v>
      </c>
      <c r="N205" s="81"/>
    </row>
    <row r="206" spans="1:14">
      <c r="A206" s="65" t="s">
        <v>94</v>
      </c>
      <c r="B206" s="83"/>
      <c r="C206" s="83"/>
      <c r="D206" s="84">
        <f>SUM(B205:D205/3)</f>
        <v>0</v>
      </c>
      <c r="E206" s="83"/>
      <c r="F206" s="83"/>
      <c r="G206" s="84">
        <f>SUM(E205:G205)/3</f>
        <v>0</v>
      </c>
      <c r="H206" s="83"/>
      <c r="I206" s="83"/>
      <c r="J206" s="84">
        <f>SUM(H205:J205)/3</f>
        <v>0</v>
      </c>
      <c r="K206" s="83"/>
      <c r="L206" s="83"/>
      <c r="M206" s="84">
        <f>SUM(K205:M205)/3</f>
        <v>0</v>
      </c>
      <c r="N206" s="83"/>
    </row>
    <row r="207" spans="1:14">
      <c r="A207" s="193"/>
      <c r="B207" s="194"/>
      <c r="C207" s="194"/>
      <c r="D207" s="194"/>
      <c r="E207" s="194"/>
      <c r="F207" s="194"/>
      <c r="G207" s="194"/>
      <c r="H207" s="194"/>
      <c r="I207" s="194"/>
      <c r="J207" s="194"/>
      <c r="K207" s="194"/>
      <c r="L207" s="194"/>
      <c r="M207" s="194"/>
      <c r="N207" s="195"/>
    </row>
    <row r="208" spans="1:14" ht="15.75">
      <c r="A208" s="196" t="s">
        <v>267</v>
      </c>
      <c r="B208" s="196"/>
      <c r="C208" s="196"/>
      <c r="D208" s="196"/>
      <c r="E208" s="196"/>
      <c r="F208" s="196"/>
      <c r="G208" s="196"/>
      <c r="H208" s="196"/>
      <c r="I208" s="196"/>
      <c r="J208" s="196"/>
      <c r="K208" s="196"/>
      <c r="L208" s="196"/>
      <c r="M208" s="196"/>
      <c r="N208" s="196"/>
    </row>
    <row r="209" spans="1:14" ht="15.75">
      <c r="E209" s="24"/>
      <c r="M209" s="66"/>
      <c r="N209" s="49"/>
    </row>
    <row r="210" spans="1:14">
      <c r="A210" s="197" t="s">
        <v>185</v>
      </c>
      <c r="B210" s="19"/>
      <c r="C210" s="198"/>
      <c r="D210" s="9" t="s">
        <v>186</v>
      </c>
      <c r="I210" s="20" t="s">
        <v>160</v>
      </c>
      <c r="J210" s="19"/>
      <c r="K210" s="19"/>
      <c r="L210" s="19"/>
      <c r="M210" s="100"/>
      <c r="N210" s="49"/>
    </row>
    <row r="211" spans="1:14">
      <c r="A211" s="199" t="s">
        <v>424</v>
      </c>
      <c r="B211" s="200" t="s">
        <v>425</v>
      </c>
      <c r="C211" s="201"/>
      <c r="D211" s="101">
        <v>336312</v>
      </c>
      <c r="E211" s="48"/>
      <c r="I211" s="102"/>
      <c r="J211" s="102" t="s">
        <v>161</v>
      </c>
      <c r="K211" s="202"/>
      <c r="L211" s="10" t="s">
        <v>162</v>
      </c>
      <c r="M211" s="103" t="s">
        <v>163</v>
      </c>
      <c r="N211" s="49"/>
    </row>
    <row r="212" spans="1:14">
      <c r="A212" s="199" t="s">
        <v>426</v>
      </c>
      <c r="B212" s="200" t="s">
        <v>425</v>
      </c>
      <c r="C212" s="22"/>
      <c r="D212" s="101">
        <v>371700</v>
      </c>
      <c r="E212" s="48" t="s">
        <v>427</v>
      </c>
      <c r="I212" s="11" t="s">
        <v>270</v>
      </c>
      <c r="J212" s="108"/>
      <c r="K212" s="22"/>
      <c r="L212" s="9"/>
      <c r="M212" s="129">
        <v>378230</v>
      </c>
      <c r="N212" s="49"/>
    </row>
    <row r="213" spans="1:14">
      <c r="A213" s="199" t="s">
        <v>428</v>
      </c>
      <c r="B213" s="200" t="s">
        <v>425</v>
      </c>
      <c r="C213" s="22"/>
      <c r="D213" s="101">
        <v>245700</v>
      </c>
      <c r="E213" s="48"/>
      <c r="I213" s="11" t="s">
        <v>429</v>
      </c>
      <c r="J213" s="108"/>
      <c r="K213" s="22"/>
      <c r="L213" s="9"/>
      <c r="M213" s="101">
        <v>7365</v>
      </c>
      <c r="N213" s="49"/>
    </row>
    <row r="214" spans="1:14">
      <c r="A214" s="199" t="s">
        <v>191</v>
      </c>
      <c r="B214" s="12"/>
      <c r="C214" s="22" t="s">
        <v>271</v>
      </c>
      <c r="D214" s="101">
        <v>0</v>
      </c>
      <c r="E214" s="48"/>
      <c r="I214" s="127" t="s">
        <v>165</v>
      </c>
      <c r="J214" s="128" t="s">
        <v>430</v>
      </c>
      <c r="K214" s="144"/>
      <c r="L214" s="130"/>
      <c r="M214" s="203">
        <v>2045887</v>
      </c>
      <c r="N214" s="49"/>
    </row>
    <row r="215" spans="1:14">
      <c r="A215" s="199" t="s">
        <v>377</v>
      </c>
      <c r="B215" s="12"/>
      <c r="C215" s="22"/>
      <c r="D215" s="101">
        <v>371700</v>
      </c>
      <c r="E215" s="48" t="s">
        <v>431</v>
      </c>
      <c r="F215" t="s">
        <v>427</v>
      </c>
      <c r="I215" s="204" t="s">
        <v>167</v>
      </c>
      <c r="J215" s="21"/>
      <c r="K215" s="3"/>
      <c r="L215" s="16"/>
      <c r="M215" s="106">
        <f>SUM(M212:M214)</f>
        <v>2431482</v>
      </c>
      <c r="N215" s="49"/>
    </row>
    <row r="216" spans="1:14">
      <c r="A216" s="199" t="s">
        <v>193</v>
      </c>
      <c r="B216" s="12"/>
      <c r="C216" s="22"/>
      <c r="D216" s="101"/>
      <c r="E216" s="48"/>
      <c r="I216" s="11" t="s">
        <v>168</v>
      </c>
      <c r="J216" s="12"/>
      <c r="K216" s="12"/>
      <c r="L216" s="205"/>
      <c r="M216" s="206">
        <f>M215/12</f>
        <v>202623.5</v>
      </c>
      <c r="N216" s="49"/>
    </row>
    <row r="217" spans="1:14">
      <c r="A217" s="11" t="s">
        <v>294</v>
      </c>
      <c r="B217" s="12"/>
      <c r="C217" s="22"/>
      <c r="D217" s="101"/>
      <c r="E217" s="48" t="s">
        <v>432</v>
      </c>
      <c r="G217" s="66"/>
      <c r="H217" s="66"/>
      <c r="I217" s="66"/>
      <c r="J217" s="66"/>
      <c r="K217" s="66"/>
      <c r="L217" s="113"/>
      <c r="M217" s="66"/>
      <c r="N217" s="49"/>
    </row>
    <row r="218" spans="1:14">
      <c r="A218" s="13" t="s">
        <v>196</v>
      </c>
      <c r="C218" s="207"/>
      <c r="D218" s="101">
        <v>26460</v>
      </c>
      <c r="E218" s="48"/>
      <c r="G218" s="66"/>
      <c r="H218" s="66"/>
      <c r="I218" s="66"/>
      <c r="J218" s="66"/>
      <c r="K218" s="66"/>
      <c r="L218" s="113"/>
      <c r="M218" s="66"/>
      <c r="N218" s="49"/>
    </row>
    <row r="219" spans="1:14">
      <c r="A219" s="18" t="s">
        <v>167</v>
      </c>
      <c r="B219" s="105"/>
      <c r="C219" s="208"/>
      <c r="D219" s="106">
        <f>SUM(D211:D218)</f>
        <v>1351872</v>
      </c>
      <c r="E219" s="48"/>
      <c r="G219" s="66"/>
      <c r="H219" s="66"/>
      <c r="I219" s="66"/>
      <c r="J219" s="66"/>
      <c r="K219" s="66"/>
      <c r="L219" s="110"/>
      <c r="M219" s="66"/>
      <c r="N219" s="49"/>
    </row>
    <row r="220" spans="1:14">
      <c r="A220" s="2" t="s">
        <v>168</v>
      </c>
      <c r="B220" s="5"/>
      <c r="C220" s="209"/>
      <c r="D220" s="206">
        <f>D219/12</f>
        <v>112656</v>
      </c>
      <c r="E220" s="48"/>
      <c r="G220" s="66"/>
      <c r="H220" s="66"/>
      <c r="I220" s="66"/>
      <c r="J220" s="66"/>
      <c r="K220" s="66"/>
      <c r="L220" s="110"/>
      <c r="M220" s="66"/>
      <c r="N220" s="49"/>
    </row>
    <row r="221" spans="1:14">
      <c r="C221" s="210"/>
      <c r="E221" s="48"/>
      <c r="G221" s="66"/>
      <c r="H221" s="66"/>
      <c r="I221" s="66"/>
      <c r="J221" s="66"/>
      <c r="K221" s="66"/>
      <c r="L221" s="110"/>
      <c r="M221" s="66"/>
      <c r="N221" s="49"/>
    </row>
    <row r="222" spans="1:14">
      <c r="C222" s="210"/>
      <c r="E222" s="48"/>
      <c r="G222" s="66"/>
      <c r="H222" s="66"/>
      <c r="I222" s="66"/>
      <c r="J222" s="66"/>
      <c r="K222" s="66"/>
      <c r="L222" s="110"/>
      <c r="M222" s="66"/>
      <c r="N222" s="49"/>
    </row>
    <row r="223" spans="1:14">
      <c r="C223" s="210"/>
      <c r="E223" s="48"/>
      <c r="G223" s="66"/>
      <c r="H223" s="66"/>
      <c r="I223" s="66"/>
      <c r="J223" s="66"/>
      <c r="K223" s="66"/>
      <c r="L223" s="110"/>
      <c r="M223" s="66"/>
      <c r="N223" s="49"/>
    </row>
    <row r="224" spans="1:14">
      <c r="C224" s="210"/>
      <c r="E224" s="48"/>
      <c r="G224" s="66"/>
      <c r="H224" s="66"/>
      <c r="I224" s="66"/>
      <c r="J224" s="66"/>
      <c r="K224" s="66"/>
      <c r="L224" s="110"/>
      <c r="M224" s="66"/>
      <c r="N224" s="49"/>
    </row>
    <row r="225" spans="1:14">
      <c r="A225" s="80" t="s">
        <v>113</v>
      </c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49"/>
    </row>
    <row r="226" spans="1:14">
      <c r="A226" s="152"/>
      <c r="B226" s="54" t="s">
        <v>44</v>
      </c>
      <c r="C226" s="54" t="s">
        <v>45</v>
      </c>
      <c r="D226" s="54" t="s">
        <v>46</v>
      </c>
      <c r="E226" s="54" t="s">
        <v>47</v>
      </c>
      <c r="F226" s="54" t="s">
        <v>48</v>
      </c>
      <c r="G226" s="54" t="s">
        <v>49</v>
      </c>
      <c r="H226" s="54" t="s">
        <v>38</v>
      </c>
      <c r="I226" s="54" t="s">
        <v>39</v>
      </c>
      <c r="J226" s="54" t="s">
        <v>40</v>
      </c>
      <c r="K226" s="54" t="s">
        <v>41</v>
      </c>
      <c r="L226" s="54" t="s">
        <v>42</v>
      </c>
      <c r="M226" s="54" t="s">
        <v>43</v>
      </c>
      <c r="N226" s="50"/>
    </row>
    <row r="227" spans="1:14">
      <c r="A227" s="53" t="s">
        <v>115</v>
      </c>
      <c r="B227" s="153">
        <f t="shared" ref="B227:M227" si="47">$D$220</f>
        <v>112656</v>
      </c>
      <c r="C227" s="153">
        <f t="shared" si="47"/>
        <v>112656</v>
      </c>
      <c r="D227" s="153">
        <f t="shared" si="47"/>
        <v>112656</v>
      </c>
      <c r="E227" s="153">
        <f t="shared" si="47"/>
        <v>112656</v>
      </c>
      <c r="F227" s="153">
        <f t="shared" si="47"/>
        <v>112656</v>
      </c>
      <c r="G227" s="153">
        <f t="shared" si="47"/>
        <v>112656</v>
      </c>
      <c r="H227" s="153">
        <f t="shared" si="47"/>
        <v>112656</v>
      </c>
      <c r="I227" s="153">
        <f t="shared" si="47"/>
        <v>112656</v>
      </c>
      <c r="J227" s="153">
        <f t="shared" si="47"/>
        <v>112656</v>
      </c>
      <c r="K227" s="153">
        <f t="shared" si="47"/>
        <v>112656</v>
      </c>
      <c r="L227" s="153">
        <f t="shared" si="47"/>
        <v>112656</v>
      </c>
      <c r="M227" s="153">
        <f t="shared" si="47"/>
        <v>112656</v>
      </c>
      <c r="N227" s="156">
        <f>SUM(B227:M227)</f>
        <v>1351872</v>
      </c>
    </row>
    <row r="228" spans="1:14">
      <c r="A228" s="69" t="s">
        <v>116</v>
      </c>
      <c r="B228" s="155">
        <f t="shared" ref="B228:M228" si="48">$M$216</f>
        <v>202623.5</v>
      </c>
      <c r="C228" s="155">
        <f t="shared" si="48"/>
        <v>202623.5</v>
      </c>
      <c r="D228" s="155">
        <f t="shared" si="48"/>
        <v>202623.5</v>
      </c>
      <c r="E228" s="155">
        <f t="shared" si="48"/>
        <v>202623.5</v>
      </c>
      <c r="F228" s="155">
        <f t="shared" si="48"/>
        <v>202623.5</v>
      </c>
      <c r="G228" s="155">
        <f t="shared" si="48"/>
        <v>202623.5</v>
      </c>
      <c r="H228" s="155">
        <f t="shared" si="48"/>
        <v>202623.5</v>
      </c>
      <c r="I228" s="155">
        <f t="shared" si="48"/>
        <v>202623.5</v>
      </c>
      <c r="J228" s="155">
        <f t="shared" si="48"/>
        <v>202623.5</v>
      </c>
      <c r="K228" s="155">
        <f t="shared" si="48"/>
        <v>202623.5</v>
      </c>
      <c r="L228" s="155">
        <f t="shared" si="48"/>
        <v>202623.5</v>
      </c>
      <c r="M228" s="155">
        <f t="shared" si="48"/>
        <v>202623.5</v>
      </c>
      <c r="N228" s="156">
        <f>SUM(B228:M228)</f>
        <v>2431482</v>
      </c>
    </row>
    <row r="229" spans="1:14">
      <c r="A229" s="157" t="s">
        <v>169</v>
      </c>
      <c r="B229" s="211">
        <f t="shared" ref="B229:M229" si="49">SUM(B227,B228)</f>
        <v>315279.5</v>
      </c>
      <c r="C229" s="211">
        <f t="shared" si="49"/>
        <v>315279.5</v>
      </c>
      <c r="D229" s="211">
        <f t="shared" si="49"/>
        <v>315279.5</v>
      </c>
      <c r="E229" s="211">
        <f t="shared" si="49"/>
        <v>315279.5</v>
      </c>
      <c r="F229" s="211">
        <f t="shared" si="49"/>
        <v>315279.5</v>
      </c>
      <c r="G229" s="211">
        <f t="shared" si="49"/>
        <v>315279.5</v>
      </c>
      <c r="H229" s="211">
        <f t="shared" si="49"/>
        <v>315279.5</v>
      </c>
      <c r="I229" s="211">
        <f t="shared" si="49"/>
        <v>315279.5</v>
      </c>
      <c r="J229" s="211">
        <f t="shared" si="49"/>
        <v>315279.5</v>
      </c>
      <c r="K229" s="211">
        <f t="shared" si="49"/>
        <v>315279.5</v>
      </c>
      <c r="L229" s="211">
        <f t="shared" si="49"/>
        <v>315279.5</v>
      </c>
      <c r="M229" s="211">
        <f t="shared" si="49"/>
        <v>315279.5</v>
      </c>
      <c r="N229" s="212">
        <f>SUM(B227:M228)</f>
        <v>3783354</v>
      </c>
    </row>
    <row r="230" spans="1:14">
      <c r="A230" s="160" t="s">
        <v>398</v>
      </c>
      <c r="B230" s="161">
        <v>379523</v>
      </c>
      <c r="C230" s="161">
        <v>417993</v>
      </c>
      <c r="D230" s="161">
        <v>378666.5</v>
      </c>
      <c r="E230" s="161">
        <v>272894</v>
      </c>
      <c r="F230" s="161">
        <v>311860</v>
      </c>
      <c r="G230" s="162">
        <v>371885</v>
      </c>
      <c r="H230" s="161">
        <v>285909</v>
      </c>
      <c r="I230" s="161">
        <v>272182</v>
      </c>
      <c r="J230" s="161">
        <v>305406</v>
      </c>
      <c r="K230" s="161"/>
      <c r="L230" s="161">
        <v>280287</v>
      </c>
      <c r="M230" s="161">
        <v>283949</v>
      </c>
      <c r="N230" s="165">
        <f t="shared" ref="N230:N237" si="50">SUM(B230:M230)</f>
        <v>3560554.5</v>
      </c>
    </row>
    <row r="231" spans="1:14">
      <c r="A231" s="50" t="s">
        <v>275</v>
      </c>
      <c r="B231" s="154">
        <v>7260</v>
      </c>
      <c r="C231" s="154">
        <v>7599</v>
      </c>
      <c r="D231" s="154">
        <v>3950</v>
      </c>
      <c r="E231" s="154"/>
      <c r="F231" s="154">
        <v>15925</v>
      </c>
      <c r="G231" s="163">
        <v>5075</v>
      </c>
      <c r="H231" s="154">
        <v>287552</v>
      </c>
      <c r="I231" s="154">
        <v>11490</v>
      </c>
      <c r="J231" s="154">
        <v>1400</v>
      </c>
      <c r="K231" s="154">
        <v>27468</v>
      </c>
      <c r="L231" s="154">
        <v>4139</v>
      </c>
      <c r="M231" s="154">
        <v>2055</v>
      </c>
      <c r="N231" s="165">
        <f t="shared" si="50"/>
        <v>373913</v>
      </c>
    </row>
    <row r="232" spans="1:14">
      <c r="A232" s="173" t="s">
        <v>211</v>
      </c>
      <c r="B232" s="154">
        <v>29925</v>
      </c>
      <c r="C232" s="154">
        <v>29837.5</v>
      </c>
      <c r="D232" s="154">
        <v>14525</v>
      </c>
      <c r="E232" s="154">
        <v>12950</v>
      </c>
      <c r="F232" s="154">
        <v>19950</v>
      </c>
      <c r="G232" s="163">
        <v>20475</v>
      </c>
      <c r="H232" s="154">
        <v>5950</v>
      </c>
      <c r="I232" s="154">
        <v>13300</v>
      </c>
      <c r="J232" s="154">
        <v>23800</v>
      </c>
      <c r="K232" s="154">
        <v>42000</v>
      </c>
      <c r="L232" s="154">
        <v>4200</v>
      </c>
      <c r="M232" s="154">
        <v>8137.5</v>
      </c>
      <c r="N232" s="165">
        <f t="shared" si="50"/>
        <v>225050</v>
      </c>
    </row>
    <row r="233" spans="1:14">
      <c r="A233" s="182" t="s">
        <v>126</v>
      </c>
      <c r="B233" s="183">
        <f t="shared" ref="B233:M233" si="51">SUM(B230:B232)</f>
        <v>416708</v>
      </c>
      <c r="C233" s="183">
        <f t="shared" si="51"/>
        <v>455429.5</v>
      </c>
      <c r="D233" s="183">
        <f t="shared" si="51"/>
        <v>397141.5</v>
      </c>
      <c r="E233" s="183">
        <f t="shared" si="51"/>
        <v>285844</v>
      </c>
      <c r="F233" s="183">
        <f t="shared" si="51"/>
        <v>347735</v>
      </c>
      <c r="G233" s="183">
        <f t="shared" si="51"/>
        <v>397435</v>
      </c>
      <c r="H233" s="183">
        <f t="shared" si="51"/>
        <v>579411</v>
      </c>
      <c r="I233" s="183">
        <f t="shared" si="51"/>
        <v>296972</v>
      </c>
      <c r="J233" s="183">
        <f t="shared" si="51"/>
        <v>330606</v>
      </c>
      <c r="K233" s="183">
        <f t="shared" si="51"/>
        <v>69468</v>
      </c>
      <c r="L233" s="183">
        <f t="shared" si="51"/>
        <v>288626</v>
      </c>
      <c r="M233" s="183">
        <f t="shared" si="51"/>
        <v>294141.5</v>
      </c>
      <c r="N233" s="213">
        <f t="shared" si="50"/>
        <v>4159517.5</v>
      </c>
    </row>
    <row r="234" spans="1:14">
      <c r="A234" s="50" t="s">
        <v>127</v>
      </c>
      <c r="B234" s="156"/>
      <c r="C234" s="156"/>
      <c r="D234" s="156"/>
      <c r="E234" s="156"/>
      <c r="F234" s="156"/>
      <c r="G234" s="214"/>
      <c r="H234" s="156"/>
      <c r="I234" s="156"/>
      <c r="J234" s="156"/>
      <c r="K234" s="156"/>
      <c r="L234" s="156"/>
      <c r="M234" s="156"/>
      <c r="N234" s="156">
        <f t="shared" si="50"/>
        <v>0</v>
      </c>
    </row>
    <row r="235" spans="1:14">
      <c r="A235" s="185" t="s">
        <v>129</v>
      </c>
      <c r="B235" s="215">
        <f t="shared" ref="B235:M235" si="52">SUM(B229,B233,B234)</f>
        <v>731987.5</v>
      </c>
      <c r="C235" s="215">
        <f t="shared" si="52"/>
        <v>770709</v>
      </c>
      <c r="D235" s="215">
        <f t="shared" si="52"/>
        <v>712421</v>
      </c>
      <c r="E235" s="215">
        <f t="shared" si="52"/>
        <v>601123.5</v>
      </c>
      <c r="F235" s="215">
        <f t="shared" si="52"/>
        <v>663014.5</v>
      </c>
      <c r="G235" s="215">
        <f t="shared" si="52"/>
        <v>712714.5</v>
      </c>
      <c r="H235" s="215">
        <f t="shared" si="52"/>
        <v>894690.5</v>
      </c>
      <c r="I235" s="215">
        <f t="shared" si="52"/>
        <v>612251.5</v>
      </c>
      <c r="J235" s="215">
        <f t="shared" si="52"/>
        <v>645885.5</v>
      </c>
      <c r="K235" s="215">
        <f t="shared" si="52"/>
        <v>384747.5</v>
      </c>
      <c r="L235" s="215">
        <f t="shared" si="52"/>
        <v>603905.5</v>
      </c>
      <c r="M235" s="215">
        <f t="shared" si="52"/>
        <v>609421</v>
      </c>
      <c r="N235" s="215">
        <f t="shared" si="50"/>
        <v>7942871.5</v>
      </c>
    </row>
    <row r="236" spans="1:14">
      <c r="A236" s="216" t="s">
        <v>172</v>
      </c>
      <c r="B236" s="155">
        <v>250000</v>
      </c>
      <c r="C236" s="155">
        <v>250000</v>
      </c>
      <c r="D236" s="155">
        <v>250000</v>
      </c>
      <c r="E236" s="155">
        <v>250000</v>
      </c>
      <c r="F236" s="155">
        <v>250000</v>
      </c>
      <c r="G236" s="155">
        <v>250000</v>
      </c>
      <c r="H236" s="155">
        <v>250000</v>
      </c>
      <c r="I236" s="155">
        <v>250000</v>
      </c>
      <c r="J236" s="155">
        <v>250000</v>
      </c>
      <c r="K236" s="155">
        <v>250000</v>
      </c>
      <c r="L236" s="155">
        <v>250000</v>
      </c>
      <c r="M236" s="155">
        <v>250000</v>
      </c>
      <c r="N236" s="155">
        <f t="shared" si="50"/>
        <v>3000000</v>
      </c>
    </row>
    <row r="237" spans="1:14">
      <c r="A237" s="50" t="s">
        <v>399</v>
      </c>
      <c r="B237" s="153">
        <v>301161</v>
      </c>
      <c r="C237" s="153">
        <v>284279</v>
      </c>
      <c r="D237" s="153">
        <v>260659</v>
      </c>
      <c r="E237" s="153">
        <v>234317</v>
      </c>
      <c r="F237" s="153">
        <v>323528</v>
      </c>
      <c r="G237" s="153">
        <v>364649</v>
      </c>
      <c r="H237" s="153">
        <v>294059</v>
      </c>
      <c r="I237" s="153">
        <v>297029</v>
      </c>
      <c r="J237" s="153">
        <v>399667</v>
      </c>
      <c r="K237" s="153">
        <v>323508</v>
      </c>
      <c r="L237" s="153">
        <v>254239</v>
      </c>
      <c r="M237" s="153">
        <v>254239</v>
      </c>
      <c r="N237" s="155">
        <f t="shared" si="50"/>
        <v>3591334</v>
      </c>
    </row>
    <row r="238" spans="1:14">
      <c r="A238" s="189" t="s">
        <v>146</v>
      </c>
      <c r="B238" s="190">
        <f t="shared" ref="B238:N238" si="53">SUM(B235-B236-B237)</f>
        <v>180826.5</v>
      </c>
      <c r="C238" s="190">
        <f t="shared" si="53"/>
        <v>236430</v>
      </c>
      <c r="D238" s="190">
        <f t="shared" si="53"/>
        <v>201762</v>
      </c>
      <c r="E238" s="190">
        <f t="shared" si="53"/>
        <v>116806.5</v>
      </c>
      <c r="F238" s="190">
        <f t="shared" si="53"/>
        <v>89486.5</v>
      </c>
      <c r="G238" s="190">
        <f t="shared" si="53"/>
        <v>98065.5</v>
      </c>
      <c r="H238" s="190">
        <f t="shared" si="53"/>
        <v>350631.5</v>
      </c>
      <c r="I238" s="190">
        <f t="shared" si="53"/>
        <v>65222.5</v>
      </c>
      <c r="J238" s="190">
        <f t="shared" si="53"/>
        <v>-3781.5</v>
      </c>
      <c r="K238" s="190">
        <f t="shared" si="53"/>
        <v>-188760.5</v>
      </c>
      <c r="L238" s="190">
        <f t="shared" si="53"/>
        <v>99666.5</v>
      </c>
      <c r="M238" s="190">
        <f t="shared" si="53"/>
        <v>105182</v>
      </c>
      <c r="N238" s="190">
        <f t="shared" si="53"/>
        <v>1351537.5</v>
      </c>
    </row>
    <row r="239" spans="1:14">
      <c r="A239" s="217"/>
      <c r="B239" s="218"/>
      <c r="C239" s="218"/>
      <c r="D239" s="218"/>
      <c r="E239" s="218"/>
      <c r="F239" s="218"/>
      <c r="G239" s="218"/>
      <c r="H239" s="218"/>
      <c r="I239" s="218"/>
      <c r="J239" s="218"/>
      <c r="K239" s="218"/>
      <c r="L239" s="218"/>
      <c r="M239" s="218"/>
      <c r="N239" s="218"/>
    </row>
    <row r="240" spans="1:14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</row>
    <row r="241" spans="1:14" ht="20.25">
      <c r="A241" s="832" t="s">
        <v>433</v>
      </c>
      <c r="B241" s="832"/>
      <c r="C241" s="832"/>
      <c r="D241" s="832"/>
      <c r="E241" s="832"/>
      <c r="F241" s="832"/>
      <c r="G241" s="832"/>
      <c r="H241" s="832"/>
      <c r="I241" s="832"/>
      <c r="J241" s="832"/>
      <c r="K241" s="832"/>
      <c r="L241" s="832"/>
      <c r="M241" s="832"/>
      <c r="N241" s="832"/>
    </row>
    <row r="242" spans="1:14">
      <c r="A242" s="49"/>
      <c r="B242" s="49"/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</row>
    <row r="243" spans="1:14">
      <c r="A243" s="50"/>
      <c r="B243" s="51" t="s">
        <v>44</v>
      </c>
      <c r="C243" s="51" t="s">
        <v>45</v>
      </c>
      <c r="D243" s="52" t="s">
        <v>46</v>
      </c>
      <c r="E243" s="51" t="s">
        <v>47</v>
      </c>
      <c r="F243" s="51" t="s">
        <v>48</v>
      </c>
      <c r="G243" s="52" t="s">
        <v>49</v>
      </c>
      <c r="H243" s="51" t="s">
        <v>38</v>
      </c>
      <c r="I243" s="51" t="s">
        <v>39</v>
      </c>
      <c r="J243" s="51" t="s">
        <v>40</v>
      </c>
      <c r="K243" s="51" t="s">
        <v>41</v>
      </c>
      <c r="L243" s="51" t="s">
        <v>42</v>
      </c>
      <c r="M243" s="51" t="s">
        <v>43</v>
      </c>
      <c r="N243" s="50" t="s">
        <v>64</v>
      </c>
    </row>
    <row r="244" spans="1:14">
      <c r="A244" s="53" t="s">
        <v>65</v>
      </c>
      <c r="B244" s="54">
        <v>2566</v>
      </c>
      <c r="C244" s="54">
        <v>2566</v>
      </c>
      <c r="D244" s="54">
        <v>2566</v>
      </c>
      <c r="E244" s="54">
        <v>2566</v>
      </c>
      <c r="F244" s="54">
        <v>2566</v>
      </c>
      <c r="G244" s="54">
        <v>2566</v>
      </c>
      <c r="H244" s="54">
        <v>2566</v>
      </c>
      <c r="I244" s="54">
        <v>2566</v>
      </c>
      <c r="J244" s="54">
        <v>2566</v>
      </c>
      <c r="K244" s="54">
        <v>2566</v>
      </c>
      <c r="L244" s="54">
        <v>2566</v>
      </c>
      <c r="M244" s="54">
        <v>2566</v>
      </c>
      <c r="N244" s="54">
        <f t="shared" ref="N244:N255" si="54">SUM(B244:M244)</f>
        <v>30792</v>
      </c>
    </row>
    <row r="245" spans="1:14">
      <c r="A245" s="53" t="s">
        <v>66</v>
      </c>
      <c r="B245" s="54"/>
      <c r="C245" s="54"/>
      <c r="D245" s="54"/>
      <c r="E245" s="54"/>
      <c r="F245" s="54"/>
      <c r="G245" s="55"/>
      <c r="H245" s="54"/>
      <c r="I245" s="54"/>
      <c r="J245" s="56"/>
      <c r="K245" s="54"/>
      <c r="L245" s="54"/>
      <c r="M245" s="54"/>
      <c r="N245" s="54">
        <f t="shared" si="54"/>
        <v>0</v>
      </c>
    </row>
    <row r="246" spans="1:14">
      <c r="A246" s="53" t="s">
        <v>67</v>
      </c>
      <c r="B246" s="54"/>
      <c r="C246" s="54"/>
      <c r="D246" s="54"/>
      <c r="E246" s="54"/>
      <c r="F246" s="54"/>
      <c r="G246" s="55"/>
      <c r="H246" s="54"/>
      <c r="I246" s="54"/>
      <c r="J246" s="54"/>
      <c r="K246" s="54"/>
      <c r="L246" s="54"/>
      <c r="M246" s="50"/>
      <c r="N246" s="54">
        <f t="shared" si="54"/>
        <v>0</v>
      </c>
    </row>
    <row r="247" spans="1:14">
      <c r="A247" s="53" t="s">
        <v>69</v>
      </c>
      <c r="B247" s="54"/>
      <c r="C247" s="54"/>
      <c r="D247" s="54"/>
      <c r="E247" s="54"/>
      <c r="F247" s="54"/>
      <c r="G247" s="55"/>
      <c r="H247" s="54"/>
      <c r="I247" s="54"/>
      <c r="J247" s="54"/>
      <c r="K247" s="54"/>
      <c r="L247" s="54"/>
      <c r="M247" s="54"/>
      <c r="N247" s="54">
        <f t="shared" si="54"/>
        <v>0</v>
      </c>
    </row>
    <row r="248" spans="1:14">
      <c r="A248" s="53" t="s">
        <v>70</v>
      </c>
      <c r="B248" s="54"/>
      <c r="C248" s="54"/>
      <c r="D248" s="54"/>
      <c r="E248" s="54"/>
      <c r="F248" s="54"/>
      <c r="G248" s="55"/>
      <c r="H248" s="54"/>
      <c r="I248" s="54"/>
      <c r="J248" s="54"/>
      <c r="K248" s="54"/>
      <c r="L248" s="54"/>
      <c r="M248" s="54"/>
      <c r="N248" s="54">
        <f t="shared" si="54"/>
        <v>0</v>
      </c>
    </row>
    <row r="249" spans="1:14">
      <c r="A249" s="53" t="s">
        <v>71</v>
      </c>
      <c r="B249" s="54"/>
      <c r="C249" s="54"/>
      <c r="D249" s="54"/>
      <c r="E249" s="54"/>
      <c r="F249" s="54"/>
      <c r="G249" s="55"/>
      <c r="H249" s="54"/>
      <c r="I249" s="54"/>
      <c r="J249" s="54"/>
      <c r="K249" s="54"/>
      <c r="L249" s="54"/>
      <c r="M249" s="54"/>
      <c r="N249" s="54">
        <f t="shared" si="54"/>
        <v>0</v>
      </c>
    </row>
    <row r="250" spans="1:14">
      <c r="A250" s="53" t="s">
        <v>72</v>
      </c>
      <c r="B250" s="54"/>
      <c r="C250" s="54"/>
      <c r="D250" s="54"/>
      <c r="E250" s="54"/>
      <c r="F250" s="54"/>
      <c r="G250" s="55"/>
      <c r="H250" s="54"/>
      <c r="I250" s="54"/>
      <c r="J250" s="54"/>
      <c r="K250" s="54"/>
      <c r="L250" s="54"/>
      <c r="M250" s="54"/>
      <c r="N250" s="54">
        <f t="shared" si="54"/>
        <v>0</v>
      </c>
    </row>
    <row r="251" spans="1:14">
      <c r="A251" s="53" t="s">
        <v>73</v>
      </c>
      <c r="B251" s="54"/>
      <c r="C251" s="54"/>
      <c r="D251" s="54"/>
      <c r="E251" s="54"/>
      <c r="F251" s="54"/>
      <c r="G251" s="55"/>
      <c r="H251" s="54"/>
      <c r="I251" s="54"/>
      <c r="J251" s="54"/>
      <c r="K251" s="54"/>
      <c r="L251" s="54"/>
      <c r="M251" s="54"/>
      <c r="N251" s="54">
        <f t="shared" si="54"/>
        <v>0</v>
      </c>
    </row>
    <row r="252" spans="1:14">
      <c r="A252" s="53" t="s">
        <v>74</v>
      </c>
      <c r="B252" s="54"/>
      <c r="C252" s="54"/>
      <c r="D252" s="54"/>
      <c r="E252" s="54"/>
      <c r="F252" s="54"/>
      <c r="G252" s="55"/>
      <c r="H252" s="54"/>
      <c r="I252" s="54"/>
      <c r="J252" s="54"/>
      <c r="K252" s="54"/>
      <c r="L252" s="54"/>
      <c r="M252" s="54"/>
      <c r="N252" s="54">
        <f t="shared" si="54"/>
        <v>0</v>
      </c>
    </row>
    <row r="253" spans="1:14">
      <c r="A253" s="53" t="s">
        <v>75</v>
      </c>
      <c r="B253" s="54"/>
      <c r="C253" s="54"/>
      <c r="D253" s="54"/>
      <c r="E253" s="54"/>
      <c r="F253" s="54"/>
      <c r="G253" s="55"/>
      <c r="H253" s="54"/>
      <c r="I253" s="54"/>
      <c r="J253" s="54"/>
      <c r="K253" s="54"/>
      <c r="L253" s="54"/>
      <c r="M253" s="54"/>
      <c r="N253" s="54">
        <f t="shared" si="54"/>
        <v>0</v>
      </c>
    </row>
    <row r="254" spans="1:14">
      <c r="A254" s="57" t="s">
        <v>76</v>
      </c>
      <c r="B254" s="58"/>
      <c r="C254" s="58"/>
      <c r="D254" s="58"/>
      <c r="E254" s="58"/>
      <c r="F254" s="58"/>
      <c r="G254" s="59"/>
      <c r="H254" s="58"/>
      <c r="I254" s="58"/>
      <c r="J254" s="58"/>
      <c r="K254" s="58"/>
      <c r="L254" s="58"/>
      <c r="M254" s="58"/>
      <c r="N254" s="60">
        <f t="shared" si="54"/>
        <v>0</v>
      </c>
    </row>
    <row r="255" spans="1:14">
      <c r="A255" s="61" t="s">
        <v>77</v>
      </c>
      <c r="B255" s="62">
        <f t="shared" ref="B255:M255" si="55">SUM(B244+B245+B246-B247-B248-B249-B251-B252-B253-B254)</f>
        <v>2566</v>
      </c>
      <c r="C255" s="62">
        <f t="shared" si="55"/>
        <v>2566</v>
      </c>
      <c r="D255" s="62">
        <f t="shared" si="55"/>
        <v>2566</v>
      </c>
      <c r="E255" s="62">
        <f t="shared" si="55"/>
        <v>2566</v>
      </c>
      <c r="F255" s="62">
        <f t="shared" si="55"/>
        <v>2566</v>
      </c>
      <c r="G255" s="178">
        <f t="shared" si="55"/>
        <v>2566</v>
      </c>
      <c r="H255" s="62">
        <f t="shared" si="55"/>
        <v>2566</v>
      </c>
      <c r="I255" s="62">
        <f t="shared" si="55"/>
        <v>2566</v>
      </c>
      <c r="J255" s="62">
        <f t="shared" si="55"/>
        <v>2566</v>
      </c>
      <c r="K255" s="62">
        <f t="shared" si="55"/>
        <v>2566</v>
      </c>
      <c r="L255" s="62">
        <f t="shared" si="55"/>
        <v>2566</v>
      </c>
      <c r="M255" s="63">
        <f t="shared" si="55"/>
        <v>2566</v>
      </c>
      <c r="N255" s="64">
        <f t="shared" si="54"/>
        <v>30792</v>
      </c>
    </row>
    <row r="256" spans="1:14">
      <c r="A256" s="65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</row>
    <row r="257" spans="1:14">
      <c r="A257" s="65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7" t="s">
        <v>78</v>
      </c>
    </row>
    <row r="258" spans="1:14">
      <c r="A258" s="53" t="s">
        <v>79</v>
      </c>
      <c r="B258" s="54">
        <f t="shared" ref="B258:M258" si="56">SUM(B245*100/B255)</f>
        <v>0</v>
      </c>
      <c r="C258" s="54">
        <f t="shared" si="56"/>
        <v>0</v>
      </c>
      <c r="D258" s="54">
        <f t="shared" si="56"/>
        <v>0</v>
      </c>
      <c r="E258" s="54">
        <f t="shared" si="56"/>
        <v>0</v>
      </c>
      <c r="F258" s="54">
        <f t="shared" si="56"/>
        <v>0</v>
      </c>
      <c r="G258" s="54">
        <f t="shared" si="56"/>
        <v>0</v>
      </c>
      <c r="H258" s="54">
        <f t="shared" si="56"/>
        <v>0</v>
      </c>
      <c r="I258" s="54">
        <f t="shared" si="56"/>
        <v>0</v>
      </c>
      <c r="J258" s="54">
        <f t="shared" si="56"/>
        <v>0</v>
      </c>
      <c r="K258" s="54">
        <f t="shared" si="56"/>
        <v>0</v>
      </c>
      <c r="L258" s="54">
        <f t="shared" si="56"/>
        <v>0</v>
      </c>
      <c r="M258" s="54">
        <f t="shared" si="56"/>
        <v>0</v>
      </c>
      <c r="N258" s="68">
        <f>SUM(B258:M258)/12</f>
        <v>0</v>
      </c>
    </row>
    <row r="259" spans="1:14">
      <c r="A259" s="65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49"/>
    </row>
    <row r="260" spans="1:14">
      <c r="A260" s="53" t="s">
        <v>80</v>
      </c>
      <c r="B260" s="54">
        <f t="shared" ref="B260:M260" si="57">SUM(B249*100/B255)</f>
        <v>0</v>
      </c>
      <c r="C260" s="54">
        <f t="shared" si="57"/>
        <v>0</v>
      </c>
      <c r="D260" s="54">
        <f t="shared" si="57"/>
        <v>0</v>
      </c>
      <c r="E260" s="54">
        <f t="shared" si="57"/>
        <v>0</v>
      </c>
      <c r="F260" s="54">
        <f t="shared" si="57"/>
        <v>0</v>
      </c>
      <c r="G260" s="54">
        <f t="shared" si="57"/>
        <v>0</v>
      </c>
      <c r="H260" s="54">
        <f t="shared" si="57"/>
        <v>0</v>
      </c>
      <c r="I260" s="54">
        <f t="shared" si="57"/>
        <v>0</v>
      </c>
      <c r="J260" s="54">
        <f t="shared" si="57"/>
        <v>0</v>
      </c>
      <c r="K260" s="54">
        <f t="shared" si="57"/>
        <v>0</v>
      </c>
      <c r="L260" s="54">
        <f t="shared" si="57"/>
        <v>0</v>
      </c>
      <c r="M260" s="54">
        <f t="shared" si="57"/>
        <v>0</v>
      </c>
      <c r="N260" s="68">
        <f>SUM(B260:M260)/12</f>
        <v>0</v>
      </c>
    </row>
    <row r="261" spans="1:14">
      <c r="A261" s="69" t="s">
        <v>81</v>
      </c>
      <c r="B261" s="60">
        <f t="shared" ref="B261:M261" si="58">SUM(B250*100/B255)</f>
        <v>0</v>
      </c>
      <c r="C261" s="60">
        <f t="shared" si="58"/>
        <v>0</v>
      </c>
      <c r="D261" s="60">
        <f t="shared" si="58"/>
        <v>0</v>
      </c>
      <c r="E261" s="60">
        <f t="shared" si="58"/>
        <v>0</v>
      </c>
      <c r="F261" s="60">
        <f t="shared" si="58"/>
        <v>0</v>
      </c>
      <c r="G261" s="60">
        <f t="shared" si="58"/>
        <v>0</v>
      </c>
      <c r="H261" s="60">
        <f t="shared" si="58"/>
        <v>0</v>
      </c>
      <c r="I261" s="60">
        <f t="shared" si="58"/>
        <v>0</v>
      </c>
      <c r="J261" s="60">
        <f t="shared" si="58"/>
        <v>0</v>
      </c>
      <c r="K261" s="60">
        <f t="shared" si="58"/>
        <v>0</v>
      </c>
      <c r="L261" s="60">
        <f t="shared" si="58"/>
        <v>0</v>
      </c>
      <c r="M261" s="60">
        <f t="shared" si="58"/>
        <v>0</v>
      </c>
      <c r="N261" s="70">
        <f>SUM(B261:M261)/12</f>
        <v>0</v>
      </c>
    </row>
    <row r="262" spans="1:14">
      <c r="A262" s="71" t="s">
        <v>82</v>
      </c>
      <c r="B262" s="72">
        <f t="shared" ref="B262:M262" si="59">SUM(B260:B260)</f>
        <v>0</v>
      </c>
      <c r="C262" s="72">
        <f t="shared" si="59"/>
        <v>0</v>
      </c>
      <c r="D262" s="72">
        <f t="shared" si="59"/>
        <v>0</v>
      </c>
      <c r="E262" s="72">
        <f t="shared" si="59"/>
        <v>0</v>
      </c>
      <c r="F262" s="72">
        <f t="shared" si="59"/>
        <v>0</v>
      </c>
      <c r="G262" s="72">
        <f t="shared" si="59"/>
        <v>0</v>
      </c>
      <c r="H262" s="72">
        <f t="shared" si="59"/>
        <v>0</v>
      </c>
      <c r="I262" s="72">
        <f t="shared" si="59"/>
        <v>0</v>
      </c>
      <c r="J262" s="72">
        <f t="shared" si="59"/>
        <v>0</v>
      </c>
      <c r="K262" s="72">
        <f t="shared" si="59"/>
        <v>0</v>
      </c>
      <c r="L262" s="72">
        <f t="shared" si="59"/>
        <v>0</v>
      </c>
      <c r="M262" s="72">
        <f t="shared" si="59"/>
        <v>0</v>
      </c>
      <c r="N262" s="73">
        <f>SUM(N260:N261)</f>
        <v>0</v>
      </c>
    </row>
    <row r="263" spans="1:14">
      <c r="A263" s="65" t="s">
        <v>83</v>
      </c>
      <c r="B263" s="66"/>
      <c r="C263" s="66"/>
      <c r="D263" s="74">
        <f>SUM(B262:D262)/4</f>
        <v>0</v>
      </c>
      <c r="E263" s="66"/>
      <c r="F263" s="66"/>
      <c r="G263" s="74">
        <f>SUM(E262,F262,G262)/4</f>
        <v>0</v>
      </c>
      <c r="H263" s="66"/>
      <c r="I263" s="66"/>
      <c r="J263" s="74">
        <f>SUM(H262,I262,J262)/3</f>
        <v>0</v>
      </c>
      <c r="K263" s="66"/>
      <c r="L263" s="66"/>
      <c r="M263" s="74">
        <f>SUM(K262,L262,M262)/3</f>
        <v>0</v>
      </c>
      <c r="N263" s="75">
        <f>SUM(D263:M263)/4</f>
        <v>0</v>
      </c>
    </row>
    <row r="264" spans="1:14">
      <c r="A264" s="65" t="s">
        <v>84</v>
      </c>
      <c r="B264" s="66"/>
      <c r="C264" s="66"/>
      <c r="D264" s="76"/>
      <c r="E264" s="66"/>
      <c r="F264" s="66"/>
      <c r="G264" s="76"/>
      <c r="H264" s="66"/>
      <c r="I264" s="66"/>
      <c r="J264" s="76"/>
      <c r="K264" s="66"/>
      <c r="L264" s="66"/>
      <c r="M264" s="76"/>
      <c r="N264" s="68">
        <f>SUM(D264:G264,J264,M264)/4</f>
        <v>0</v>
      </c>
    </row>
    <row r="265" spans="1:14">
      <c r="A265" s="65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</row>
    <row r="266" spans="1:14">
      <c r="A266" s="53" t="s">
        <v>85</v>
      </c>
      <c r="B266" s="54">
        <f t="shared" ref="B266:M266" si="60">B253*100/B255</f>
        <v>0</v>
      </c>
      <c r="C266" s="54">
        <f t="shared" si="60"/>
        <v>0</v>
      </c>
      <c r="D266" s="54">
        <f t="shared" si="60"/>
        <v>0</v>
      </c>
      <c r="E266" s="54">
        <f t="shared" si="60"/>
        <v>0</v>
      </c>
      <c r="F266" s="54">
        <f t="shared" si="60"/>
        <v>0</v>
      </c>
      <c r="G266" s="54">
        <f t="shared" si="60"/>
        <v>0</v>
      </c>
      <c r="H266" s="54">
        <f t="shared" si="60"/>
        <v>0</v>
      </c>
      <c r="I266" s="54">
        <f t="shared" si="60"/>
        <v>0</v>
      </c>
      <c r="J266" s="54">
        <f t="shared" si="60"/>
        <v>0</v>
      </c>
      <c r="K266" s="54">
        <f t="shared" si="60"/>
        <v>0</v>
      </c>
      <c r="L266" s="54">
        <f t="shared" si="60"/>
        <v>0</v>
      </c>
      <c r="M266" s="54">
        <f t="shared" si="60"/>
        <v>0</v>
      </c>
      <c r="N266" s="68">
        <f>SUM(B266:M266)/12</f>
        <v>0</v>
      </c>
    </row>
    <row r="267" spans="1:14">
      <c r="A267" s="53" t="s">
        <v>86</v>
      </c>
      <c r="B267" s="54">
        <f t="shared" ref="B267:M267" si="61">B251*100/B255</f>
        <v>0</v>
      </c>
      <c r="C267" s="54">
        <f t="shared" si="61"/>
        <v>0</v>
      </c>
      <c r="D267" s="54">
        <f t="shared" si="61"/>
        <v>0</v>
      </c>
      <c r="E267" s="54">
        <f t="shared" si="61"/>
        <v>0</v>
      </c>
      <c r="F267" s="54">
        <f t="shared" si="61"/>
        <v>0</v>
      </c>
      <c r="G267" s="54">
        <f t="shared" si="61"/>
        <v>0</v>
      </c>
      <c r="H267" s="54">
        <f t="shared" si="61"/>
        <v>0</v>
      </c>
      <c r="I267" s="54">
        <f t="shared" si="61"/>
        <v>0</v>
      </c>
      <c r="J267" s="54">
        <f t="shared" si="61"/>
        <v>0</v>
      </c>
      <c r="K267" s="54">
        <f t="shared" si="61"/>
        <v>0</v>
      </c>
      <c r="L267" s="54">
        <f t="shared" si="61"/>
        <v>0</v>
      </c>
      <c r="M267" s="54">
        <f t="shared" si="61"/>
        <v>0</v>
      </c>
      <c r="N267" s="68">
        <f>SUM(B267:M267)/12</f>
        <v>0</v>
      </c>
    </row>
    <row r="268" spans="1:14">
      <c r="A268" s="53" t="s">
        <v>87</v>
      </c>
      <c r="B268" s="54">
        <f t="shared" ref="B268:M268" si="62">B247*100/B255</f>
        <v>0</v>
      </c>
      <c r="C268" s="54">
        <f t="shared" si="62"/>
        <v>0</v>
      </c>
      <c r="D268" s="54">
        <f t="shared" si="62"/>
        <v>0</v>
      </c>
      <c r="E268" s="54">
        <f t="shared" si="62"/>
        <v>0</v>
      </c>
      <c r="F268" s="54">
        <f t="shared" si="62"/>
        <v>0</v>
      </c>
      <c r="G268" s="54">
        <f t="shared" si="62"/>
        <v>0</v>
      </c>
      <c r="H268" s="54">
        <f t="shared" si="62"/>
        <v>0</v>
      </c>
      <c r="I268" s="54">
        <f t="shared" si="62"/>
        <v>0</v>
      </c>
      <c r="J268" s="54">
        <f t="shared" si="62"/>
        <v>0</v>
      </c>
      <c r="K268" s="54">
        <f t="shared" si="62"/>
        <v>0</v>
      </c>
      <c r="L268" s="54">
        <f t="shared" si="62"/>
        <v>0</v>
      </c>
      <c r="M268" s="54">
        <f t="shared" si="62"/>
        <v>0</v>
      </c>
      <c r="N268" s="68">
        <f>SUM(B268:M268)/12</f>
        <v>0</v>
      </c>
    </row>
    <row r="269" spans="1:14">
      <c r="A269" s="77" t="s">
        <v>88</v>
      </c>
      <c r="B269" s="78">
        <f t="shared" ref="B269:M269" si="63">SUM(B244-B255)*100/B255</f>
        <v>0</v>
      </c>
      <c r="C269" s="78">
        <f t="shared" si="63"/>
        <v>0</v>
      </c>
      <c r="D269" s="78">
        <f t="shared" si="63"/>
        <v>0</v>
      </c>
      <c r="E269" s="78">
        <f t="shared" si="63"/>
        <v>0</v>
      </c>
      <c r="F269" s="78">
        <f t="shared" si="63"/>
        <v>0</v>
      </c>
      <c r="G269" s="78">
        <f t="shared" si="63"/>
        <v>0</v>
      </c>
      <c r="H269" s="78">
        <f t="shared" si="63"/>
        <v>0</v>
      </c>
      <c r="I269" s="78">
        <f t="shared" si="63"/>
        <v>0</v>
      </c>
      <c r="J269" s="78">
        <f t="shared" si="63"/>
        <v>0</v>
      </c>
      <c r="K269" s="78">
        <f t="shared" si="63"/>
        <v>0</v>
      </c>
      <c r="L269" s="78">
        <f t="shared" si="63"/>
        <v>0</v>
      </c>
      <c r="M269" s="78">
        <f t="shared" si="63"/>
        <v>0</v>
      </c>
      <c r="N269" s="79">
        <f>SUM(B269:M269)/12</f>
        <v>0</v>
      </c>
    </row>
    <row r="270" spans="1:14">
      <c r="A270" s="65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49"/>
    </row>
    <row r="271" spans="1:14">
      <c r="A271" s="80" t="s">
        <v>89</v>
      </c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49"/>
    </row>
    <row r="272" spans="1:14">
      <c r="A272" s="53" t="s">
        <v>90</v>
      </c>
      <c r="B272" s="81">
        <v>15</v>
      </c>
      <c r="C272" s="81">
        <v>15</v>
      </c>
      <c r="D272" s="81">
        <v>15</v>
      </c>
      <c r="E272" s="81">
        <v>15</v>
      </c>
      <c r="F272" s="81">
        <v>16</v>
      </c>
      <c r="G272" s="81">
        <v>16</v>
      </c>
      <c r="H272" s="81">
        <v>16</v>
      </c>
      <c r="I272" s="81">
        <v>16</v>
      </c>
      <c r="J272" s="81">
        <f>I275</f>
        <v>16</v>
      </c>
      <c r="K272" s="81">
        <f>J275</f>
        <v>16</v>
      </c>
      <c r="L272" s="81">
        <f>K275</f>
        <v>16</v>
      </c>
      <c r="M272" s="81">
        <f>L275</f>
        <v>16</v>
      </c>
      <c r="N272" s="81">
        <f>M275</f>
        <v>16</v>
      </c>
    </row>
    <row r="273" spans="1:14">
      <c r="A273" s="53" t="s">
        <v>91</v>
      </c>
      <c r="B273" s="81"/>
      <c r="C273" s="81"/>
      <c r="D273" s="81"/>
      <c r="E273" s="81">
        <v>1</v>
      </c>
      <c r="F273" s="81"/>
      <c r="G273" s="81"/>
      <c r="H273" s="81"/>
      <c r="I273" s="81"/>
      <c r="J273" s="81"/>
      <c r="K273" s="81"/>
      <c r="L273" s="81"/>
      <c r="M273" s="81"/>
      <c r="N273" s="81">
        <f>SUM(B273:M273)/12</f>
        <v>8.3333333333333329E-2</v>
      </c>
    </row>
    <row r="274" spans="1:14">
      <c r="A274" s="53" t="s">
        <v>92</v>
      </c>
      <c r="B274" s="81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>
        <f>SUM(B273:M273)/12</f>
        <v>8.3333333333333329E-2</v>
      </c>
    </row>
    <row r="275" spans="1:14">
      <c r="A275" s="53" t="s">
        <v>89</v>
      </c>
      <c r="B275" s="81">
        <f t="shared" ref="B275:M275" si="64">SUM(B272+B273-B274)</f>
        <v>15</v>
      </c>
      <c r="C275" s="81">
        <f t="shared" si="64"/>
        <v>15</v>
      </c>
      <c r="D275" s="81">
        <f t="shared" si="64"/>
        <v>15</v>
      </c>
      <c r="E275" s="81">
        <f t="shared" si="64"/>
        <v>16</v>
      </c>
      <c r="F275" s="81">
        <f t="shared" si="64"/>
        <v>16</v>
      </c>
      <c r="G275" s="81">
        <f t="shared" si="64"/>
        <v>16</v>
      </c>
      <c r="H275" s="81">
        <f t="shared" si="64"/>
        <v>16</v>
      </c>
      <c r="I275" s="81">
        <f t="shared" si="64"/>
        <v>16</v>
      </c>
      <c r="J275" s="81">
        <f t="shared" si="64"/>
        <v>16</v>
      </c>
      <c r="K275" s="81">
        <f t="shared" si="64"/>
        <v>16</v>
      </c>
      <c r="L275" s="81">
        <f t="shared" si="64"/>
        <v>16</v>
      </c>
      <c r="M275" s="81">
        <f t="shared" si="64"/>
        <v>16</v>
      </c>
      <c r="N275" s="81">
        <f>SUM(B274:M274)/12</f>
        <v>0</v>
      </c>
    </row>
    <row r="276" spans="1:14">
      <c r="A276" s="53" t="s">
        <v>93</v>
      </c>
      <c r="B276" s="82">
        <f t="shared" ref="B276:M276" si="65">SUM(B275*100)/B272-100</f>
        <v>0</v>
      </c>
      <c r="C276" s="82">
        <f t="shared" si="65"/>
        <v>0</v>
      </c>
      <c r="D276" s="82">
        <f t="shared" si="65"/>
        <v>0</v>
      </c>
      <c r="E276" s="82">
        <f t="shared" si="65"/>
        <v>6.6666666666666714</v>
      </c>
      <c r="F276" s="82">
        <f t="shared" si="65"/>
        <v>0</v>
      </c>
      <c r="G276" s="82">
        <f t="shared" si="65"/>
        <v>0</v>
      </c>
      <c r="H276" s="82">
        <f t="shared" si="65"/>
        <v>0</v>
      </c>
      <c r="I276" s="82">
        <f t="shared" si="65"/>
        <v>0</v>
      </c>
      <c r="J276" s="82">
        <f t="shared" si="65"/>
        <v>0</v>
      </c>
      <c r="K276" s="82">
        <f t="shared" si="65"/>
        <v>0</v>
      </c>
      <c r="L276" s="82">
        <f t="shared" si="65"/>
        <v>0</v>
      </c>
      <c r="M276" s="82">
        <f t="shared" si="65"/>
        <v>0</v>
      </c>
      <c r="N276" s="81"/>
    </row>
    <row r="277" spans="1:14">
      <c r="A277" s="65" t="s">
        <v>94</v>
      </c>
      <c r="B277" s="83"/>
      <c r="C277" s="83"/>
      <c r="D277" s="84">
        <f>SUM(B276:D276/3)</f>
        <v>0</v>
      </c>
      <c r="E277" s="83"/>
      <c r="F277" s="83"/>
      <c r="G277" s="84">
        <f>SUM(E276:G276)/3</f>
        <v>2.2222222222222237</v>
      </c>
      <c r="H277" s="83"/>
      <c r="I277" s="83"/>
      <c r="J277" s="84">
        <f>SUM(H276:J276)/3</f>
        <v>0</v>
      </c>
      <c r="K277" s="83"/>
      <c r="L277" s="83"/>
      <c r="M277" s="84">
        <f>SUM(K276:M276)/3</f>
        <v>0</v>
      </c>
      <c r="N277" s="83"/>
    </row>
    <row r="278" spans="1:14">
      <c r="A278" s="193"/>
      <c r="B278" s="194"/>
      <c r="C278" s="194"/>
      <c r="D278" s="194"/>
      <c r="E278" s="194"/>
      <c r="F278" s="194"/>
      <c r="G278" s="194"/>
      <c r="H278" s="194"/>
      <c r="I278" s="194"/>
      <c r="J278" s="194"/>
      <c r="K278" s="194"/>
      <c r="L278" s="194"/>
      <c r="M278" s="194"/>
      <c r="N278" s="195"/>
    </row>
    <row r="279" spans="1:14">
      <c r="A279" s="65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49"/>
    </row>
    <row r="280" spans="1:14" ht="15.75">
      <c r="A280" s="219" t="s">
        <v>296</v>
      </c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</row>
    <row r="281" spans="1:14" ht="15.75">
      <c r="E281" s="24"/>
      <c r="M281" s="66"/>
      <c r="N281" s="49"/>
    </row>
    <row r="282" spans="1:14">
      <c r="A282" s="197" t="s">
        <v>185</v>
      </c>
      <c r="B282" s="19"/>
      <c r="C282" s="198"/>
      <c r="D282" s="9" t="s">
        <v>186</v>
      </c>
      <c r="G282" s="1"/>
      <c r="K282" s="1"/>
      <c r="M282" s="66"/>
      <c r="N282" s="49"/>
    </row>
    <row r="283" spans="1:14">
      <c r="A283" s="199"/>
      <c r="B283" s="200"/>
      <c r="C283" s="201"/>
      <c r="D283" s="101"/>
      <c r="E283" s="48"/>
      <c r="G283" s="7"/>
      <c r="H283" s="7"/>
      <c r="I283" s="7"/>
      <c r="J283" s="7"/>
      <c r="K283" s="7"/>
      <c r="M283" s="66"/>
      <c r="N283" s="49"/>
    </row>
    <row r="284" spans="1:14">
      <c r="A284" s="13"/>
      <c r="C284" s="207"/>
      <c r="D284" s="101"/>
      <c r="E284" s="48"/>
      <c r="H284" s="220"/>
      <c r="K284" s="48"/>
      <c r="L284" s="113"/>
      <c r="M284" s="66"/>
      <c r="N284" s="49"/>
    </row>
    <row r="285" spans="1:14">
      <c r="A285" s="18" t="s">
        <v>167</v>
      </c>
      <c r="B285" s="105"/>
      <c r="C285" s="208"/>
      <c r="D285" s="106">
        <f>SUM(D283:D284)</f>
        <v>0</v>
      </c>
      <c r="E285" s="48"/>
      <c r="H285" s="220"/>
      <c r="K285" s="48"/>
      <c r="L285" s="113"/>
      <c r="M285" s="66"/>
      <c r="N285" s="49"/>
    </row>
    <row r="286" spans="1:14">
      <c r="A286" s="2" t="s">
        <v>168</v>
      </c>
      <c r="B286" s="5"/>
      <c r="C286" s="209"/>
      <c r="D286" s="206">
        <f>D285/12</f>
        <v>0</v>
      </c>
      <c r="E286" s="48"/>
      <c r="K286" s="107"/>
      <c r="L286" s="113"/>
      <c r="M286" s="66"/>
      <c r="N286" s="49"/>
    </row>
    <row r="287" spans="1:14">
      <c r="C287" s="210"/>
      <c r="E287" s="48"/>
      <c r="J287" s="210"/>
      <c r="K287" s="107"/>
      <c r="L287" s="110"/>
      <c r="M287" s="66"/>
      <c r="N287" s="49"/>
    </row>
    <row r="288" spans="1:14">
      <c r="A288" s="80" t="s">
        <v>113</v>
      </c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49"/>
    </row>
    <row r="289" spans="1:14">
      <c r="A289" s="152"/>
      <c r="B289" s="54" t="s">
        <v>44</v>
      </c>
      <c r="C289" s="54" t="s">
        <v>45</v>
      </c>
      <c r="D289" s="54" t="s">
        <v>46</v>
      </c>
      <c r="E289" s="54" t="s">
        <v>47</v>
      </c>
      <c r="F289" s="54" t="s">
        <v>48</v>
      </c>
      <c r="G289" s="54" t="s">
        <v>49</v>
      </c>
      <c r="H289" s="54" t="s">
        <v>38</v>
      </c>
      <c r="I289" s="54" t="s">
        <v>39</v>
      </c>
      <c r="J289" s="54" t="s">
        <v>40</v>
      </c>
      <c r="K289" s="54" t="s">
        <v>41</v>
      </c>
      <c r="L289" s="54" t="s">
        <v>42</v>
      </c>
      <c r="M289" s="54" t="s">
        <v>43</v>
      </c>
      <c r="N289" s="50"/>
    </row>
    <row r="290" spans="1:14">
      <c r="A290" s="53" t="s">
        <v>115</v>
      </c>
      <c r="B290" s="153">
        <f t="shared" ref="B290:M290" si="66">$D$286</f>
        <v>0</v>
      </c>
      <c r="C290" s="153">
        <f t="shared" si="66"/>
        <v>0</v>
      </c>
      <c r="D290" s="153">
        <f t="shared" si="66"/>
        <v>0</v>
      </c>
      <c r="E290" s="153">
        <f t="shared" si="66"/>
        <v>0</v>
      </c>
      <c r="F290" s="153">
        <f t="shared" si="66"/>
        <v>0</v>
      </c>
      <c r="G290" s="153">
        <f t="shared" si="66"/>
        <v>0</v>
      </c>
      <c r="H290" s="153">
        <f t="shared" si="66"/>
        <v>0</v>
      </c>
      <c r="I290" s="153">
        <f t="shared" si="66"/>
        <v>0</v>
      </c>
      <c r="J290" s="153">
        <f t="shared" si="66"/>
        <v>0</v>
      </c>
      <c r="K290" s="153">
        <f t="shared" si="66"/>
        <v>0</v>
      </c>
      <c r="L290" s="153">
        <f t="shared" si="66"/>
        <v>0</v>
      </c>
      <c r="M290" s="153">
        <f t="shared" si="66"/>
        <v>0</v>
      </c>
      <c r="N290" s="153">
        <f t="shared" ref="N290:N296" si="67">SUM(B290:M290)</f>
        <v>0</v>
      </c>
    </row>
    <row r="291" spans="1:14">
      <c r="A291" s="53" t="s">
        <v>208</v>
      </c>
      <c r="B291" s="153">
        <v>0</v>
      </c>
      <c r="C291" s="153">
        <v>0</v>
      </c>
      <c r="D291" s="153"/>
      <c r="E291" s="153"/>
      <c r="F291" s="153"/>
      <c r="G291" s="181"/>
      <c r="H291" s="153"/>
      <c r="I291" s="153"/>
      <c r="J291" s="153"/>
      <c r="K291" s="153"/>
      <c r="L291" s="153"/>
      <c r="M291" s="153"/>
      <c r="N291" s="153">
        <f t="shared" si="67"/>
        <v>0</v>
      </c>
    </row>
    <row r="292" spans="1:14">
      <c r="A292" s="157" t="s">
        <v>169</v>
      </c>
      <c r="B292" s="211">
        <f t="shared" ref="B292:M292" si="68">SUM(B290,B291)</f>
        <v>0</v>
      </c>
      <c r="C292" s="211">
        <f t="shared" si="68"/>
        <v>0</v>
      </c>
      <c r="D292" s="211">
        <f t="shared" si="68"/>
        <v>0</v>
      </c>
      <c r="E292" s="211">
        <f t="shared" si="68"/>
        <v>0</v>
      </c>
      <c r="F292" s="211">
        <f t="shared" si="68"/>
        <v>0</v>
      </c>
      <c r="G292" s="211">
        <f t="shared" si="68"/>
        <v>0</v>
      </c>
      <c r="H292" s="211">
        <f t="shared" si="68"/>
        <v>0</v>
      </c>
      <c r="I292" s="211">
        <f t="shared" si="68"/>
        <v>0</v>
      </c>
      <c r="J292" s="211">
        <f t="shared" si="68"/>
        <v>0</v>
      </c>
      <c r="K292" s="211">
        <f t="shared" si="68"/>
        <v>0</v>
      </c>
      <c r="L292" s="211">
        <f t="shared" si="68"/>
        <v>0</v>
      </c>
      <c r="M292" s="211">
        <f t="shared" si="68"/>
        <v>0</v>
      </c>
      <c r="N292" s="212">
        <f t="shared" si="67"/>
        <v>0</v>
      </c>
    </row>
    <row r="293" spans="1:14">
      <c r="A293" s="50" t="s">
        <v>209</v>
      </c>
      <c r="B293" s="154">
        <v>0</v>
      </c>
      <c r="C293" s="154">
        <v>0</v>
      </c>
      <c r="D293" s="154">
        <v>0</v>
      </c>
      <c r="E293" s="154">
        <v>0</v>
      </c>
      <c r="F293" s="154">
        <v>0</v>
      </c>
      <c r="G293" s="154"/>
      <c r="H293" s="154"/>
      <c r="I293" s="154"/>
      <c r="J293" s="154"/>
      <c r="K293" s="154"/>
      <c r="L293" s="154"/>
      <c r="M293" s="154"/>
      <c r="N293" s="154">
        <f t="shared" si="67"/>
        <v>0</v>
      </c>
    </row>
    <row r="294" spans="1:14">
      <c r="A294" s="173" t="s">
        <v>210</v>
      </c>
      <c r="B294" s="154">
        <v>10000</v>
      </c>
      <c r="C294" s="154">
        <v>40000</v>
      </c>
      <c r="D294" s="154">
        <v>10000</v>
      </c>
      <c r="E294" s="154">
        <v>0</v>
      </c>
      <c r="F294" s="154">
        <v>10000</v>
      </c>
      <c r="G294" s="154">
        <v>30000</v>
      </c>
      <c r="H294" s="154">
        <v>10000</v>
      </c>
      <c r="I294" s="154"/>
      <c r="J294" s="154"/>
      <c r="K294" s="154"/>
      <c r="L294" s="154"/>
      <c r="M294" s="154"/>
      <c r="N294" s="154">
        <f t="shared" si="67"/>
        <v>110000</v>
      </c>
    </row>
    <row r="295" spans="1:14">
      <c r="A295" s="173" t="s">
        <v>211</v>
      </c>
      <c r="B295" s="154">
        <v>68850</v>
      </c>
      <c r="C295" s="154">
        <v>65600</v>
      </c>
      <c r="D295" s="154">
        <v>39600</v>
      </c>
      <c r="E295" s="154">
        <v>23175</v>
      </c>
      <c r="F295" s="154">
        <v>32100</v>
      </c>
      <c r="G295" s="154">
        <v>3450</v>
      </c>
      <c r="H295" s="154">
        <v>12600</v>
      </c>
      <c r="I295" s="154">
        <v>28975</v>
      </c>
      <c r="J295" s="154"/>
      <c r="K295" s="154">
        <v>125665</v>
      </c>
      <c r="L295" s="154"/>
      <c r="M295" s="154"/>
      <c r="N295" s="154">
        <f t="shared" si="67"/>
        <v>400015</v>
      </c>
    </row>
    <row r="296" spans="1:14">
      <c r="A296" s="164" t="s">
        <v>208</v>
      </c>
      <c r="B296" s="165">
        <v>108333</v>
      </c>
      <c r="C296" s="165">
        <v>108333</v>
      </c>
      <c r="D296" s="165">
        <v>108333</v>
      </c>
      <c r="E296" s="165">
        <v>108333</v>
      </c>
      <c r="F296" s="165">
        <v>108333</v>
      </c>
      <c r="G296" s="165">
        <v>108333</v>
      </c>
      <c r="H296" s="165">
        <v>108333</v>
      </c>
      <c r="I296" s="165">
        <v>108333</v>
      </c>
      <c r="J296" s="165">
        <v>108333</v>
      </c>
      <c r="K296" s="165">
        <v>108333</v>
      </c>
      <c r="L296" s="165">
        <v>108333</v>
      </c>
      <c r="M296" s="165">
        <v>108333</v>
      </c>
      <c r="N296" s="154">
        <f t="shared" si="67"/>
        <v>1299996</v>
      </c>
    </row>
    <row r="297" spans="1:14">
      <c r="A297" s="182" t="s">
        <v>126</v>
      </c>
      <c r="B297" s="183">
        <f t="shared" ref="B297:N297" si="69">SUM(B293:B296)</f>
        <v>187183</v>
      </c>
      <c r="C297" s="183">
        <f t="shared" si="69"/>
        <v>213933</v>
      </c>
      <c r="D297" s="183">
        <f t="shared" si="69"/>
        <v>157933</v>
      </c>
      <c r="E297" s="183">
        <f t="shared" si="69"/>
        <v>131508</v>
      </c>
      <c r="F297" s="183">
        <f t="shared" si="69"/>
        <v>150433</v>
      </c>
      <c r="G297" s="183">
        <f t="shared" si="69"/>
        <v>141783</v>
      </c>
      <c r="H297" s="183">
        <f t="shared" si="69"/>
        <v>130933</v>
      </c>
      <c r="I297" s="183">
        <f t="shared" si="69"/>
        <v>137308</v>
      </c>
      <c r="J297" s="183">
        <f t="shared" si="69"/>
        <v>108333</v>
      </c>
      <c r="K297" s="183">
        <f t="shared" si="69"/>
        <v>233998</v>
      </c>
      <c r="L297" s="183">
        <f t="shared" si="69"/>
        <v>108333</v>
      </c>
      <c r="M297" s="183">
        <f t="shared" si="69"/>
        <v>108333</v>
      </c>
      <c r="N297" s="183">
        <f t="shared" si="69"/>
        <v>1810011</v>
      </c>
    </row>
    <row r="298" spans="1:14">
      <c r="A298" s="50" t="s">
        <v>127</v>
      </c>
      <c r="B298" s="156"/>
      <c r="C298" s="156"/>
      <c r="D298" s="156"/>
      <c r="E298" s="156"/>
      <c r="F298" s="156"/>
      <c r="G298" s="214"/>
      <c r="H298" s="156"/>
      <c r="I298" s="156"/>
      <c r="J298" s="156"/>
      <c r="K298" s="156"/>
      <c r="L298" s="156"/>
      <c r="M298" s="156"/>
      <c r="N298" s="156">
        <f>SUM(B298:M298)</f>
        <v>0</v>
      </c>
    </row>
    <row r="299" spans="1:14">
      <c r="A299" s="185" t="s">
        <v>129</v>
      </c>
      <c r="B299" s="221">
        <f t="shared" ref="B299:N299" si="70">SUM(B292,B297,B298)</f>
        <v>187183</v>
      </c>
      <c r="C299" s="221">
        <f t="shared" si="70"/>
        <v>213933</v>
      </c>
      <c r="D299" s="221">
        <f t="shared" si="70"/>
        <v>157933</v>
      </c>
      <c r="E299" s="221">
        <f t="shared" si="70"/>
        <v>131508</v>
      </c>
      <c r="F299" s="221">
        <f t="shared" si="70"/>
        <v>150433</v>
      </c>
      <c r="G299" s="221">
        <f t="shared" si="70"/>
        <v>141783</v>
      </c>
      <c r="H299" s="221">
        <f t="shared" si="70"/>
        <v>130933</v>
      </c>
      <c r="I299" s="221">
        <f t="shared" si="70"/>
        <v>137308</v>
      </c>
      <c r="J299" s="221">
        <f t="shared" si="70"/>
        <v>108333</v>
      </c>
      <c r="K299" s="221">
        <f t="shared" si="70"/>
        <v>233998</v>
      </c>
      <c r="L299" s="221">
        <f t="shared" si="70"/>
        <v>108333</v>
      </c>
      <c r="M299" s="221">
        <f t="shared" si="70"/>
        <v>108333</v>
      </c>
      <c r="N299" s="221">
        <f t="shared" si="70"/>
        <v>1810011</v>
      </c>
    </row>
    <row r="300" spans="1:14">
      <c r="A300" s="216" t="s">
        <v>131</v>
      </c>
      <c r="B300" s="156">
        <v>625100</v>
      </c>
      <c r="C300" s="156">
        <v>625100</v>
      </c>
      <c r="D300" s="156">
        <v>625100</v>
      </c>
      <c r="E300" s="156">
        <v>625100</v>
      </c>
      <c r="F300" s="156">
        <v>625100</v>
      </c>
      <c r="G300" s="156">
        <v>625100</v>
      </c>
      <c r="H300" s="156">
        <v>625100</v>
      </c>
      <c r="I300" s="156">
        <v>625100</v>
      </c>
      <c r="J300" s="156">
        <v>625100</v>
      </c>
      <c r="K300" s="156">
        <v>625100</v>
      </c>
      <c r="L300" s="156">
        <v>625100</v>
      </c>
      <c r="M300" s="156">
        <v>625100</v>
      </c>
      <c r="N300" s="156">
        <f>SUM(B300:M300)</f>
        <v>7501200</v>
      </c>
    </row>
    <row r="301" spans="1:14">
      <c r="A301" s="50" t="s">
        <v>130</v>
      </c>
      <c r="B301" s="50">
        <v>8000</v>
      </c>
      <c r="C301" s="50">
        <v>8000</v>
      </c>
      <c r="D301" s="50">
        <v>8000</v>
      </c>
      <c r="E301" s="50">
        <v>8000</v>
      </c>
      <c r="F301" s="50">
        <v>8000</v>
      </c>
      <c r="G301" s="50">
        <v>8000</v>
      </c>
      <c r="H301" s="50">
        <v>8000</v>
      </c>
      <c r="I301" s="50">
        <v>8000</v>
      </c>
      <c r="J301" s="50">
        <v>8000</v>
      </c>
      <c r="K301" s="50">
        <v>8000</v>
      </c>
      <c r="L301" s="50">
        <v>8000</v>
      </c>
      <c r="M301" s="50">
        <v>8000</v>
      </c>
      <c r="N301" s="156">
        <f>SUM(B301:M301)</f>
        <v>96000</v>
      </c>
    </row>
    <row r="302" spans="1:14">
      <c r="A302" s="189" t="s">
        <v>146</v>
      </c>
      <c r="B302" s="190">
        <f t="shared" ref="B302:N302" si="71">SUM(B299-B300-B301)</f>
        <v>-445917</v>
      </c>
      <c r="C302" s="190">
        <f t="shared" si="71"/>
        <v>-419167</v>
      </c>
      <c r="D302" s="190">
        <f t="shared" si="71"/>
        <v>-475167</v>
      </c>
      <c r="E302" s="190">
        <f t="shared" si="71"/>
        <v>-501592</v>
      </c>
      <c r="F302" s="190">
        <f t="shared" si="71"/>
        <v>-482667</v>
      </c>
      <c r="G302" s="190">
        <f t="shared" si="71"/>
        <v>-491317</v>
      </c>
      <c r="H302" s="190">
        <f t="shared" si="71"/>
        <v>-502167</v>
      </c>
      <c r="I302" s="190">
        <f t="shared" si="71"/>
        <v>-495792</v>
      </c>
      <c r="J302" s="190">
        <f t="shared" si="71"/>
        <v>-524767</v>
      </c>
      <c r="K302" s="190">
        <f t="shared" si="71"/>
        <v>-399102</v>
      </c>
      <c r="L302" s="190">
        <f t="shared" si="71"/>
        <v>-524767</v>
      </c>
      <c r="M302" s="190">
        <f t="shared" si="71"/>
        <v>-524767</v>
      </c>
      <c r="N302" s="190">
        <f t="shared" si="71"/>
        <v>-5787189</v>
      </c>
    </row>
    <row r="303" spans="1:14">
      <c r="A303" s="222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</row>
    <row r="305" spans="1:14">
      <c r="A305" s="216" t="s">
        <v>401</v>
      </c>
      <c r="B305" s="54" t="s">
        <v>39</v>
      </c>
      <c r="C305" s="54" t="s">
        <v>40</v>
      </c>
      <c r="D305" s="54" t="s">
        <v>41</v>
      </c>
      <c r="E305" s="54" t="s">
        <v>42</v>
      </c>
      <c r="F305" s="54" t="s">
        <v>43</v>
      </c>
      <c r="G305" s="54" t="s">
        <v>44</v>
      </c>
      <c r="H305" s="54" t="s">
        <v>45</v>
      </c>
      <c r="I305" s="54" t="s">
        <v>46</v>
      </c>
      <c r="J305" s="54" t="s">
        <v>47</v>
      </c>
      <c r="K305" s="54" t="s">
        <v>48</v>
      </c>
      <c r="L305" s="54" t="s">
        <v>49</v>
      </c>
      <c r="M305" s="54" t="s">
        <v>38</v>
      </c>
      <c r="N305" s="223"/>
    </row>
    <row r="306" spans="1:14">
      <c r="A306" s="9" t="s">
        <v>402</v>
      </c>
      <c r="B306" s="9">
        <v>60</v>
      </c>
      <c r="C306" s="9"/>
      <c r="D306" s="9">
        <v>17</v>
      </c>
      <c r="E306" s="9"/>
      <c r="F306" s="9"/>
      <c r="G306" s="9"/>
      <c r="H306" s="9"/>
      <c r="I306" s="9"/>
      <c r="J306" s="9"/>
      <c r="K306" s="9"/>
      <c r="L306" s="9"/>
      <c r="M306" s="9"/>
    </row>
    <row r="307" spans="1:14">
      <c r="A307" s="9" t="s">
        <v>213</v>
      </c>
      <c r="B307" s="9">
        <v>1616</v>
      </c>
      <c r="C307" s="9"/>
      <c r="D307" s="9">
        <v>217</v>
      </c>
      <c r="E307" s="9"/>
      <c r="F307" s="9"/>
      <c r="G307" s="9"/>
      <c r="H307" s="9"/>
      <c r="I307" s="9"/>
      <c r="J307" s="9"/>
      <c r="K307" s="9"/>
      <c r="L307" s="9"/>
      <c r="M307" s="9"/>
    </row>
    <row r="308" spans="1:14">
      <c r="A308" s="9" t="s">
        <v>403</v>
      </c>
      <c r="B308" s="9">
        <v>11</v>
      </c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</row>
    <row r="309" spans="1:14">
      <c r="A309" s="9" t="s">
        <v>213</v>
      </c>
      <c r="B309" s="9">
        <v>520</v>
      </c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</row>
    <row r="310" spans="1:14">
      <c r="A310" s="224" t="s">
        <v>404</v>
      </c>
      <c r="B310" s="225"/>
      <c r="C310" s="225"/>
      <c r="D310" s="225"/>
      <c r="E310" s="225"/>
      <c r="F310" s="225"/>
      <c r="G310" s="225"/>
      <c r="H310" s="225"/>
      <c r="I310" s="225"/>
      <c r="J310" s="225"/>
      <c r="K310" s="225"/>
      <c r="L310" s="225"/>
      <c r="M310" s="225"/>
    </row>
  </sheetData>
  <sheetProtection selectLockedCells="1" selectUnlockedCells="1"/>
  <mergeCells count="6">
    <mergeCell ref="A170:N170"/>
    <mergeCell ref="A241:N241"/>
    <mergeCell ref="A1:N1"/>
    <mergeCell ref="A56:N56"/>
    <mergeCell ref="I60:M60"/>
    <mergeCell ref="A114:N114"/>
  </mergeCells>
  <phoneticPr fontId="7" type="noConversion"/>
  <pageMargins left="0.19652777777777777" right="0" top="0.19652777777777777" bottom="0.19652777777777777" header="0.51180555555555551" footer="0.51180555555555551"/>
  <pageSetup paperSize="9" scale="80" firstPageNumber="0" orientation="landscape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MigreringsDokument" ma:contentTypeID="0x010100B015E2879F2C3E49A84E4FBA662FB26A0046F37DEC036D284BBEE537A85881DFA0" ma:contentTypeVersion="8" ma:contentTypeDescription="" ma:contentTypeScope="" ma:versionID="2c19f7360b8a127bccb9c12ade7f4621">
  <xsd:schema xmlns:xsd="http://www.w3.org/2001/XMLSchema" xmlns:xs="http://www.w3.org/2001/XMLSchema" xmlns:p="http://schemas.microsoft.com/office/2006/metadata/properties" xmlns:ns2="0dd46b0f-e2c7-4a31-a61e-54a1e81a6d74" targetNamespace="http://schemas.microsoft.com/office/2006/metadata/properties" ma:root="true" ma:fieldsID="4eaf310343b151066877b22298a5b75c" ns2:_="">
    <xsd:import namespace="0dd46b0f-e2c7-4a31-a61e-54a1e81a6d74"/>
    <xsd:element name="properties">
      <xsd:complexType>
        <xsd:sequence>
          <xsd:element name="documentManagement">
            <xsd:complexType>
              <xsd:all>
                <xsd:element ref="ns2:MigrationPath" minOccurs="0"/>
                <xsd:element ref="ns2:MigrationDirectoryID" minOccurs="0"/>
                <xsd:element ref="ns2:MigrationOriginalDate" minOccurs="0"/>
                <xsd:element ref="ns2:j2c2601e249f4d2993f2fcc4fe83f7c1" minOccurs="0"/>
                <xsd:element ref="ns2:TaxCatchAll" minOccurs="0"/>
                <xsd:element ref="ns2:TaxCatchAllLabe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d46b0f-e2c7-4a31-a61e-54a1e81a6d74" elementFormDefault="qualified">
    <xsd:import namespace="http://schemas.microsoft.com/office/2006/documentManagement/types"/>
    <xsd:import namespace="http://schemas.microsoft.com/office/infopath/2007/PartnerControls"/>
    <xsd:element name="MigrationPath" ma:index="8" nillable="true" ma:displayName="Migreringssti" ma:internalName="MigrationPath" ma:readOnly="false">
      <xsd:simpleType>
        <xsd:restriction base="dms:Text">
          <xsd:maxLength value="255"/>
        </xsd:restriction>
      </xsd:simpleType>
    </xsd:element>
    <xsd:element name="MigrationDirectoryID" ma:index="9" nillable="true" ma:displayName="MigreringsFolderId" ma:internalName="MigrationDirectoryID" ma:readOnly="false">
      <xsd:simpleType>
        <xsd:restriction base="dms:Text">
          <xsd:maxLength value="255"/>
        </xsd:restriction>
      </xsd:simpleType>
    </xsd:element>
    <xsd:element name="MigrationOriginalDate" ma:index="10" nillable="true" ma:displayName="Original dato" ma:description="The modified date from the file system" ma:format="DateTime" ma:internalName="MigrationOriginalDate">
      <xsd:simpleType>
        <xsd:restriction base="dms:DateTime"/>
      </xsd:simpleType>
    </xsd:element>
    <xsd:element name="j2c2601e249f4d2993f2fcc4fe83f7c1" ma:index="11" nillable="true" ma:taxonomy="true" ma:internalName="j2c2601e249f4d2993f2fcc4fe83f7c1" ma:taxonomyFieldName="Sensitivity" ma:displayName="Sensitivity" ma:default="" ma:fieldId="{32c2601e-249f-4d29-93f2-fcc4fe83f7c1}" ma:sspId="e6a412d2-aea5-45d9-add9-4615ec186553" ma:termSetId="2400aab3-62fb-4893-836f-46f56c17e615" ma:anchorId="a96bf159-1ff9-48c6-9318-7ab65633f375" ma:open="false" ma:isKeyword="fals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1adb61e6-50f3-4f94-b9a9-c9b4ea046575}" ma:internalName="TaxCatchAll" ma:showField="CatchAllData" ma:web="45c24c4d-4de2-4a11-996b-ad1b02b5a53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1adb61e6-50f3-4f94-b9a9-c9b4ea046575}" ma:internalName="TaxCatchAllLabel" ma:readOnly="true" ma:showField="CatchAllDataLabel" ma:web="45c24c4d-4de2-4a11-996b-ad1b02b5a53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haredContentType xmlns="Microsoft.SharePoint.Taxonomy.ContentTypeSync" SourceId="e6a412d2-aea5-45d9-add9-4615ec186553" ContentTypeId="0x010100B015E2879F2C3E49A84E4FBA662FB26A" PreviousValue="false"/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Path xmlns="0dd46b0f-e2c7-4a31-a61e-54a1e81a6d74">\\kk-dfs.kk.dk\of$\KEjd\SERVICE &amp; KUNDER\RÅDHUSSERVICE\Betjent\_Rådhusvagten\Vagtplaner\Regnskab og statistik\Regnskab og statistik.xlsm</MigrationPath>
    <MigrationDirectoryID xmlns="0dd46b0f-e2c7-4a31-a61e-54a1e81a6d74">289E91100522A75D9F6586E830F8915B25E913B8</MigrationDirectoryID>
    <MigrationOriginalDate xmlns="0dd46b0f-e2c7-4a31-a61e-54a1e81a6d74" xsi:nil="true"/>
    <TaxCatchAll xmlns="0dd46b0f-e2c7-4a31-a61e-54a1e81a6d74"/>
    <j2c2601e249f4d2993f2fcc4fe83f7c1 xmlns="0dd46b0f-e2c7-4a31-a61e-54a1e81a6d74">
      <Terms xmlns="http://schemas.microsoft.com/office/infopath/2007/PartnerControls"/>
    </j2c2601e249f4d2993f2fcc4fe83f7c1>
  </documentManagement>
</p:properties>
</file>

<file path=customXml/itemProps1.xml><?xml version="1.0" encoding="utf-8"?>
<ds:datastoreItem xmlns:ds="http://schemas.openxmlformats.org/officeDocument/2006/customXml" ds:itemID="{315728A9-CE6F-4405-9D38-1841440718D2}"/>
</file>

<file path=customXml/itemProps2.xml><?xml version="1.0" encoding="utf-8"?>
<ds:datastoreItem xmlns:ds="http://schemas.openxmlformats.org/officeDocument/2006/customXml" ds:itemID="{34ADB7CA-841B-40C5-B317-1A7C56E6D84B}"/>
</file>

<file path=customXml/itemProps3.xml><?xml version="1.0" encoding="utf-8"?>
<ds:datastoreItem xmlns:ds="http://schemas.openxmlformats.org/officeDocument/2006/customXml" ds:itemID="{552B71F6-C98B-4799-AFFC-DBB374F9D6F8}"/>
</file>

<file path=customXml/itemProps4.xml><?xml version="1.0" encoding="utf-8"?>
<ds:datastoreItem xmlns:ds="http://schemas.openxmlformats.org/officeDocument/2006/customXml" ds:itemID="{C23BAD10-E518-4CD0-91B3-2C4C503C4E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Thomas Holm</cp:lastModifiedBy>
  <cp:revision>11</cp:revision>
  <dcterms:created xsi:type="dcterms:W3CDTF">2000-02-23T09:56:36Z</dcterms:created>
  <dcterms:modified xsi:type="dcterms:W3CDTF">2018-09-14T10:32:48Z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0x010100B015E2879F2C3E49A84E4FBA662FB26A0046F37DEC036D284BBEE537A85881DFA0</vt:lpwstr>
  </property>
  <property fmtid="{D5CDD505-2E9C-101B-9397-08002B2CF9AE}" pid="12" name="Order">
    <vt:r8>100</vt:r8>
  </property>
  <property fmtid="{D5CDD505-2E9C-101B-9397-08002B2CF9AE}" pid="13" name="Sensitivity">
    <vt:lpwstr/>
  </property>
</Properties>
</file>