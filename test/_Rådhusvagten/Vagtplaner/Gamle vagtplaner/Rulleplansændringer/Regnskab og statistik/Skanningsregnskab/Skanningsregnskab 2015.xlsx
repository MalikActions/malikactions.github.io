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Regnskab" sheetId="1" r:id="rId1"/>
    <sheet name="Opkrævning" sheetId="2" r:id="rId2"/>
    <sheet name="Ark3" sheetId="3" r:id="rId3"/>
  </sheets>
  <calcPr calcId="125725"/>
</workbook>
</file>

<file path=xl/calcChain.xml><?xml version="1.0" encoding="utf-8"?>
<calcChain xmlns="http://schemas.openxmlformats.org/spreadsheetml/2006/main">
  <c r="G9" i="2"/>
  <c r="E17"/>
  <c r="F17"/>
  <c r="G17"/>
  <c r="G10" l="1"/>
  <c r="G16"/>
  <c r="G14"/>
  <c r="G12"/>
  <c r="G7"/>
  <c r="G6"/>
  <c r="G4"/>
  <c r="G2"/>
  <c r="D12" i="1"/>
  <c r="F27"/>
  <c r="B27"/>
  <c r="D27"/>
  <c r="B12"/>
</calcChain>
</file>

<file path=xl/sharedStrings.xml><?xml version="1.0" encoding="utf-8"?>
<sst xmlns="http://schemas.openxmlformats.org/spreadsheetml/2006/main" count="61" uniqueCount="43">
  <si>
    <t>Opkrævning for skanning 2015</t>
  </si>
  <si>
    <t>Udgifter</t>
  </si>
  <si>
    <t>Betaling</t>
  </si>
  <si>
    <t>Indtægt</t>
  </si>
  <si>
    <t>Husleje</t>
  </si>
  <si>
    <t>El</t>
  </si>
  <si>
    <t>Varme</t>
  </si>
  <si>
    <t>Vagt</t>
  </si>
  <si>
    <t>Rengøring</t>
  </si>
  <si>
    <t>Øvrige driftudgifter</t>
  </si>
  <si>
    <t>Fordelingsnøgle</t>
  </si>
  <si>
    <t>Skanning</t>
  </si>
  <si>
    <t>2.00%</t>
  </si>
  <si>
    <t>Prisfremskrivning</t>
  </si>
  <si>
    <t>SUF 3 timer pr. dag a kr. 350,- x arbejdsdage</t>
  </si>
  <si>
    <t>Koncernservice</t>
  </si>
  <si>
    <t>I alt</t>
  </si>
  <si>
    <t>x20%</t>
  </si>
  <si>
    <t>I alt løn</t>
  </si>
  <si>
    <t>251 arbejdsdage i 15</t>
  </si>
  <si>
    <t>Lønninger: bruttolønxlønfremskr.2%xoverheadx20</t>
  </si>
  <si>
    <t>Skanning (udgiften er skønnet ved opstart af skanningscentralen)dækker papir-arbejdstøj-toner-servicekontrakter på skannere osv.</t>
  </si>
  <si>
    <t>Drift</t>
  </si>
  <si>
    <t>Løn</t>
  </si>
  <si>
    <t>ØKF</t>
  </si>
  <si>
    <t>TMF</t>
  </si>
  <si>
    <t>BUF</t>
  </si>
  <si>
    <t>KFF incl. KBS</t>
  </si>
  <si>
    <t>SUF 251 dage</t>
  </si>
  <si>
    <t>KS</t>
  </si>
  <si>
    <t>BUF distikter</t>
  </si>
  <si>
    <t>Karsten Pøhl (ØK)</t>
  </si>
  <si>
    <t>Karina Petersen (ikke 20%) (BUF)</t>
  </si>
  <si>
    <t>Henrik Dencker KBS(licencer) (KFF)</t>
  </si>
  <si>
    <t>BUF 220 x antal dage 249 dage i 2014)(distrikterne)</t>
  </si>
  <si>
    <t>Org. Nr</t>
  </si>
  <si>
    <t>Ann Nielsen (TMF)</t>
  </si>
  <si>
    <t>Dette føres over i opkrævningsarket</t>
  </si>
  <si>
    <t>Kejd HNG</t>
  </si>
  <si>
    <t>I alt udgift opkræves 2015</t>
  </si>
  <si>
    <t>½ Claus Lahn (Kejd HNG)</t>
  </si>
  <si>
    <t>I opkrævningen er Berit og henriks løn lagt sammen</t>
  </si>
  <si>
    <t>Berit Bavnbæk (KFF)½ årsværk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</si>
</sst>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0" fontId="2" fillId="0" borderId="0" xfId="0" applyFont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9"/>
  <sheetViews>
    <sheetView tabSelected="1" workbookViewId="0">
      <selection activeCell="G18" sqref="G18"/>
    </sheetView>
  </sheetViews>
  <sheetFormatPr defaultRowHeight="15"/>
  <cols>
    <col min="1" max="1" width="46.5703125" customWidth="1"/>
    <col min="3" max="3" width="16.85546875" customWidth="1"/>
    <col min="4" max="4" width="13.28515625" customWidth="1"/>
    <col min="5" max="5" width="15.5703125" customWidth="1"/>
  </cols>
  <sheetData>
    <row r="1" spans="1:7">
      <c r="A1" t="s">
        <v>0</v>
      </c>
    </row>
    <row r="3" spans="1:7">
      <c r="C3" s="4" t="s">
        <v>13</v>
      </c>
    </row>
    <row r="4" spans="1:7">
      <c r="A4" s="1" t="s">
        <v>1</v>
      </c>
      <c r="B4">
        <v>2014</v>
      </c>
      <c r="C4" s="2" t="s">
        <v>12</v>
      </c>
      <c r="D4">
        <v>2015</v>
      </c>
      <c r="E4" s="1" t="s">
        <v>2</v>
      </c>
      <c r="F4" s="1" t="s">
        <v>3</v>
      </c>
    </row>
    <row r="5" spans="1:7">
      <c r="A5" t="s">
        <v>4</v>
      </c>
      <c r="B5" s="3">
        <v>336273</v>
      </c>
      <c r="C5" s="2" t="s">
        <v>12</v>
      </c>
      <c r="D5" s="3">
        <v>342998</v>
      </c>
      <c r="E5" t="s">
        <v>10</v>
      </c>
    </row>
    <row r="6" spans="1:7">
      <c r="A6" t="s">
        <v>5</v>
      </c>
      <c r="B6" s="3">
        <v>21765</v>
      </c>
      <c r="C6" s="2" t="s">
        <v>12</v>
      </c>
      <c r="D6" s="3">
        <v>22200</v>
      </c>
      <c r="E6" t="s">
        <v>10</v>
      </c>
    </row>
    <row r="7" spans="1:7">
      <c r="A7" t="s">
        <v>6</v>
      </c>
      <c r="B7" s="3">
        <v>34824</v>
      </c>
      <c r="C7" s="2" t="s">
        <v>12</v>
      </c>
      <c r="D7" s="3">
        <v>35520</v>
      </c>
      <c r="E7" t="s">
        <v>10</v>
      </c>
    </row>
    <row r="8" spans="1:7">
      <c r="A8" t="s">
        <v>7</v>
      </c>
      <c r="B8" s="3">
        <v>121621</v>
      </c>
      <c r="C8" s="2" t="s">
        <v>12</v>
      </c>
      <c r="D8" s="3">
        <v>124053</v>
      </c>
      <c r="E8" t="s">
        <v>10</v>
      </c>
    </row>
    <row r="9" spans="1:7">
      <c r="A9" t="s">
        <v>8</v>
      </c>
      <c r="B9" s="3">
        <v>58886</v>
      </c>
      <c r="C9" s="2" t="s">
        <v>12</v>
      </c>
      <c r="D9" s="3">
        <v>60064</v>
      </c>
      <c r="E9" t="s">
        <v>10</v>
      </c>
      <c r="G9" t="s">
        <v>11</v>
      </c>
    </row>
    <row r="11" spans="1:7">
      <c r="A11" t="s">
        <v>9</v>
      </c>
      <c r="B11">
        <v>45600</v>
      </c>
      <c r="D11" s="3">
        <v>60000</v>
      </c>
      <c r="E11" t="s">
        <v>10</v>
      </c>
      <c r="G11" t="s">
        <v>21</v>
      </c>
    </row>
    <row r="12" spans="1:7">
      <c r="B12" s="3">
        <f>SUM(B5:B11)</f>
        <v>618969</v>
      </c>
      <c r="D12" s="3">
        <f>SUM(D5:D11)</f>
        <v>644835</v>
      </c>
    </row>
    <row r="15" spans="1:7">
      <c r="A15" s="1" t="s">
        <v>20</v>
      </c>
      <c r="B15">
        <v>2014</v>
      </c>
      <c r="D15">
        <v>2015</v>
      </c>
      <c r="F15" t="s">
        <v>18</v>
      </c>
    </row>
    <row r="16" spans="1:7">
      <c r="A16" t="s">
        <v>31</v>
      </c>
      <c r="B16" s="3">
        <v>430557</v>
      </c>
      <c r="D16" s="3">
        <v>360397</v>
      </c>
      <c r="E16" t="s">
        <v>17</v>
      </c>
      <c r="F16" s="3">
        <v>432476</v>
      </c>
    </row>
    <row r="17" spans="1:7">
      <c r="A17" t="s">
        <v>36</v>
      </c>
      <c r="B17" s="3">
        <v>357007</v>
      </c>
      <c r="D17" s="3">
        <v>308738</v>
      </c>
      <c r="E17" t="s">
        <v>17</v>
      </c>
      <c r="F17" s="3">
        <v>370486</v>
      </c>
    </row>
    <row r="18" spans="1:7">
      <c r="A18" t="s">
        <v>42</v>
      </c>
      <c r="B18" s="3">
        <v>338659</v>
      </c>
      <c r="D18" s="3">
        <v>144530</v>
      </c>
      <c r="E18" t="s">
        <v>17</v>
      </c>
      <c r="F18" s="3">
        <v>173436</v>
      </c>
    </row>
    <row r="19" spans="1:7">
      <c r="A19" t="s">
        <v>40</v>
      </c>
      <c r="B19" s="3">
        <v>287594</v>
      </c>
      <c r="D19" s="3">
        <v>242620</v>
      </c>
      <c r="E19" t="s">
        <v>17</v>
      </c>
      <c r="F19" s="3">
        <v>291144</v>
      </c>
    </row>
    <row r="20" spans="1:7">
      <c r="A20" t="s">
        <v>32</v>
      </c>
      <c r="B20" s="3">
        <v>382865</v>
      </c>
      <c r="D20" s="3">
        <v>386336</v>
      </c>
      <c r="F20" s="3">
        <v>386336</v>
      </c>
    </row>
    <row r="21" spans="1:7">
      <c r="A21" t="s">
        <v>14</v>
      </c>
      <c r="B21" s="3">
        <v>261450</v>
      </c>
      <c r="D21" s="3">
        <v>263550</v>
      </c>
      <c r="F21" s="3">
        <v>263550</v>
      </c>
    </row>
    <row r="22" spans="1:7">
      <c r="A22" t="s">
        <v>33</v>
      </c>
      <c r="B22" s="3">
        <v>424307</v>
      </c>
      <c r="D22" s="3">
        <v>361328</v>
      </c>
      <c r="E22" t="s">
        <v>17</v>
      </c>
      <c r="F22" s="3">
        <v>433593</v>
      </c>
      <c r="G22" t="s">
        <v>41</v>
      </c>
    </row>
    <row r="23" spans="1:7">
      <c r="D23" s="3"/>
      <c r="F23" s="3"/>
    </row>
    <row r="24" spans="1:7">
      <c r="A24" t="s">
        <v>15</v>
      </c>
      <c r="B24" s="3">
        <v>26500</v>
      </c>
      <c r="D24" s="3">
        <v>26500</v>
      </c>
      <c r="F24" s="3">
        <v>26500</v>
      </c>
    </row>
    <row r="25" spans="1:7">
      <c r="A25" t="s">
        <v>34</v>
      </c>
      <c r="B25" s="3">
        <v>54780</v>
      </c>
      <c r="D25" s="3">
        <v>55220</v>
      </c>
      <c r="E25" s="4" t="s">
        <v>19</v>
      </c>
      <c r="F25" s="3">
        <v>55220</v>
      </c>
    </row>
    <row r="27" spans="1:7">
      <c r="A27" t="s">
        <v>16</v>
      </c>
      <c r="B27" s="3">
        <f>SUM(B16:B26)</f>
        <v>2563719</v>
      </c>
      <c r="D27" s="3">
        <f>SUM(D16:D26)</f>
        <v>2149219</v>
      </c>
      <c r="F27" s="3">
        <f>SUM(F16:F26)</f>
        <v>2432741</v>
      </c>
    </row>
    <row r="29" spans="1:7">
      <c r="B29" t="s">
        <v>37</v>
      </c>
    </row>
  </sheetData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I15" sqref="I15"/>
    </sheetView>
  </sheetViews>
  <sheetFormatPr defaultRowHeight="15"/>
  <cols>
    <col min="1" max="1" width="15.5703125" customWidth="1"/>
    <col min="2" max="2" width="16.42578125" customWidth="1"/>
    <col min="7" max="7" width="21.85546875" customWidth="1"/>
  </cols>
  <sheetData>
    <row r="1" spans="1:9">
      <c r="C1" s="1" t="s">
        <v>35</v>
      </c>
      <c r="E1" s="1" t="s">
        <v>23</v>
      </c>
      <c r="F1" s="1" t="s">
        <v>22</v>
      </c>
      <c r="G1" s="1" t="s">
        <v>39</v>
      </c>
      <c r="I1" s="1"/>
    </row>
    <row r="2" spans="1:9">
      <c r="A2" t="s">
        <v>24</v>
      </c>
      <c r="C2">
        <v>11023</v>
      </c>
      <c r="E2" s="3">
        <v>432476</v>
      </c>
      <c r="F2" s="3">
        <v>107473</v>
      </c>
      <c r="G2" s="3">
        <f>SUM(E2:F2)</f>
        <v>539949</v>
      </c>
    </row>
    <row r="4" spans="1:9">
      <c r="A4" t="s">
        <v>25</v>
      </c>
      <c r="C4">
        <v>49700</v>
      </c>
      <c r="E4" s="3">
        <v>370486</v>
      </c>
      <c r="F4" s="3">
        <v>107473</v>
      </c>
      <c r="G4" s="3">
        <f>SUM(E4:F4)</f>
        <v>477959</v>
      </c>
    </row>
    <row r="6" spans="1:9">
      <c r="A6" t="s">
        <v>26</v>
      </c>
      <c r="B6" t="s">
        <v>23</v>
      </c>
      <c r="C6">
        <v>39160</v>
      </c>
      <c r="E6" s="3">
        <v>386336</v>
      </c>
      <c r="G6" s="3">
        <f>SUM(E6:F6)</f>
        <v>386336</v>
      </c>
    </row>
    <row r="7" spans="1:9">
      <c r="A7" t="s">
        <v>26</v>
      </c>
      <c r="B7" t="s">
        <v>22</v>
      </c>
      <c r="C7">
        <v>39181</v>
      </c>
      <c r="F7" s="3">
        <v>107473</v>
      </c>
      <c r="G7" s="3">
        <f>SUM(F7)</f>
        <v>107473</v>
      </c>
    </row>
    <row r="9" spans="1:9">
      <c r="A9" t="s">
        <v>27</v>
      </c>
      <c r="E9" s="3">
        <v>607029</v>
      </c>
      <c r="F9" s="3">
        <v>107473</v>
      </c>
      <c r="G9" s="3">
        <f>SUM(E9:F9)</f>
        <v>714502</v>
      </c>
    </row>
    <row r="10" spans="1:9">
      <c r="A10" t="s">
        <v>38</v>
      </c>
      <c r="C10">
        <v>17001</v>
      </c>
      <c r="E10" s="3">
        <v>291144</v>
      </c>
      <c r="F10" s="3">
        <v>107473</v>
      </c>
      <c r="G10" s="3">
        <f>SUM(E10:F10)</f>
        <v>398617</v>
      </c>
    </row>
    <row r="12" spans="1:9">
      <c r="A12" t="s">
        <v>28</v>
      </c>
      <c r="C12">
        <v>20070</v>
      </c>
      <c r="E12" s="3">
        <v>263550</v>
      </c>
      <c r="F12" s="3">
        <v>107473</v>
      </c>
      <c r="G12" s="3">
        <f>SUM(E12:F12)</f>
        <v>371023</v>
      </c>
    </row>
    <row r="14" spans="1:9">
      <c r="A14" t="s">
        <v>29</v>
      </c>
      <c r="C14">
        <v>17116</v>
      </c>
      <c r="E14" s="3">
        <v>26500</v>
      </c>
      <c r="G14" s="3">
        <f>SUM(E14:F14)</f>
        <v>26500</v>
      </c>
    </row>
    <row r="16" spans="1:9">
      <c r="A16" t="s">
        <v>30</v>
      </c>
      <c r="C16">
        <v>39181</v>
      </c>
      <c r="E16" s="3">
        <v>55220</v>
      </c>
      <c r="G16" s="3">
        <f>SUM(E16:F16)</f>
        <v>55220</v>
      </c>
    </row>
    <row r="17" spans="1:7">
      <c r="A17" t="s">
        <v>16</v>
      </c>
      <c r="E17" s="5">
        <f>SUM(E2:E16)</f>
        <v>2432741</v>
      </c>
      <c r="F17" s="5">
        <f>SUM(F2:F16)</f>
        <v>644838</v>
      </c>
      <c r="G17" s="5">
        <f>SUM(G2:G16)</f>
        <v>3077579</v>
      </c>
    </row>
    <row r="18" spans="1:7">
      <c r="E18" s="3"/>
      <c r="F18" s="3"/>
      <c r="G18" s="3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igreringsDokument" ma:contentTypeID="0x010100B015E2879F2C3E49A84E4FBA662FB26A0046F37DEC036D284BBEE537A85881DFA0" ma:contentTypeVersion="7" ma:contentTypeDescription="" ma:contentTypeScope="" ma:versionID="322abaa8745c58af29abb8312104868a">
  <xsd:schema xmlns:xsd="http://www.w3.org/2001/XMLSchema" xmlns:xs="http://www.w3.org/2001/XMLSchema" xmlns:p="http://schemas.microsoft.com/office/2006/metadata/properties" xmlns:ns2="0dd46b0f-e2c7-4a31-a61e-54a1e81a6d74" targetNamespace="http://schemas.microsoft.com/office/2006/metadata/properties" ma:root="true" ma:fieldsID="1b739c844c19ffbccf538c52953af47e" ns2:_="">
    <xsd:import namespace="0dd46b0f-e2c7-4a31-a61e-54a1e81a6d74"/>
    <xsd:element name="properties">
      <xsd:complexType>
        <xsd:sequence>
          <xsd:element name="documentManagement">
            <xsd:complexType>
              <xsd:all>
                <xsd:element ref="ns2:MigrationPath" minOccurs="0"/>
                <xsd:element ref="ns2:MigrationDirectoryID" minOccurs="0"/>
                <xsd:element ref="ns2:MigrationOriginal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46b0f-e2c7-4a31-a61e-54a1e81a6d74" elementFormDefault="qualified">
    <xsd:import namespace="http://schemas.microsoft.com/office/2006/documentManagement/types"/>
    <xsd:import namespace="http://schemas.microsoft.com/office/infopath/2007/PartnerControls"/>
    <xsd:element name="MigrationPath" ma:index="8" nillable="true" ma:displayName="Migreringssti" ma:internalName="MigrationPath" ma:readOnly="false">
      <xsd:simpleType>
        <xsd:restriction base="dms:Text">
          <xsd:maxLength value="255"/>
        </xsd:restriction>
      </xsd:simpleType>
    </xsd:element>
    <xsd:element name="MigrationDirectoryID" ma:index="9" nillable="true" ma:displayName="MigreringsFolderId" ma:internalName="MigrationDirectoryID" ma:readOnly="false">
      <xsd:simpleType>
        <xsd:restriction base="dms:Text">
          <xsd:maxLength value="255"/>
        </xsd:restriction>
      </xsd:simpleType>
    </xsd:element>
    <xsd:element name="MigrationOriginalDate" ma:index="10" nillable="true" ma:displayName="Original dato" ma:description="The modified date from the file system" ma:format="DateTime" ma:internalName="MigrationOriginal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Path xmlns="0dd46b0f-e2c7-4a31-a61e-54a1e81a6d74">\\kk-dfs.kk.dk\of$\KEjd\SERVICE &amp; KUNDER\RÅDHUSSERVICE\Betjent\_Rådhusvagten\Vagtplaner\Regnskab og statistik\Skanningsregnskab\Skanningsregnskab 2015.xlsx</MigrationPath>
    <MigrationDirectoryID xmlns="0dd46b0f-e2c7-4a31-a61e-54a1e81a6d74">09EDC72A8866492D2207FEA42E675ECF84126AE7</MigrationDirectoryID>
    <MigrationOriginalDate xmlns="0dd46b0f-e2c7-4a31-a61e-54a1e81a6d74" xsi:nil="true"/>
  </documentManagement>
</p:properties>
</file>

<file path=customXml/item4.xml><?xml version="1.0" encoding="utf-8"?>
<?mso-contentType ?>
<SharedContentType xmlns="Microsoft.SharePoint.Taxonomy.ContentTypeSync" SourceId="e6a412d2-aea5-45d9-add9-4615ec186553" ContentTypeId="0x010100B015E2879F2C3E49A84E4FBA662FB26A" PreviousValue="false"/>
</file>

<file path=customXml/itemProps1.xml><?xml version="1.0" encoding="utf-8"?>
<ds:datastoreItem xmlns:ds="http://schemas.openxmlformats.org/officeDocument/2006/customXml" ds:itemID="{E73341E7-8F5B-4A8B-B2DC-416E0F9DA5A0}"/>
</file>

<file path=customXml/itemProps2.xml><?xml version="1.0" encoding="utf-8"?>
<ds:datastoreItem xmlns:ds="http://schemas.openxmlformats.org/officeDocument/2006/customXml" ds:itemID="{C90740AD-284E-4359-B065-E9BB943A12A8}"/>
</file>

<file path=customXml/itemProps3.xml><?xml version="1.0" encoding="utf-8"?>
<ds:datastoreItem xmlns:ds="http://schemas.openxmlformats.org/officeDocument/2006/customXml" ds:itemID="{57FFEEAF-C3B8-4A97-9EFE-31C9AC00CC0B}"/>
</file>

<file path=customXml/itemProps4.xml><?xml version="1.0" encoding="utf-8"?>
<ds:datastoreItem xmlns:ds="http://schemas.openxmlformats.org/officeDocument/2006/customXml" ds:itemID="{FFA3CC0E-83B2-4B9C-B195-B81E988E35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Regnskab</vt:lpstr>
      <vt:lpstr>Opkrævning</vt:lpstr>
      <vt:lpstr>Ark3</vt:lpstr>
    </vt:vector>
  </TitlesOfParts>
  <Company>Københavns Kommune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Larsen</dc:creator>
  <cp:lastModifiedBy>Per Larsen</cp:lastModifiedBy>
  <cp:lastPrinted>2015-10-29T10:25:45Z</cp:lastPrinted>
  <dcterms:created xsi:type="dcterms:W3CDTF">2015-03-25T09:05:54Z</dcterms:created>
  <dcterms:modified xsi:type="dcterms:W3CDTF">2015-10-29T10:30:41Z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0x010100B015E2879F2C3E49A84E4FBA662FB26A0046F37DEC036D284BBEE537A85881DFA0</vt:lpwstr>
  </property>
  <property fmtid="{D5CDD505-2E9C-101B-9397-08002B2CF9AE}" pid="3" name="Order">
    <vt:r8>100</vt:r8>
  </property>
</Properties>
</file>