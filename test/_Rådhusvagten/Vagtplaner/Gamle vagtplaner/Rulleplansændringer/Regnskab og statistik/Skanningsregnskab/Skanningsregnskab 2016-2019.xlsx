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usl\Københavns Kommune\ark-2371-rådhusservice - Dokumenter\Betjent\_Rådhusvagten\Vagtplaner\Regnskab og statistik\Skanningsregnskab\"/>
    </mc:Choice>
  </mc:AlternateContent>
  <xr:revisionPtr revIDLastSave="113" documentId="11_B06865B4D3227E47D2DED3046A136E3360065712" xr6:coauthVersionLast="41" xr6:coauthVersionMax="41" xr10:uidLastSave="{FA79ED96-D7AA-4065-A74C-736E3AA1BBE1}"/>
  <bookViews>
    <workbookView xWindow="735" yWindow="735" windowWidth="26925" windowHeight="11385" activeTab="5" xr2:uid="{00000000-000D-0000-FFFF-FFFF00000000}"/>
  </bookViews>
  <sheets>
    <sheet name="Regnskab 2016" sheetId="3" r:id="rId1"/>
    <sheet name="Opkrævning 2016" sheetId="4" r:id="rId2"/>
    <sheet name="Regnskab 2017" sheetId="6" r:id="rId3"/>
    <sheet name="Opkrævning 2017" sheetId="7" r:id="rId4"/>
    <sheet name="Regnskab 2018" sheetId="11" r:id="rId5"/>
    <sheet name="Opkrævning 2018" sheetId="10" r:id="rId6"/>
    <sheet name="Regnskab 2019" sheetId="5" r:id="rId7"/>
    <sheet name="Opkrævning 2019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7" i="8" l="1"/>
  <c r="H17" i="8"/>
  <c r="F17" i="8"/>
  <c r="E17" i="8"/>
  <c r="G16" i="8"/>
  <c r="G15" i="8"/>
  <c r="G13" i="8"/>
  <c r="I13" i="8" s="1"/>
  <c r="G11" i="8"/>
  <c r="G10" i="8"/>
  <c r="I10" i="8" s="1"/>
  <c r="G8" i="8"/>
  <c r="I7" i="8"/>
  <c r="G7" i="8"/>
  <c r="G5" i="8"/>
  <c r="I5" i="8" s="1"/>
  <c r="G3" i="8"/>
  <c r="I3" i="8" s="1"/>
  <c r="F25" i="5"/>
  <c r="D25" i="5"/>
  <c r="B25" i="5"/>
  <c r="D12" i="5"/>
  <c r="B12" i="5"/>
  <c r="G17" i="8" l="1"/>
  <c r="I11" i="8"/>
  <c r="I17" i="8" s="1"/>
  <c r="L17" i="7"/>
  <c r="H17" i="7"/>
  <c r="F17" i="7"/>
  <c r="E17" i="7"/>
  <c r="G16" i="7"/>
  <c r="G15" i="7"/>
  <c r="G13" i="7"/>
  <c r="I13" i="7" s="1"/>
  <c r="G11" i="7"/>
  <c r="I11" i="7" s="1"/>
  <c r="G10" i="7"/>
  <c r="I10" i="7" s="1"/>
  <c r="G8" i="7"/>
  <c r="G7" i="7"/>
  <c r="I7" i="7" s="1"/>
  <c r="G5" i="7"/>
  <c r="I5" i="7" s="1"/>
  <c r="G3" i="7"/>
  <c r="F25" i="6"/>
  <c r="D25" i="6"/>
  <c r="B25" i="6"/>
  <c r="D12" i="6"/>
  <c r="B12" i="6"/>
  <c r="H18" i="4"/>
  <c r="F18" i="4"/>
  <c r="E18" i="4"/>
  <c r="G17" i="4"/>
  <c r="G15" i="4"/>
  <c r="G13" i="4"/>
  <c r="I13" i="4" s="1"/>
  <c r="G11" i="4"/>
  <c r="I11" i="4" s="1"/>
  <c r="G10" i="4"/>
  <c r="I10" i="4" s="1"/>
  <c r="G8" i="4"/>
  <c r="G7" i="4"/>
  <c r="I7" i="4" s="1"/>
  <c r="G5" i="4"/>
  <c r="I5" i="4" s="1"/>
  <c r="G3" i="4"/>
  <c r="I3" i="4" s="1"/>
  <c r="F27" i="3"/>
  <c r="D27" i="3"/>
  <c r="B27" i="3"/>
  <c r="D12" i="3"/>
  <c r="B12" i="3"/>
  <c r="G17" i="7" l="1"/>
  <c r="I3" i="7"/>
  <c r="I17" i="7" s="1"/>
  <c r="I18" i="4"/>
  <c r="G18" i="4"/>
</calcChain>
</file>

<file path=xl/sharedStrings.xml><?xml version="1.0" encoding="utf-8"?>
<sst xmlns="http://schemas.openxmlformats.org/spreadsheetml/2006/main" count="204" uniqueCount="85">
  <si>
    <t>Udgifter</t>
  </si>
  <si>
    <t>Betaling</t>
  </si>
  <si>
    <t>Indtægt</t>
  </si>
  <si>
    <t>Husleje</t>
  </si>
  <si>
    <t>El</t>
  </si>
  <si>
    <t>Varme</t>
  </si>
  <si>
    <t>Vagt</t>
  </si>
  <si>
    <t>Rengøring</t>
  </si>
  <si>
    <t>Øvrige driftudgifter</t>
  </si>
  <si>
    <t>Fordelingsnøgle</t>
  </si>
  <si>
    <t>Skanning</t>
  </si>
  <si>
    <t>Prisfremskrivning</t>
  </si>
  <si>
    <t>SUF 3 timer pr. dag a kr. 350,- x arbejdsdage</t>
  </si>
  <si>
    <t>Koncernservice</t>
  </si>
  <si>
    <t>I alt</t>
  </si>
  <si>
    <t>x20%</t>
  </si>
  <si>
    <t>I alt løn</t>
  </si>
  <si>
    <t>Lønninger: bruttolønxlønfremskr.2%xoverheadx20</t>
  </si>
  <si>
    <t>Skanning (udgiften er skønnet ved opstart af skanningscentralen)dækker papir-arbejdstøj-toner-servicekontrakter på skannere osv.</t>
  </si>
  <si>
    <t>Drift</t>
  </si>
  <si>
    <t>Løn</t>
  </si>
  <si>
    <t>ØKF</t>
  </si>
  <si>
    <t>TMF</t>
  </si>
  <si>
    <t>BUF</t>
  </si>
  <si>
    <t>KFF incl. KBS</t>
  </si>
  <si>
    <t>KS</t>
  </si>
  <si>
    <t>Karsten Pøhl (ØK)</t>
  </si>
  <si>
    <t>Karina Petersen (ikke 20%) (BUF)</t>
  </si>
  <si>
    <t>Henrik Dencker KBS(licencer) (KFF)</t>
  </si>
  <si>
    <t>BUF 220 x antal dage 249 dage i 2014)(distrikterne)</t>
  </si>
  <si>
    <t>Org. Nr</t>
  </si>
  <si>
    <t>Ann Nielsen (TMF)</t>
  </si>
  <si>
    <t>Dette føres over i opkrævningsarket</t>
  </si>
  <si>
    <t>Kejd HNG</t>
  </si>
  <si>
    <t>½ Claus Lahn (Kejd HNG)</t>
  </si>
  <si>
    <t>I opkrævningen er Berit og henriks løn lagt sammen</t>
  </si>
  <si>
    <t>Berit Bavnbæk (KFF)½ årsværk</t>
  </si>
  <si>
    <t>I alt udgift opkræves 2016</t>
  </si>
  <si>
    <t>1.67%</t>
  </si>
  <si>
    <t>Der er ikke fremskrevet i 2016 grundet nedgang i skannings mængden</t>
  </si>
  <si>
    <t>Hovedstadens Beredskab - HB (252 dage i 2016)</t>
  </si>
  <si>
    <t>BUF distrikter</t>
  </si>
  <si>
    <t>HB</t>
  </si>
  <si>
    <t>EAN 5798009489142</t>
  </si>
  <si>
    <t>Opkrævning for skanning 2016 (fremskrivning 1.67%)</t>
  </si>
  <si>
    <t>252 arbejdsdage i 16</t>
  </si>
  <si>
    <t>Rabat</t>
  </si>
  <si>
    <t>Reel Opkrævning</t>
  </si>
  <si>
    <t>SUF 253 dage</t>
  </si>
  <si>
    <t xml:space="preserve"> </t>
  </si>
  <si>
    <t>Der er ikke fremskrevet i 2017 grundet nedgang i skannings mængden</t>
  </si>
  <si>
    <t>BUF 220 x antal dage 248 dage i 2017)(distrikterne)</t>
  </si>
  <si>
    <t>248 arbejdsdage i 17</t>
  </si>
  <si>
    <t>Overhead</t>
  </si>
  <si>
    <t>Lønninger: bruttolønxlønfremskr.2,1%xoverheadx20</t>
  </si>
  <si>
    <t>I alt udgift opkræves 2017</t>
  </si>
  <si>
    <t>3 timerx350krx248dage</t>
  </si>
  <si>
    <t>I alt løn 17</t>
  </si>
  <si>
    <t>SUF 248 dage</t>
  </si>
  <si>
    <t>Opkrævning for skanning 2017 (fremskrivning 2,10%)</t>
  </si>
  <si>
    <t>I opkrævningen er kun Henriks løn ført over</t>
  </si>
  <si>
    <t>(Berit er stoppet i 2016 og derfor ikke med i 2017 opkrævningen)</t>
  </si>
  <si>
    <t>4646</t>
  </si>
  <si>
    <t>4374</t>
  </si>
  <si>
    <t>5175</t>
  </si>
  <si>
    <t>4224</t>
  </si>
  <si>
    <t>4331</t>
  </si>
  <si>
    <t>2018</t>
  </si>
  <si>
    <t>Opkrævning for skanning 2019 (fremskrivning 2,0%)</t>
  </si>
  <si>
    <t>I alt løn 19</t>
  </si>
  <si>
    <t>Lønninger: bruttolønxlønfremskr.2,0%xoverheadx20</t>
  </si>
  <si>
    <t>Skanning (udgiften er skønnet ved opstart af skanningscentralen)dækker papir-arbejdstøj-toner-</t>
  </si>
  <si>
    <t>servicekontrakter på skannere osv.</t>
  </si>
  <si>
    <t>Kun Henriks løn ført over</t>
  </si>
  <si>
    <t>3 timerx350krx250dage</t>
  </si>
  <si>
    <t>250 arbejdsdage i 2019</t>
  </si>
  <si>
    <t>BUF 220 x antal dage 250 dage i 2019)(distrikterne)</t>
  </si>
  <si>
    <t>SUF 250 dage</t>
  </si>
  <si>
    <t>Deles med 6</t>
  </si>
  <si>
    <t>I alt udgift opkræves 2019</t>
  </si>
  <si>
    <t>2392</t>
  </si>
  <si>
    <t>1394</t>
  </si>
  <si>
    <t>Opkrævet 2018</t>
  </si>
  <si>
    <t>Org. Nr.</t>
  </si>
  <si>
    <t>Reel Opkrævning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</si>
</sst>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kr.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3" fontId="0" fillId="0" borderId="0" xfId="0" applyNumberFormat="1"/>
    <xf numFmtId="0" fontId="2" fillId="0" borderId="0" xfId="0" applyFont="1"/>
    <xf numFmtId="3" fontId="0" fillId="0" borderId="1" xfId="0" applyNumberFormat="1" applyBorder="1"/>
    <xf numFmtId="0" fontId="3" fillId="0" borderId="0" xfId="0" applyFont="1"/>
    <xf numFmtId="0" fontId="0" fillId="0" borderId="0" xfId="0" applyNumberFormat="1"/>
    <xf numFmtId="0" fontId="3" fillId="0" borderId="0" xfId="0" applyNumberFormat="1" applyFont="1"/>
    <xf numFmtId="3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NumberFormat="1" applyFont="1"/>
    <xf numFmtId="1" fontId="0" fillId="0" borderId="0" xfId="0" applyNumberFormat="1"/>
    <xf numFmtId="10" fontId="1" fillId="0" borderId="0" xfId="0" applyNumberFormat="1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3" fontId="1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6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164" fontId="0" fillId="0" borderId="0" xfId="0" applyNumberFormat="1"/>
    <xf numFmtId="164" fontId="6" fillId="0" borderId="0" xfId="0" applyNumberFormat="1" applyFont="1"/>
    <xf numFmtId="49" fontId="0" fillId="2" borderId="0" xfId="0" applyNumberFormat="1" applyFill="1" applyAlignment="1">
      <alignment horizontal="center"/>
    </xf>
    <xf numFmtId="0" fontId="0" fillId="2" borderId="0" xfId="0" applyFill="1"/>
    <xf numFmtId="49" fontId="1" fillId="2" borderId="0" xfId="0" applyNumberFormat="1" applyFont="1" applyFill="1" applyAlignment="1">
      <alignment horizontal="center"/>
    </xf>
    <xf numFmtId="164" fontId="0" fillId="2" borderId="0" xfId="0" applyNumberFormat="1" applyFill="1"/>
    <xf numFmtId="0" fontId="1" fillId="2" borderId="0" xfId="0" applyFont="1" applyFill="1"/>
    <xf numFmtId="164" fontId="6" fillId="2" borderId="0" xfId="0" applyNumberFormat="1" applyFont="1" applyFill="1"/>
    <xf numFmtId="0" fontId="0" fillId="3" borderId="0" xfId="0" applyFill="1" applyAlignment="1">
      <alignment horizontal="center"/>
    </xf>
    <xf numFmtId="3" fontId="0" fillId="3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3" fontId="6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workbookViewId="0">
      <selection activeCell="F21" sqref="F21"/>
    </sheetView>
  </sheetViews>
  <sheetFormatPr defaultRowHeight="15" x14ac:dyDescent="0.25"/>
  <cols>
    <col min="1" max="1" width="48.28515625" customWidth="1"/>
    <col min="2" max="2" width="11" customWidth="1"/>
    <col min="3" max="3" width="13" style="7" customWidth="1"/>
    <col min="5" max="5" width="18.28515625" customWidth="1"/>
  </cols>
  <sheetData>
    <row r="1" spans="1:7" x14ac:dyDescent="0.25">
      <c r="A1" t="s">
        <v>44</v>
      </c>
    </row>
    <row r="3" spans="1:7" x14ac:dyDescent="0.25">
      <c r="C3" s="11" t="s">
        <v>11</v>
      </c>
    </row>
    <row r="4" spans="1:7" x14ac:dyDescent="0.25">
      <c r="A4" s="1" t="s">
        <v>0</v>
      </c>
      <c r="B4" s="1">
        <v>2016</v>
      </c>
      <c r="C4" s="10" t="s">
        <v>38</v>
      </c>
      <c r="D4" s="1">
        <v>2017</v>
      </c>
      <c r="E4" s="1" t="s">
        <v>1</v>
      </c>
      <c r="F4" s="1" t="s">
        <v>2</v>
      </c>
    </row>
    <row r="5" spans="1:7" x14ac:dyDescent="0.25">
      <c r="A5" t="s">
        <v>3</v>
      </c>
      <c r="B5" s="3">
        <v>342998</v>
      </c>
      <c r="C5" s="9">
        <v>348726</v>
      </c>
      <c r="E5" t="s">
        <v>9</v>
      </c>
    </row>
    <row r="6" spans="1:7" x14ac:dyDescent="0.25">
      <c r="A6" t="s">
        <v>4</v>
      </c>
      <c r="B6" s="3">
        <v>22200</v>
      </c>
      <c r="C6" s="9">
        <v>22571</v>
      </c>
      <c r="E6" t="s">
        <v>9</v>
      </c>
    </row>
    <row r="7" spans="1:7" x14ac:dyDescent="0.25">
      <c r="A7" t="s">
        <v>5</v>
      </c>
      <c r="B7" s="3">
        <v>35520</v>
      </c>
      <c r="C7" s="9">
        <v>36113</v>
      </c>
      <c r="E7" t="s">
        <v>9</v>
      </c>
    </row>
    <row r="8" spans="1:7" x14ac:dyDescent="0.25">
      <c r="A8" t="s">
        <v>6</v>
      </c>
      <c r="B8" s="3">
        <v>124053</v>
      </c>
      <c r="C8" s="9">
        <v>126125</v>
      </c>
      <c r="E8" t="s">
        <v>9</v>
      </c>
    </row>
    <row r="9" spans="1:7" x14ac:dyDescent="0.25">
      <c r="A9" t="s">
        <v>7</v>
      </c>
      <c r="B9" s="3">
        <v>60064</v>
      </c>
      <c r="C9" s="9">
        <v>61067</v>
      </c>
      <c r="E9" s="6" t="s">
        <v>9</v>
      </c>
      <c r="G9" s="6" t="s">
        <v>10</v>
      </c>
    </row>
    <row r="11" spans="1:7" x14ac:dyDescent="0.25">
      <c r="A11" t="s">
        <v>8</v>
      </c>
      <c r="B11" s="3">
        <v>60000</v>
      </c>
      <c r="C11" s="3">
        <v>61002</v>
      </c>
      <c r="E11" t="s">
        <v>9</v>
      </c>
    </row>
    <row r="12" spans="1:7" x14ac:dyDescent="0.25">
      <c r="B12" s="3">
        <f>SUM(B5:B11)</f>
        <v>644835</v>
      </c>
      <c r="C12" s="3">
        <v>655604</v>
      </c>
      <c r="D12" s="3">
        <f>SUM(D5:D11)</f>
        <v>0</v>
      </c>
    </row>
    <row r="15" spans="1:7" x14ac:dyDescent="0.25">
      <c r="A15" s="1" t="s">
        <v>17</v>
      </c>
      <c r="B15">
        <v>2015</v>
      </c>
      <c r="D15">
        <v>2016</v>
      </c>
      <c r="F15" t="s">
        <v>16</v>
      </c>
    </row>
    <row r="16" spans="1:7" x14ac:dyDescent="0.25">
      <c r="A16" t="s">
        <v>26</v>
      </c>
      <c r="B16" s="3">
        <v>360397</v>
      </c>
      <c r="E16" t="s">
        <v>15</v>
      </c>
      <c r="F16" s="3">
        <v>441126</v>
      </c>
    </row>
    <row r="17" spans="1:12" x14ac:dyDescent="0.25">
      <c r="A17" t="s">
        <v>31</v>
      </c>
      <c r="B17" s="3">
        <v>308738</v>
      </c>
      <c r="E17" t="s">
        <v>15</v>
      </c>
      <c r="F17" s="3">
        <v>377895</v>
      </c>
    </row>
    <row r="18" spans="1:12" x14ac:dyDescent="0.25">
      <c r="A18" t="s">
        <v>36</v>
      </c>
      <c r="B18" s="3">
        <v>144530</v>
      </c>
      <c r="E18" t="s">
        <v>15</v>
      </c>
      <c r="F18" s="3">
        <v>176905</v>
      </c>
    </row>
    <row r="19" spans="1:12" x14ac:dyDescent="0.25">
      <c r="A19" t="s">
        <v>34</v>
      </c>
      <c r="B19" s="3">
        <v>242620</v>
      </c>
      <c r="E19" t="s">
        <v>15</v>
      </c>
      <c r="F19" s="3">
        <v>296967</v>
      </c>
    </row>
    <row r="20" spans="1:12" x14ac:dyDescent="0.25">
      <c r="A20" t="s">
        <v>27</v>
      </c>
      <c r="B20" s="3">
        <v>386336</v>
      </c>
      <c r="F20" s="3">
        <v>394063</v>
      </c>
    </row>
    <row r="21" spans="1:12" x14ac:dyDescent="0.25">
      <c r="A21" t="s">
        <v>12</v>
      </c>
      <c r="B21" s="3">
        <v>263550</v>
      </c>
      <c r="F21" s="3">
        <v>268821</v>
      </c>
    </row>
    <row r="22" spans="1:12" x14ac:dyDescent="0.25">
      <c r="A22" t="s">
        <v>28</v>
      </c>
      <c r="B22" s="3">
        <v>361328</v>
      </c>
      <c r="E22" t="s">
        <v>15</v>
      </c>
      <c r="F22" s="3">
        <v>442265</v>
      </c>
      <c r="G22" t="s">
        <v>35</v>
      </c>
    </row>
    <row r="23" spans="1:12" x14ac:dyDescent="0.25">
      <c r="D23" s="3"/>
      <c r="F23" s="3"/>
    </row>
    <row r="24" spans="1:12" x14ac:dyDescent="0.25">
      <c r="A24" t="s">
        <v>13</v>
      </c>
      <c r="B24" s="3">
        <v>26500</v>
      </c>
      <c r="D24" s="3">
        <v>26500</v>
      </c>
      <c r="F24" s="3">
        <v>26500</v>
      </c>
    </row>
    <row r="25" spans="1:12" x14ac:dyDescent="0.25">
      <c r="A25" t="s">
        <v>29</v>
      </c>
      <c r="B25" s="3">
        <v>54780</v>
      </c>
      <c r="D25" s="3">
        <v>55220</v>
      </c>
      <c r="E25" s="4" t="s">
        <v>45</v>
      </c>
      <c r="F25" s="3">
        <v>55440</v>
      </c>
    </row>
    <row r="26" spans="1:12" x14ac:dyDescent="0.25">
      <c r="A26" t="s">
        <v>40</v>
      </c>
      <c r="B26" s="3"/>
      <c r="D26" s="3">
        <v>88200</v>
      </c>
      <c r="F26" s="3">
        <v>88200</v>
      </c>
    </row>
    <row r="27" spans="1:12" x14ac:dyDescent="0.25">
      <c r="A27" t="s">
        <v>14</v>
      </c>
      <c r="B27" s="3">
        <f>SUM(B16:B26)</f>
        <v>2148779</v>
      </c>
      <c r="D27" s="3">
        <f>SUM(D16:D26)</f>
        <v>169920</v>
      </c>
      <c r="F27" s="3">
        <f>SUM(F16:F26)</f>
        <v>2568182</v>
      </c>
    </row>
    <row r="29" spans="1:12" x14ac:dyDescent="0.25">
      <c r="B29" t="s">
        <v>32</v>
      </c>
    </row>
    <row r="31" spans="1:12" x14ac:dyDescent="0.25">
      <c r="A31" s="6" t="s">
        <v>9</v>
      </c>
      <c r="B31" s="6" t="s">
        <v>18</v>
      </c>
      <c r="C31" s="8"/>
      <c r="D31" s="6"/>
      <c r="E31" s="6"/>
      <c r="F31" s="6"/>
      <c r="G31" s="6"/>
      <c r="H31" s="6"/>
      <c r="I31" s="6"/>
      <c r="J31" s="6"/>
      <c r="K31" s="6"/>
      <c r="L31" s="6"/>
    </row>
    <row r="33" spans="2:2" x14ac:dyDescent="0.25">
      <c r="B33" s="6" t="s">
        <v>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activeCell="E19" sqref="E19"/>
    </sheetView>
  </sheetViews>
  <sheetFormatPr defaultRowHeight="15" x14ac:dyDescent="0.25"/>
  <cols>
    <col min="3" max="3" width="12" bestFit="1" customWidth="1"/>
    <col min="8" max="8" width="9.5703125" bestFit="1" customWidth="1"/>
    <col min="9" max="9" width="10.5703125" bestFit="1" customWidth="1"/>
  </cols>
  <sheetData>
    <row r="1" spans="1:9" x14ac:dyDescent="0.25">
      <c r="C1" s="1" t="s">
        <v>30</v>
      </c>
      <c r="E1" s="1" t="s">
        <v>20</v>
      </c>
      <c r="F1" s="1" t="s">
        <v>19</v>
      </c>
      <c r="G1" s="1" t="s">
        <v>37</v>
      </c>
    </row>
    <row r="2" spans="1:9" x14ac:dyDescent="0.25">
      <c r="C2" s="1"/>
      <c r="E2" s="1"/>
      <c r="F2" s="1"/>
      <c r="G2" s="1"/>
      <c r="H2" t="s">
        <v>46</v>
      </c>
      <c r="I2" t="s">
        <v>47</v>
      </c>
    </row>
    <row r="3" spans="1:9" x14ac:dyDescent="0.25">
      <c r="A3" t="s">
        <v>21</v>
      </c>
      <c r="C3">
        <v>11023</v>
      </c>
      <c r="E3" s="3">
        <v>441126</v>
      </c>
      <c r="F3" s="3">
        <v>109267</v>
      </c>
      <c r="G3" s="3">
        <f>SUM(E3:F3)</f>
        <v>550393</v>
      </c>
      <c r="H3" s="3">
        <v>-25000</v>
      </c>
      <c r="I3" s="3">
        <f>SUM(G3:H3)</f>
        <v>525393</v>
      </c>
    </row>
    <row r="5" spans="1:9" x14ac:dyDescent="0.25">
      <c r="A5" t="s">
        <v>22</v>
      </c>
      <c r="C5">
        <v>49700</v>
      </c>
      <c r="E5" s="3">
        <v>377895</v>
      </c>
      <c r="F5" s="3">
        <v>109267</v>
      </c>
      <c r="G5" s="3">
        <f>SUM(E5:F5)</f>
        <v>487162</v>
      </c>
      <c r="H5" s="3">
        <v>-25000</v>
      </c>
      <c r="I5" s="3">
        <f>SUM(G5:H5)</f>
        <v>462162</v>
      </c>
    </row>
    <row r="7" spans="1:9" x14ac:dyDescent="0.25">
      <c r="A7" t="s">
        <v>23</v>
      </c>
      <c r="B7" t="s">
        <v>20</v>
      </c>
      <c r="C7">
        <v>39160</v>
      </c>
      <c r="E7" s="3">
        <v>394063</v>
      </c>
      <c r="G7" s="3">
        <f>SUM(E7:F7)</f>
        <v>394063</v>
      </c>
      <c r="H7" s="12">
        <v>-25000</v>
      </c>
      <c r="I7" s="3">
        <f>SUM(G7:H7)</f>
        <v>369063</v>
      </c>
    </row>
    <row r="8" spans="1:9" x14ac:dyDescent="0.25">
      <c r="A8" t="s">
        <v>23</v>
      </c>
      <c r="B8" t="s">
        <v>19</v>
      </c>
      <c r="C8">
        <v>39181</v>
      </c>
      <c r="F8" s="3">
        <v>109267</v>
      </c>
      <c r="G8" s="3">
        <f>SUM(F8)</f>
        <v>109267</v>
      </c>
      <c r="I8" s="3">
        <v>109267</v>
      </c>
    </row>
    <row r="10" spans="1:9" x14ac:dyDescent="0.25">
      <c r="A10" t="s">
        <v>24</v>
      </c>
      <c r="C10">
        <v>50040</v>
      </c>
      <c r="E10" s="3">
        <v>619170</v>
      </c>
      <c r="F10" s="3">
        <v>109267</v>
      </c>
      <c r="G10" s="3">
        <f>SUM(E10:F10)</f>
        <v>728437</v>
      </c>
      <c r="H10" s="3">
        <v>-25000</v>
      </c>
      <c r="I10" s="3">
        <f>SUM(G10:H10)</f>
        <v>703437</v>
      </c>
    </row>
    <row r="11" spans="1:9" x14ac:dyDescent="0.25">
      <c r="A11" t="s">
        <v>33</v>
      </c>
      <c r="C11">
        <v>17001</v>
      </c>
      <c r="E11" s="3">
        <v>296967</v>
      </c>
      <c r="F11" s="3">
        <v>109267</v>
      </c>
      <c r="G11" s="3">
        <f>SUM(E11:F11)</f>
        <v>406234</v>
      </c>
      <c r="H11" s="3">
        <v>-25000</v>
      </c>
      <c r="I11" s="3">
        <f>SUM(G11:H11)</f>
        <v>381234</v>
      </c>
    </row>
    <row r="13" spans="1:9" x14ac:dyDescent="0.25">
      <c r="A13" t="s">
        <v>48</v>
      </c>
      <c r="C13">
        <v>20070</v>
      </c>
      <c r="E13" s="3">
        <v>265650</v>
      </c>
      <c r="F13" s="3">
        <v>109267</v>
      </c>
      <c r="G13" s="3">
        <f>SUM(E13:F13)</f>
        <v>374917</v>
      </c>
      <c r="H13" s="3">
        <v>-25000</v>
      </c>
      <c r="I13" s="3">
        <f>SUM(G13:H13)</f>
        <v>349917</v>
      </c>
    </row>
    <row r="15" spans="1:9" x14ac:dyDescent="0.25">
      <c r="A15" t="s">
        <v>25</v>
      </c>
      <c r="C15">
        <v>17116</v>
      </c>
      <c r="E15" s="3">
        <v>26500</v>
      </c>
      <c r="G15" s="3">
        <f>SUM(E15:F15)</f>
        <v>26500</v>
      </c>
      <c r="I15" s="12">
        <v>26500</v>
      </c>
    </row>
    <row r="16" spans="1:9" x14ac:dyDescent="0.25">
      <c r="A16" t="s">
        <v>42</v>
      </c>
      <c r="B16" t="s">
        <v>43</v>
      </c>
      <c r="E16" s="3">
        <v>88200</v>
      </c>
      <c r="G16" s="3">
        <v>88200</v>
      </c>
      <c r="I16" s="3">
        <v>88200</v>
      </c>
    </row>
    <row r="17" spans="1:9" x14ac:dyDescent="0.25">
      <c r="A17" t="s">
        <v>41</v>
      </c>
      <c r="C17">
        <v>39180</v>
      </c>
      <c r="E17" s="3">
        <v>55220</v>
      </c>
      <c r="G17" s="3">
        <f>SUM(E17:F17)</f>
        <v>55220</v>
      </c>
      <c r="I17" s="3">
        <v>55220</v>
      </c>
    </row>
    <row r="18" spans="1:9" x14ac:dyDescent="0.25">
      <c r="A18" t="s">
        <v>14</v>
      </c>
      <c r="E18" s="5">
        <f>SUM(E3:E17)</f>
        <v>2564791</v>
      </c>
      <c r="F18" s="5">
        <f>SUM(F3:F17)</f>
        <v>655602</v>
      </c>
      <c r="G18" s="5">
        <f>SUM(G3:G17)</f>
        <v>3220393</v>
      </c>
      <c r="H18" s="3">
        <f>SUM(H3:H17)</f>
        <v>-150000</v>
      </c>
      <c r="I18" s="3">
        <f>SUM(I3:I17)</f>
        <v>3070393</v>
      </c>
    </row>
    <row r="19" spans="1:9" x14ac:dyDescent="0.25">
      <c r="E19" s="3" t="s">
        <v>49</v>
      </c>
      <c r="F19" s="3"/>
      <c r="G19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"/>
  <sheetViews>
    <sheetView topLeftCell="A7" workbookViewId="0">
      <selection activeCell="K24" sqref="A1:XFD1048576"/>
    </sheetView>
  </sheetViews>
  <sheetFormatPr defaultRowHeight="15" x14ac:dyDescent="0.25"/>
  <cols>
    <col min="1" max="1" width="48.28515625" customWidth="1"/>
    <col min="2" max="2" width="11" customWidth="1"/>
    <col min="3" max="3" width="13" style="7" customWidth="1"/>
    <col min="4" max="4" width="9.7109375" customWidth="1"/>
    <col min="5" max="5" width="18.28515625" customWidth="1"/>
    <col min="6" max="6" width="9.85546875" customWidth="1"/>
  </cols>
  <sheetData>
    <row r="1" spans="1:7" x14ac:dyDescent="0.25">
      <c r="A1" t="s">
        <v>59</v>
      </c>
    </row>
    <row r="3" spans="1:7" x14ac:dyDescent="0.25">
      <c r="C3" s="11" t="s">
        <v>11</v>
      </c>
    </row>
    <row r="4" spans="1:7" x14ac:dyDescent="0.25">
      <c r="A4" s="1" t="s">
        <v>0</v>
      </c>
      <c r="B4" s="1">
        <v>2016</v>
      </c>
      <c r="C4" s="13">
        <v>2.1000000000000001E-2</v>
      </c>
      <c r="D4" s="1">
        <v>2017</v>
      </c>
      <c r="E4" s="1" t="s">
        <v>1</v>
      </c>
      <c r="F4" s="1" t="s">
        <v>2</v>
      </c>
    </row>
    <row r="5" spans="1:7" x14ac:dyDescent="0.25">
      <c r="A5" t="s">
        <v>3</v>
      </c>
      <c r="B5" s="3">
        <v>348726</v>
      </c>
      <c r="C5" s="9">
        <v>7323</v>
      </c>
      <c r="D5" s="3">
        <v>356049</v>
      </c>
      <c r="E5" t="s">
        <v>9</v>
      </c>
    </row>
    <row r="6" spans="1:7" x14ac:dyDescent="0.25">
      <c r="A6" t="s">
        <v>4</v>
      </c>
      <c r="B6" s="3">
        <v>22571</v>
      </c>
      <c r="C6" s="9">
        <v>474</v>
      </c>
      <c r="D6" s="3">
        <v>23045</v>
      </c>
      <c r="E6" t="s">
        <v>9</v>
      </c>
    </row>
    <row r="7" spans="1:7" x14ac:dyDescent="0.25">
      <c r="A7" t="s">
        <v>5</v>
      </c>
      <c r="B7" s="3">
        <v>36113</v>
      </c>
      <c r="C7" s="9">
        <v>758</v>
      </c>
      <c r="D7" s="3">
        <v>36871</v>
      </c>
      <c r="E7" t="s">
        <v>9</v>
      </c>
    </row>
    <row r="8" spans="1:7" x14ac:dyDescent="0.25">
      <c r="A8" t="s">
        <v>6</v>
      </c>
      <c r="B8" s="3">
        <v>126125</v>
      </c>
      <c r="C8" s="9">
        <v>2649</v>
      </c>
      <c r="D8" s="3">
        <v>128774</v>
      </c>
      <c r="E8" t="s">
        <v>9</v>
      </c>
    </row>
    <row r="9" spans="1:7" x14ac:dyDescent="0.25">
      <c r="A9" t="s">
        <v>7</v>
      </c>
      <c r="B9" s="3">
        <v>61067</v>
      </c>
      <c r="C9" s="9">
        <v>1283</v>
      </c>
      <c r="D9" s="3">
        <v>62350</v>
      </c>
      <c r="E9" s="19" t="s">
        <v>9</v>
      </c>
      <c r="G9" s="6" t="s">
        <v>10</v>
      </c>
    </row>
    <row r="11" spans="1:7" x14ac:dyDescent="0.25">
      <c r="A11" t="s">
        <v>8</v>
      </c>
      <c r="B11" s="3">
        <v>61002</v>
      </c>
      <c r="C11" s="9">
        <v>1281</v>
      </c>
      <c r="D11" s="3">
        <v>62283</v>
      </c>
      <c r="E11" t="s">
        <v>9</v>
      </c>
    </row>
    <row r="12" spans="1:7" x14ac:dyDescent="0.25">
      <c r="B12" s="3">
        <f>SUM(B5:B11)</f>
        <v>655604</v>
      </c>
      <c r="C12" s="3"/>
      <c r="D12" s="3">
        <f>SUM(D5:D11)</f>
        <v>669372</v>
      </c>
    </row>
    <row r="15" spans="1:7" x14ac:dyDescent="0.25">
      <c r="A15" s="1" t="s">
        <v>54</v>
      </c>
      <c r="B15" s="1">
        <v>2016</v>
      </c>
      <c r="D15" s="1" t="s">
        <v>53</v>
      </c>
      <c r="F15" s="1" t="s">
        <v>57</v>
      </c>
    </row>
    <row r="16" spans="1:7" x14ac:dyDescent="0.25">
      <c r="A16" t="s">
        <v>26</v>
      </c>
      <c r="B16" s="3">
        <v>441126</v>
      </c>
      <c r="D16" s="3">
        <v>88225</v>
      </c>
      <c r="E16" t="s">
        <v>15</v>
      </c>
      <c r="F16" s="3">
        <v>529351</v>
      </c>
    </row>
    <row r="17" spans="1:12" x14ac:dyDescent="0.25">
      <c r="A17" t="s">
        <v>31</v>
      </c>
      <c r="B17" s="3">
        <v>377895</v>
      </c>
      <c r="D17" s="3">
        <v>75579</v>
      </c>
      <c r="E17" t="s">
        <v>15</v>
      </c>
      <c r="F17" s="3">
        <v>453474</v>
      </c>
    </row>
    <row r="18" spans="1:12" x14ac:dyDescent="0.25">
      <c r="A18" t="s">
        <v>34</v>
      </c>
      <c r="B18" s="3">
        <v>296967</v>
      </c>
      <c r="D18" s="3">
        <v>59393</v>
      </c>
      <c r="E18" t="s">
        <v>15</v>
      </c>
      <c r="F18" s="3">
        <v>356360</v>
      </c>
    </row>
    <row r="19" spans="1:12" x14ac:dyDescent="0.25">
      <c r="A19" t="s">
        <v>27</v>
      </c>
      <c r="B19" s="3">
        <v>394063</v>
      </c>
      <c r="F19" s="3">
        <v>394063</v>
      </c>
    </row>
    <row r="20" spans="1:12" x14ac:dyDescent="0.25">
      <c r="A20" t="s">
        <v>12</v>
      </c>
      <c r="B20" s="3">
        <v>268821</v>
      </c>
      <c r="E20" s="14" t="s">
        <v>56</v>
      </c>
      <c r="F20" s="3">
        <v>260400</v>
      </c>
    </row>
    <row r="21" spans="1:12" x14ac:dyDescent="0.25">
      <c r="A21" t="s">
        <v>28</v>
      </c>
      <c r="B21" s="3">
        <v>442265</v>
      </c>
      <c r="D21" s="3">
        <v>88453</v>
      </c>
      <c r="E21" t="s">
        <v>15</v>
      </c>
      <c r="F21" s="3">
        <v>530718</v>
      </c>
      <c r="G21" t="s">
        <v>60</v>
      </c>
    </row>
    <row r="22" spans="1:12" x14ac:dyDescent="0.25">
      <c r="D22" s="3"/>
      <c r="F22" s="3"/>
      <c r="G22" s="20" t="s">
        <v>61</v>
      </c>
    </row>
    <row r="23" spans="1:12" x14ac:dyDescent="0.25">
      <c r="A23" t="s">
        <v>13</v>
      </c>
      <c r="B23" s="3">
        <v>26500</v>
      </c>
      <c r="D23" s="3">
        <v>26500</v>
      </c>
      <c r="F23" s="3">
        <v>26500</v>
      </c>
    </row>
    <row r="24" spans="1:12" x14ac:dyDescent="0.25">
      <c r="A24" t="s">
        <v>51</v>
      </c>
      <c r="B24" s="3">
        <v>54780</v>
      </c>
      <c r="D24" s="3">
        <v>54560</v>
      </c>
      <c r="E24" s="4" t="s">
        <v>52</v>
      </c>
      <c r="F24" s="3">
        <v>54560</v>
      </c>
    </row>
    <row r="25" spans="1:12" x14ac:dyDescent="0.25">
      <c r="A25" t="s">
        <v>14</v>
      </c>
      <c r="B25" s="3">
        <f>SUM(B16:B24)</f>
        <v>2302417</v>
      </c>
      <c r="D25" s="3">
        <f>SUM(D16:D24)</f>
        <v>392710</v>
      </c>
      <c r="F25" s="3">
        <f>SUM(F16:F24)</f>
        <v>2605426</v>
      </c>
    </row>
    <row r="27" spans="1:12" x14ac:dyDescent="0.25">
      <c r="B27" t="s">
        <v>32</v>
      </c>
    </row>
    <row r="29" spans="1:12" x14ac:dyDescent="0.25">
      <c r="A29" s="6" t="s">
        <v>9</v>
      </c>
      <c r="B29" s="6" t="s">
        <v>18</v>
      </c>
      <c r="C29" s="8"/>
      <c r="D29" s="6"/>
      <c r="E29" s="6"/>
      <c r="F29" s="6"/>
      <c r="G29" s="6"/>
      <c r="H29" s="6"/>
      <c r="I29" s="6"/>
      <c r="J29" s="6"/>
      <c r="K29" s="6"/>
      <c r="L29" s="6"/>
    </row>
    <row r="31" spans="1:12" s="7" customFormat="1" x14ac:dyDescent="0.25">
      <c r="A31"/>
      <c r="B31" s="6" t="s">
        <v>50</v>
      </c>
      <c r="D31"/>
      <c r="E31"/>
      <c r="F31"/>
      <c r="G31"/>
      <c r="H31"/>
      <c r="I31"/>
      <c r="J31"/>
      <c r="K31"/>
      <c r="L3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"/>
  <sheetViews>
    <sheetView workbookViewId="0">
      <selection activeCell="A19" sqref="A1:XFD1048576"/>
    </sheetView>
  </sheetViews>
  <sheetFormatPr defaultRowHeight="15" x14ac:dyDescent="0.25"/>
  <cols>
    <col min="3" max="3" width="12" style="2" bestFit="1" customWidth="1"/>
    <col min="5" max="5" width="9.140625" style="2"/>
    <col min="6" max="6" width="12.5703125" style="2" customWidth="1"/>
    <col min="7" max="7" width="25.85546875" style="2" customWidth="1"/>
    <col min="8" max="8" width="12.7109375" style="2" customWidth="1"/>
    <col min="9" max="9" width="17.140625" style="2" customWidth="1"/>
    <col min="10" max="10" width="9.140625" style="21"/>
    <col min="12" max="12" width="18.42578125" style="23" customWidth="1"/>
  </cols>
  <sheetData>
    <row r="1" spans="1:12" x14ac:dyDescent="0.25">
      <c r="C1" s="15" t="s">
        <v>30</v>
      </c>
      <c r="E1" s="15" t="s">
        <v>20</v>
      </c>
      <c r="F1" s="15" t="s">
        <v>19</v>
      </c>
      <c r="G1" s="15" t="s">
        <v>55</v>
      </c>
      <c r="L1" s="22" t="s">
        <v>67</v>
      </c>
    </row>
    <row r="2" spans="1:12" x14ac:dyDescent="0.25">
      <c r="C2" s="15"/>
      <c r="E2" s="15"/>
      <c r="F2" s="15"/>
      <c r="G2" s="15"/>
      <c r="H2" s="2" t="s">
        <v>46</v>
      </c>
      <c r="I2" s="2" t="s">
        <v>47</v>
      </c>
    </row>
    <row r="3" spans="1:12" x14ac:dyDescent="0.25">
      <c r="A3" t="s">
        <v>21</v>
      </c>
      <c r="C3" s="2">
        <v>11023</v>
      </c>
      <c r="E3" s="9">
        <v>529351</v>
      </c>
      <c r="F3" s="9">
        <v>111562</v>
      </c>
      <c r="G3" s="9">
        <f>SUM(E3:F3)</f>
        <v>640913</v>
      </c>
      <c r="H3" s="9">
        <v>-25000</v>
      </c>
      <c r="I3" s="9">
        <f>SUM(G3:H3)</f>
        <v>615913</v>
      </c>
      <c r="J3" s="21">
        <v>2392</v>
      </c>
      <c r="L3" s="23">
        <v>626384</v>
      </c>
    </row>
    <row r="5" spans="1:12" x14ac:dyDescent="0.25">
      <c r="A5" t="s">
        <v>22</v>
      </c>
      <c r="C5" s="2">
        <v>49700</v>
      </c>
      <c r="E5" s="9">
        <v>453474</v>
      </c>
      <c r="F5" s="9">
        <v>111562</v>
      </c>
      <c r="G5" s="9">
        <f>SUM(E5:F5)</f>
        <v>565036</v>
      </c>
      <c r="H5" s="9">
        <v>-25000</v>
      </c>
      <c r="I5" s="9">
        <f>SUM(G5:H5)</f>
        <v>540036</v>
      </c>
      <c r="J5" s="21">
        <v>1394</v>
      </c>
      <c r="L5" s="23">
        <v>549217</v>
      </c>
    </row>
    <row r="7" spans="1:12" x14ac:dyDescent="0.25">
      <c r="A7" t="s">
        <v>23</v>
      </c>
      <c r="B7" t="s">
        <v>20</v>
      </c>
      <c r="C7" s="2">
        <v>39160</v>
      </c>
      <c r="E7" s="9">
        <v>394063</v>
      </c>
      <c r="G7" s="9">
        <f>SUM(E7:F7)</f>
        <v>394063</v>
      </c>
      <c r="H7" s="17">
        <v>-25000</v>
      </c>
      <c r="I7" s="9">
        <f>SUM(G7:H7)</f>
        <v>369063</v>
      </c>
      <c r="J7" s="21" t="s">
        <v>62</v>
      </c>
      <c r="L7" s="23">
        <v>375337</v>
      </c>
    </row>
    <row r="8" spans="1:12" x14ac:dyDescent="0.25">
      <c r="A8" t="s">
        <v>23</v>
      </c>
      <c r="B8" t="s">
        <v>19</v>
      </c>
      <c r="C8" s="2">
        <v>39181</v>
      </c>
      <c r="F8" s="9">
        <v>111562</v>
      </c>
      <c r="G8" s="9">
        <f>SUM(F8)</f>
        <v>111562</v>
      </c>
      <c r="I8" s="9">
        <v>111562</v>
      </c>
      <c r="J8" s="21" t="s">
        <v>62</v>
      </c>
      <c r="L8" s="23">
        <v>113459</v>
      </c>
    </row>
    <row r="10" spans="1:12" x14ac:dyDescent="0.25">
      <c r="A10" t="s">
        <v>24</v>
      </c>
      <c r="C10" s="2">
        <v>50040</v>
      </c>
      <c r="E10" s="9">
        <v>530718</v>
      </c>
      <c r="F10" s="9">
        <v>111562</v>
      </c>
      <c r="G10" s="9">
        <f>SUM(E10:F10)</f>
        <v>642280</v>
      </c>
      <c r="H10" s="9">
        <v>-25000</v>
      </c>
      <c r="I10" s="9">
        <f>SUM(G10:H10)</f>
        <v>617280</v>
      </c>
      <c r="J10" s="21" t="s">
        <v>63</v>
      </c>
      <c r="L10" s="23">
        <v>627774</v>
      </c>
    </row>
    <row r="11" spans="1:12" x14ac:dyDescent="0.25">
      <c r="A11" t="s">
        <v>33</v>
      </c>
      <c r="C11" s="2">
        <v>17001</v>
      </c>
      <c r="E11" s="9">
        <v>356360</v>
      </c>
      <c r="F11" s="9">
        <v>111562</v>
      </c>
      <c r="G11" s="9">
        <f>SUM(E11:F11)</f>
        <v>467922</v>
      </c>
      <c r="H11" s="9">
        <v>-25000</v>
      </c>
      <c r="I11" s="9">
        <f>SUM(G11:H11)</f>
        <v>442922</v>
      </c>
      <c r="J11" s="21" t="s">
        <v>64</v>
      </c>
      <c r="L11" s="23">
        <v>450452</v>
      </c>
    </row>
    <row r="13" spans="1:12" x14ac:dyDescent="0.25">
      <c r="A13" t="s">
        <v>58</v>
      </c>
      <c r="C13" s="2">
        <v>20070</v>
      </c>
      <c r="E13" s="9">
        <v>260400</v>
      </c>
      <c r="F13" s="9">
        <v>111562</v>
      </c>
      <c r="G13" s="9">
        <f>SUM(E13:F13)</f>
        <v>371962</v>
      </c>
      <c r="H13" s="9">
        <v>-25000</v>
      </c>
      <c r="I13" s="9">
        <f>SUM(G13:H13)</f>
        <v>346962</v>
      </c>
      <c r="J13" s="21" t="s">
        <v>65</v>
      </c>
      <c r="L13" s="23">
        <v>352860</v>
      </c>
    </row>
    <row r="15" spans="1:12" x14ac:dyDescent="0.25">
      <c r="A15" t="s">
        <v>25</v>
      </c>
      <c r="C15" s="2">
        <v>17116</v>
      </c>
      <c r="E15" s="9">
        <v>26500</v>
      </c>
      <c r="G15" s="9">
        <f>SUM(E15:F15)</f>
        <v>26500</v>
      </c>
      <c r="I15" s="17">
        <v>26500</v>
      </c>
      <c r="J15" s="21" t="s">
        <v>66</v>
      </c>
      <c r="L15" s="23">
        <v>26950</v>
      </c>
    </row>
    <row r="16" spans="1:12" x14ac:dyDescent="0.25">
      <c r="A16" t="s">
        <v>41</v>
      </c>
      <c r="C16" s="2">
        <v>39180</v>
      </c>
      <c r="E16" s="9">
        <v>54560</v>
      </c>
      <c r="G16" s="9">
        <f>SUM(E16:F16)</f>
        <v>54560</v>
      </c>
      <c r="I16" s="9">
        <v>54560</v>
      </c>
      <c r="J16" s="21" t="s">
        <v>62</v>
      </c>
      <c r="L16" s="23">
        <v>55488</v>
      </c>
    </row>
    <row r="17" spans="1:13" s="1" customFormat="1" x14ac:dyDescent="0.25">
      <c r="A17" s="1" t="s">
        <v>14</v>
      </c>
      <c r="C17" s="15"/>
      <c r="E17" s="16">
        <f>SUM(E3:E16)</f>
        <v>2605426</v>
      </c>
      <c r="F17" s="16">
        <f>SUM(F3:F16)</f>
        <v>669372</v>
      </c>
      <c r="G17" s="16">
        <f>SUM(G3:G16)</f>
        <v>3274798</v>
      </c>
      <c r="H17" s="18">
        <f>SUM(H3:H16)</f>
        <v>-150000</v>
      </c>
      <c r="I17" s="18">
        <f>SUM(I3:I16)</f>
        <v>3124798</v>
      </c>
      <c r="J17" s="22"/>
      <c r="L17" s="24">
        <f>SUM(L3:L16)</f>
        <v>3177921</v>
      </c>
    </row>
    <row r="18" spans="1:13" x14ac:dyDescent="0.25">
      <c r="E18" s="9" t="s">
        <v>49</v>
      </c>
      <c r="F18" s="9"/>
      <c r="G18" s="9"/>
    </row>
    <row r="19" spans="1:13" x14ac:dyDescent="0.25">
      <c r="M19" s="12"/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E7D1-6E1A-4EE9-B274-4532952476F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E219-CBE0-4289-8145-DB7059E579D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1"/>
  <sheetViews>
    <sheetView workbookViewId="0">
      <selection activeCell="F12" sqref="F12"/>
    </sheetView>
  </sheetViews>
  <sheetFormatPr defaultRowHeight="15" x14ac:dyDescent="0.25"/>
  <cols>
    <col min="1" max="1" width="48.28515625" customWidth="1"/>
    <col min="2" max="2" width="11" customWidth="1"/>
    <col min="3" max="3" width="13" style="7" customWidth="1"/>
    <col min="4" max="4" width="9.7109375" customWidth="1"/>
    <col min="5" max="5" width="18.28515625" customWidth="1"/>
    <col min="6" max="6" width="9.85546875" customWidth="1"/>
  </cols>
  <sheetData>
    <row r="1" spans="1:7" x14ac:dyDescent="0.25">
      <c r="A1" t="s">
        <v>68</v>
      </c>
    </row>
    <row r="3" spans="1:7" x14ac:dyDescent="0.25">
      <c r="C3" s="11" t="s">
        <v>11</v>
      </c>
    </row>
    <row r="4" spans="1:7" x14ac:dyDescent="0.25">
      <c r="A4" s="1" t="s">
        <v>0</v>
      </c>
      <c r="B4" s="1">
        <v>2018</v>
      </c>
      <c r="C4" s="13">
        <v>0.02</v>
      </c>
      <c r="D4" s="1">
        <v>2019</v>
      </c>
      <c r="E4" s="1" t="s">
        <v>1</v>
      </c>
      <c r="F4" s="1" t="s">
        <v>2</v>
      </c>
    </row>
    <row r="5" spans="1:7" x14ac:dyDescent="0.25">
      <c r="A5" t="s">
        <v>3</v>
      </c>
      <c r="B5" s="3">
        <v>356049</v>
      </c>
      <c r="C5" s="9">
        <v>7121</v>
      </c>
      <c r="D5" s="3">
        <v>363170</v>
      </c>
      <c r="E5" t="s">
        <v>9</v>
      </c>
    </row>
    <row r="6" spans="1:7" x14ac:dyDescent="0.25">
      <c r="A6" t="s">
        <v>4</v>
      </c>
      <c r="B6" s="3">
        <v>23045</v>
      </c>
      <c r="C6" s="9">
        <v>461</v>
      </c>
      <c r="D6" s="3">
        <v>23506</v>
      </c>
      <c r="E6" t="s">
        <v>9</v>
      </c>
    </row>
    <row r="7" spans="1:7" x14ac:dyDescent="0.25">
      <c r="A7" t="s">
        <v>5</v>
      </c>
      <c r="B7" s="3">
        <v>36871</v>
      </c>
      <c r="C7" s="9">
        <v>737</v>
      </c>
      <c r="D7" s="3">
        <v>37608</v>
      </c>
      <c r="E7" t="s">
        <v>9</v>
      </c>
    </row>
    <row r="8" spans="1:7" x14ac:dyDescent="0.25">
      <c r="A8" t="s">
        <v>6</v>
      </c>
      <c r="B8" s="3">
        <v>128774</v>
      </c>
      <c r="C8" s="9">
        <v>2575</v>
      </c>
      <c r="D8" s="3">
        <v>131349</v>
      </c>
      <c r="E8" t="s">
        <v>9</v>
      </c>
    </row>
    <row r="9" spans="1:7" x14ac:dyDescent="0.25">
      <c r="A9" t="s">
        <v>7</v>
      </c>
      <c r="B9" s="3">
        <v>62350</v>
      </c>
      <c r="C9" s="9">
        <v>1247</v>
      </c>
      <c r="D9" s="3">
        <v>63597</v>
      </c>
      <c r="E9" s="19" t="s">
        <v>9</v>
      </c>
      <c r="G9" s="6"/>
    </row>
    <row r="11" spans="1:7" x14ac:dyDescent="0.25">
      <c r="A11" t="s">
        <v>8</v>
      </c>
      <c r="B11" s="3">
        <v>62283</v>
      </c>
      <c r="C11" s="9">
        <v>1246</v>
      </c>
      <c r="D11" s="3">
        <v>63529</v>
      </c>
      <c r="E11" t="s">
        <v>9</v>
      </c>
    </row>
    <row r="12" spans="1:7" x14ac:dyDescent="0.25">
      <c r="B12" s="3">
        <f>SUM(B5:B11)</f>
        <v>669372</v>
      </c>
      <c r="C12" s="3"/>
      <c r="D12" s="3">
        <f>SUM(D5:D11)</f>
        <v>682759</v>
      </c>
      <c r="F12" t="s">
        <v>78</v>
      </c>
    </row>
    <row r="15" spans="1:7" x14ac:dyDescent="0.25">
      <c r="A15" s="1" t="s">
        <v>70</v>
      </c>
      <c r="B15" s="1">
        <v>2018</v>
      </c>
      <c r="D15" s="1" t="s">
        <v>53</v>
      </c>
      <c r="F15" s="1" t="s">
        <v>69</v>
      </c>
    </row>
    <row r="16" spans="1:7" x14ac:dyDescent="0.25">
      <c r="A16" t="s">
        <v>26</v>
      </c>
      <c r="B16" s="3">
        <v>529351</v>
      </c>
      <c r="D16" s="3">
        <v>105870</v>
      </c>
      <c r="E16" t="s">
        <v>15</v>
      </c>
      <c r="F16" s="3">
        <v>635221</v>
      </c>
    </row>
    <row r="17" spans="1:12" x14ac:dyDescent="0.25">
      <c r="A17" t="s">
        <v>31</v>
      </c>
      <c r="B17" s="3">
        <v>453474</v>
      </c>
      <c r="D17" s="3">
        <v>90695</v>
      </c>
      <c r="E17" t="s">
        <v>15</v>
      </c>
      <c r="F17" s="3">
        <v>544169</v>
      </c>
    </row>
    <row r="18" spans="1:12" x14ac:dyDescent="0.25">
      <c r="A18" t="s">
        <v>34</v>
      </c>
      <c r="B18" s="3">
        <v>356360</v>
      </c>
      <c r="D18" s="3">
        <v>71272</v>
      </c>
      <c r="E18" t="s">
        <v>15</v>
      </c>
      <c r="F18" s="3">
        <v>427632</v>
      </c>
    </row>
    <row r="19" spans="1:12" x14ac:dyDescent="0.25">
      <c r="A19" t="s">
        <v>27</v>
      </c>
      <c r="B19" s="3">
        <v>394063</v>
      </c>
      <c r="F19" s="3">
        <v>394063</v>
      </c>
    </row>
    <row r="20" spans="1:12" x14ac:dyDescent="0.25">
      <c r="A20" t="s">
        <v>12</v>
      </c>
      <c r="B20" s="3">
        <v>260400</v>
      </c>
      <c r="E20" s="14" t="s">
        <v>74</v>
      </c>
      <c r="F20" s="3">
        <v>262500</v>
      </c>
    </row>
    <row r="21" spans="1:12" x14ac:dyDescent="0.25">
      <c r="A21" t="s">
        <v>28</v>
      </c>
      <c r="B21" s="3">
        <v>530718</v>
      </c>
      <c r="D21" s="3">
        <v>106144</v>
      </c>
      <c r="E21" t="s">
        <v>15</v>
      </c>
      <c r="F21" s="3">
        <v>636862</v>
      </c>
      <c r="G21" t="s">
        <v>73</v>
      </c>
    </row>
    <row r="22" spans="1:12" x14ac:dyDescent="0.25">
      <c r="D22" s="3"/>
      <c r="F22" s="3"/>
      <c r="G22" s="20"/>
    </row>
    <row r="23" spans="1:12" x14ac:dyDescent="0.25">
      <c r="A23" t="s">
        <v>13</v>
      </c>
      <c r="B23" s="3">
        <v>26500</v>
      </c>
      <c r="D23" s="3"/>
      <c r="F23" s="3">
        <v>26500</v>
      </c>
    </row>
    <row r="24" spans="1:12" x14ac:dyDescent="0.25">
      <c r="A24" t="s">
        <v>76</v>
      </c>
      <c r="B24" s="3">
        <v>54560</v>
      </c>
      <c r="D24" s="3">
        <v>54560</v>
      </c>
      <c r="E24" s="4" t="s">
        <v>75</v>
      </c>
      <c r="F24" s="3">
        <v>55000</v>
      </c>
    </row>
    <row r="25" spans="1:12" x14ac:dyDescent="0.25">
      <c r="A25" t="s">
        <v>14</v>
      </c>
      <c r="B25" s="3">
        <f>SUM(B16:B24)</f>
        <v>2605426</v>
      </c>
      <c r="D25" s="3">
        <f>SUM(D16:D24)</f>
        <v>428541</v>
      </c>
      <c r="F25" s="3">
        <f>SUM(F16:F24)</f>
        <v>2981947</v>
      </c>
    </row>
    <row r="27" spans="1:12" x14ac:dyDescent="0.25">
      <c r="B27" t="s">
        <v>32</v>
      </c>
    </row>
    <row r="29" spans="1:12" x14ac:dyDescent="0.25">
      <c r="A29" s="6" t="s">
        <v>9</v>
      </c>
      <c r="B29" s="6" t="s">
        <v>71</v>
      </c>
      <c r="C29" s="8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5">
      <c r="B30" s="6" t="s">
        <v>72</v>
      </c>
    </row>
    <row r="31" spans="1:12" s="7" customFormat="1" x14ac:dyDescent="0.25">
      <c r="A31"/>
      <c r="B31" s="6"/>
      <c r="D31"/>
      <c r="E31"/>
      <c r="F31"/>
      <c r="G31"/>
      <c r="H31"/>
      <c r="I31"/>
      <c r="J31"/>
      <c r="K31"/>
      <c r="L3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0988-2112-4CF7-9838-B1E6E216FA86}">
  <dimension ref="A1:M19"/>
  <sheetViews>
    <sheetView workbookViewId="0">
      <selection activeCell="G24" sqref="G24"/>
    </sheetView>
  </sheetViews>
  <sheetFormatPr defaultRowHeight="15" x14ac:dyDescent="0.25"/>
  <cols>
    <col min="3" max="3" width="12" style="2" bestFit="1" customWidth="1"/>
    <col min="5" max="5" width="9.140625" style="2"/>
    <col min="6" max="6" width="12.5703125" style="2" customWidth="1"/>
    <col min="7" max="7" width="25.85546875" style="2" customWidth="1"/>
    <col min="8" max="8" width="11" style="2" customWidth="1"/>
    <col min="9" max="9" width="22" style="31" customWidth="1"/>
    <col min="10" max="10" width="9.140625" style="25"/>
    <col min="11" max="11" width="9.140625" style="26"/>
    <col min="12" max="12" width="18.42578125" style="28" customWidth="1"/>
  </cols>
  <sheetData>
    <row r="1" spans="1:12" x14ac:dyDescent="0.25">
      <c r="C1" s="15" t="s">
        <v>30</v>
      </c>
      <c r="E1" s="15" t="s">
        <v>20</v>
      </c>
      <c r="F1" s="15" t="s">
        <v>19</v>
      </c>
      <c r="G1" s="15" t="s">
        <v>79</v>
      </c>
      <c r="H1" s="15" t="s">
        <v>46</v>
      </c>
      <c r="I1" s="35" t="s">
        <v>84</v>
      </c>
      <c r="J1" s="27" t="s">
        <v>83</v>
      </c>
      <c r="L1" s="27" t="s">
        <v>82</v>
      </c>
    </row>
    <row r="2" spans="1:12" x14ac:dyDescent="0.25">
      <c r="C2" s="15"/>
      <c r="E2" s="15"/>
      <c r="F2" s="15"/>
      <c r="G2" s="15"/>
    </row>
    <row r="3" spans="1:12" x14ac:dyDescent="0.25">
      <c r="A3" t="s">
        <v>21</v>
      </c>
      <c r="C3" s="2">
        <v>2392</v>
      </c>
      <c r="E3" s="9">
        <v>635221</v>
      </c>
      <c r="F3" s="9">
        <v>113793</v>
      </c>
      <c r="G3" s="9">
        <f>SUM(E3:F3)</f>
        <v>749014</v>
      </c>
      <c r="H3" s="9">
        <v>-25000</v>
      </c>
      <c r="I3" s="32">
        <f>SUM(G3:H3)</f>
        <v>724014</v>
      </c>
      <c r="J3" s="25" t="s">
        <v>80</v>
      </c>
      <c r="L3" s="28">
        <v>626384</v>
      </c>
    </row>
    <row r="5" spans="1:12" x14ac:dyDescent="0.25">
      <c r="A5" t="s">
        <v>22</v>
      </c>
      <c r="C5" s="2">
        <v>1394</v>
      </c>
      <c r="E5" s="9">
        <v>544169</v>
      </c>
      <c r="F5" s="9">
        <v>113793</v>
      </c>
      <c r="G5" s="9">
        <f>SUM(E5:F5)</f>
        <v>657962</v>
      </c>
      <c r="H5" s="9">
        <v>-25000</v>
      </c>
      <c r="I5" s="32">
        <f>SUM(G5:H5)</f>
        <v>632962</v>
      </c>
      <c r="J5" s="25" t="s">
        <v>81</v>
      </c>
      <c r="L5" s="28">
        <v>549217</v>
      </c>
    </row>
    <row r="7" spans="1:12" x14ac:dyDescent="0.25">
      <c r="A7" t="s">
        <v>23</v>
      </c>
      <c r="B7" t="s">
        <v>20</v>
      </c>
      <c r="C7" s="2">
        <v>4646</v>
      </c>
      <c r="E7" s="9">
        <v>394063</v>
      </c>
      <c r="G7" s="9">
        <f>SUM(E7:F7)</f>
        <v>394063</v>
      </c>
      <c r="H7" s="17">
        <v>-25000</v>
      </c>
      <c r="I7" s="32">
        <f>SUM(G7:H7)</f>
        <v>369063</v>
      </c>
      <c r="J7" s="25" t="s">
        <v>62</v>
      </c>
      <c r="L7" s="28">
        <v>375337</v>
      </c>
    </row>
    <row r="8" spans="1:12" x14ac:dyDescent="0.25">
      <c r="A8" t="s">
        <v>23</v>
      </c>
      <c r="B8" t="s">
        <v>19</v>
      </c>
      <c r="C8" s="2">
        <v>4646</v>
      </c>
      <c r="F8" s="9">
        <v>113793</v>
      </c>
      <c r="G8" s="9">
        <f>SUM(F8)</f>
        <v>113793</v>
      </c>
      <c r="I8" s="32">
        <v>113793</v>
      </c>
      <c r="J8" s="25" t="s">
        <v>62</v>
      </c>
      <c r="L8" s="28">
        <v>113459</v>
      </c>
    </row>
    <row r="10" spans="1:12" x14ac:dyDescent="0.25">
      <c r="A10" t="s">
        <v>24</v>
      </c>
      <c r="C10" s="2">
        <v>4374</v>
      </c>
      <c r="E10" s="9">
        <v>636862</v>
      </c>
      <c r="F10" s="9">
        <v>113793</v>
      </c>
      <c r="G10" s="9">
        <f>SUM(E10:F10)</f>
        <v>750655</v>
      </c>
      <c r="H10" s="9">
        <v>-25000</v>
      </c>
      <c r="I10" s="32">
        <f>SUM(G10:H10)</f>
        <v>725655</v>
      </c>
      <c r="J10" s="25" t="s">
        <v>63</v>
      </c>
      <c r="L10" s="28">
        <v>627774</v>
      </c>
    </row>
    <row r="11" spans="1:12" x14ac:dyDescent="0.25">
      <c r="A11" t="s">
        <v>33</v>
      </c>
      <c r="C11" s="2">
        <v>5175</v>
      </c>
      <c r="E11" s="9">
        <v>427632</v>
      </c>
      <c r="F11" s="9">
        <v>113793</v>
      </c>
      <c r="G11" s="9">
        <f>SUM(E11:F11)</f>
        <v>541425</v>
      </c>
      <c r="H11" s="9">
        <v>-25000</v>
      </c>
      <c r="I11" s="32">
        <f>SUM(G11:H11)</f>
        <v>516425</v>
      </c>
      <c r="J11" s="25" t="s">
        <v>64</v>
      </c>
      <c r="L11" s="28">
        <v>450452</v>
      </c>
    </row>
    <row r="13" spans="1:12" x14ac:dyDescent="0.25">
      <c r="A13" t="s">
        <v>77</v>
      </c>
      <c r="C13" s="2">
        <v>4224</v>
      </c>
      <c r="E13" s="9">
        <v>262500</v>
      </c>
      <c r="F13" s="9">
        <v>113793</v>
      </c>
      <c r="G13" s="9">
        <f>SUM(E13:F13)</f>
        <v>376293</v>
      </c>
      <c r="H13" s="9">
        <v>-25000</v>
      </c>
      <c r="I13" s="32">
        <f>SUM(G13:H13)</f>
        <v>351293</v>
      </c>
      <c r="J13" s="25" t="s">
        <v>65</v>
      </c>
      <c r="L13" s="28">
        <v>352860</v>
      </c>
    </row>
    <row r="15" spans="1:12" x14ac:dyDescent="0.25">
      <c r="A15" t="s">
        <v>25</v>
      </c>
      <c r="C15" s="2">
        <v>4331</v>
      </c>
      <c r="E15" s="9">
        <v>26500</v>
      </c>
      <c r="G15" s="9">
        <f>SUM(E15:F15)</f>
        <v>26500</v>
      </c>
      <c r="I15" s="33">
        <v>26500</v>
      </c>
      <c r="J15" s="25" t="s">
        <v>66</v>
      </c>
      <c r="L15" s="28">
        <v>26950</v>
      </c>
    </row>
    <row r="16" spans="1:12" x14ac:dyDescent="0.25">
      <c r="A16" t="s">
        <v>41</v>
      </c>
      <c r="C16" s="2">
        <v>4646</v>
      </c>
      <c r="E16" s="9">
        <v>55000</v>
      </c>
      <c r="G16" s="9">
        <f>SUM(E16:F16)</f>
        <v>55000</v>
      </c>
      <c r="I16" s="32">
        <v>55000</v>
      </c>
      <c r="J16" s="25" t="s">
        <v>62</v>
      </c>
      <c r="L16" s="28">
        <v>55488</v>
      </c>
    </row>
    <row r="17" spans="1:13" s="1" customFormat="1" x14ac:dyDescent="0.25">
      <c r="A17" s="1" t="s">
        <v>14</v>
      </c>
      <c r="C17" s="15"/>
      <c r="E17" s="16">
        <f>SUM(E3:E16)</f>
        <v>2981947</v>
      </c>
      <c r="F17" s="16">
        <f>SUM(F3:F16)</f>
        <v>682758</v>
      </c>
      <c r="G17" s="16">
        <f>SUM(G3:G16)</f>
        <v>3664705</v>
      </c>
      <c r="H17" s="18">
        <f>SUM(H3:H16)</f>
        <v>-150000</v>
      </c>
      <c r="I17" s="34">
        <f>SUM(I3:I16)</f>
        <v>3514705</v>
      </c>
      <c r="J17" s="27"/>
      <c r="K17" s="29"/>
      <c r="L17" s="30">
        <f>SUM(L3:L16)</f>
        <v>3177921</v>
      </c>
    </row>
    <row r="18" spans="1:13" x14ac:dyDescent="0.25">
      <c r="E18" s="9" t="s">
        <v>49</v>
      </c>
      <c r="F18" s="9"/>
      <c r="G18" s="9"/>
    </row>
    <row r="19" spans="1:13" x14ac:dyDescent="0.25">
      <c r="M19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6a412d2-aea5-45d9-add9-4615ec186553" ContentTypeId="0x010100B015E2879F2C3E49A84E4FBA662FB26A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MigreringsDokument" ma:contentTypeID="0x010100B015E2879F2C3E49A84E4FBA662FB26A0046F37DEC036D284BBEE537A85881DFA0" ma:contentTypeVersion="8" ma:contentTypeDescription="" ma:contentTypeScope="" ma:versionID="5b08fafe86f7f571e4c0ccded24868ae">
  <xsd:schema xmlns:xsd="http://www.w3.org/2001/XMLSchema" xmlns:xs="http://www.w3.org/2001/XMLSchema" xmlns:p="http://schemas.microsoft.com/office/2006/metadata/properties" xmlns:ns2="0dd46b0f-e2c7-4a31-a61e-54a1e81a6d74" targetNamespace="http://schemas.microsoft.com/office/2006/metadata/properties" ma:root="true" ma:fieldsID="0007e0f330d9eee3e690153d0de93410" ns2:_="">
    <xsd:import namespace="0dd46b0f-e2c7-4a31-a61e-54a1e81a6d74"/>
    <xsd:element name="properties">
      <xsd:complexType>
        <xsd:sequence>
          <xsd:element name="documentManagement">
            <xsd:complexType>
              <xsd:all>
                <xsd:element ref="ns2:MigrationPath" minOccurs="0"/>
                <xsd:element ref="ns2:MigrationDirectoryID" minOccurs="0"/>
                <xsd:element ref="ns2:MigrationOriginalDate" minOccurs="0"/>
                <xsd:element ref="ns2:j2c2601e249f4d2993f2fcc4fe83f7c1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46b0f-e2c7-4a31-a61e-54a1e81a6d74" elementFormDefault="qualified">
    <xsd:import namespace="http://schemas.microsoft.com/office/2006/documentManagement/types"/>
    <xsd:import namespace="http://schemas.microsoft.com/office/infopath/2007/PartnerControls"/>
    <xsd:element name="MigrationPath" ma:index="8" nillable="true" ma:displayName="Migreringssti" ma:internalName="MigrationPath" ma:readOnly="false">
      <xsd:simpleType>
        <xsd:restriction base="dms:Text">
          <xsd:maxLength value="255"/>
        </xsd:restriction>
      </xsd:simpleType>
    </xsd:element>
    <xsd:element name="MigrationDirectoryID" ma:index="9" nillable="true" ma:displayName="MigreringsFolderId" ma:internalName="MigrationDirectoryID" ma:readOnly="false">
      <xsd:simpleType>
        <xsd:restriction base="dms:Text">
          <xsd:maxLength value="255"/>
        </xsd:restriction>
      </xsd:simpleType>
    </xsd:element>
    <xsd:element name="MigrationOriginalDate" ma:index="10" nillable="true" ma:displayName="Original dato" ma:description="The modified date from the file system" ma:format="DateTime" ma:internalName="MigrationOriginalDate">
      <xsd:simpleType>
        <xsd:restriction base="dms:DateTime"/>
      </xsd:simpleType>
    </xsd:element>
    <xsd:element name="j2c2601e249f4d2993f2fcc4fe83f7c1" ma:index="11" nillable="true" ma:taxonomy="true" ma:internalName="j2c2601e249f4d2993f2fcc4fe83f7c1" ma:taxonomyFieldName="Sensitivity" ma:displayName="Sensitivity" ma:default="" ma:fieldId="{32c2601e-249f-4d29-93f2-fcc4fe83f7c1}" ma:sspId="e6a412d2-aea5-45d9-add9-4615ec186553" ma:termSetId="2400aab3-62fb-4893-836f-46f56c17e615" ma:anchorId="a96bf159-1ff9-48c6-9318-7ab65633f375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1adb61e6-50f3-4f94-b9a9-c9b4ea046575}" ma:internalName="TaxCatchAll" ma:showField="CatchAllData" ma:web="45c24c4d-4de2-4a11-996b-ad1b02b5a5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1adb61e6-50f3-4f94-b9a9-c9b4ea046575}" ma:internalName="TaxCatchAllLabel" ma:readOnly="true" ma:showField="CatchAllDataLabel" ma:web="45c24c4d-4de2-4a11-996b-ad1b02b5a5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Path xmlns="0dd46b0f-e2c7-4a31-a61e-54a1e81a6d74">\\kk-dfs.kk.dk\of$\KEjd\SERVICE &amp; KUNDER\RÅDHUSSERVICE\Betjent\_Rådhusvagten\Vagtplaner\Regnskab og statistik\Skanningsregnskab\Skanningsregnskab 2017.xlsx</MigrationPath>
    <MigrationDirectoryID xmlns="0dd46b0f-e2c7-4a31-a61e-54a1e81a6d74">09EDC72A8866492D2207FEA42E675ECF84126AE7</MigrationDirectoryID>
    <MigrationOriginalDate xmlns="0dd46b0f-e2c7-4a31-a61e-54a1e81a6d74" xsi:nil="true"/>
    <TaxCatchAll xmlns="0dd46b0f-e2c7-4a31-a61e-54a1e81a6d74"/>
    <j2c2601e249f4d2993f2fcc4fe83f7c1 xmlns="0dd46b0f-e2c7-4a31-a61e-54a1e81a6d74">
      <Terms xmlns="http://schemas.microsoft.com/office/infopath/2007/PartnerControls"/>
    </j2c2601e249f4d2993f2fcc4fe83f7c1>
  </documentManagement>
</p:properties>
</file>

<file path=customXml/itemProps1.xml><?xml version="1.0" encoding="utf-8"?>
<ds:datastoreItem xmlns:ds="http://schemas.openxmlformats.org/officeDocument/2006/customXml" ds:itemID="{042BFB81-93FE-4547-A38F-A8C97BE070B5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218D5ABF-D6E2-4200-A257-50666F1D4A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46b0f-e2c7-4a31-a61e-54a1e81a6d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647C37-0BFA-43C4-9938-BC34B2AB0D4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632CEFB-61FD-4B4C-9500-1FE1215D1C6F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0dd46b0f-e2c7-4a31-a61e-54a1e81a6d74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8</vt:i4>
      </vt:variant>
    </vt:vector>
  </HeadingPairs>
  <TitlesOfParts>
    <vt:vector size="8" baseType="lpstr">
      <vt:lpstr>Regnskab 2016</vt:lpstr>
      <vt:lpstr>Opkrævning 2016</vt:lpstr>
      <vt:lpstr>Regnskab 2017</vt:lpstr>
      <vt:lpstr>Opkrævning 2017</vt:lpstr>
      <vt:lpstr>Regnskab 2018</vt:lpstr>
      <vt:lpstr>Opkrævning 2018</vt:lpstr>
      <vt:lpstr>Regnskab 2019</vt:lpstr>
      <vt:lpstr>Opkrævning 2019</vt:lpstr>
    </vt:vector>
  </TitlesOfParts>
  <Company>Københavns Kommune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 Larsen</dc:creator>
  <cp:lastModifiedBy>Claus Lahn</cp:lastModifiedBy>
  <cp:lastPrinted>2017-11-27T13:35:03Z</cp:lastPrinted>
  <dcterms:created xsi:type="dcterms:W3CDTF">2015-03-25T09:05:54Z</dcterms:created>
  <dcterms:modified xsi:type="dcterms:W3CDTF">2019-08-22T08:34:30Z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0x010100B015E2879F2C3E49A84E4FBA662FB26A0046F37DEC036D284BBEE537A85881DFA0</vt:lpwstr>
  </property>
  <property fmtid="{D5CDD505-2E9C-101B-9397-08002B2CF9AE}" pid="3" name="Order">
    <vt:r8>100</vt:r8>
  </property>
  <property fmtid="{D5CDD505-2E9C-101B-9397-08002B2CF9AE}" pid="4" name="Sensitivity">
    <vt:lpwstr/>
  </property>
</Properties>
</file>