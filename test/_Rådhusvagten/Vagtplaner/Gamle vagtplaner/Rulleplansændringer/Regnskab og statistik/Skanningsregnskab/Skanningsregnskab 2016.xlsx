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3"/>
  </bookViews>
  <sheets>
    <sheet name="Regnskab 2015" sheetId="1" r:id="rId1"/>
    <sheet name="Opkrævning 2015" sheetId="2" r:id="rId2"/>
    <sheet name="Regnskab 2016" sheetId="3" r:id="rId3"/>
    <sheet name="Opkrævning 2016" sheetId="4" r:id="rId4"/>
  </sheets>
  <calcPr calcId="125725"/>
</workbook>
</file>

<file path=xl/calcChain.xml><?xml version="1.0" encoding="utf-8"?>
<calcChain xmlns="http://schemas.openxmlformats.org/spreadsheetml/2006/main">
  <c r="I11" i="4"/>
  <c r="I10"/>
  <c r="I7"/>
  <c r="I5"/>
  <c r="I3"/>
  <c r="H18"/>
  <c r="F18"/>
  <c r="E18"/>
  <c r="G17"/>
  <c r="G15"/>
  <c r="G13"/>
  <c r="I13" s="1"/>
  <c r="G11"/>
  <c r="G10"/>
  <c r="G8"/>
  <c r="G7"/>
  <c r="G5"/>
  <c r="G3"/>
  <c r="F27" i="3"/>
  <c r="D27"/>
  <c r="B27"/>
  <c r="D12"/>
  <c r="B12"/>
  <c r="B12" i="1"/>
  <c r="B27"/>
  <c r="G9" i="2"/>
  <c r="E17"/>
  <c r="F17"/>
  <c r="G17"/>
  <c r="I18" i="4" l="1"/>
  <c r="G18"/>
  <c r="G10" i="2"/>
  <c r="G16"/>
  <c r="G14"/>
  <c r="G12"/>
  <c r="G7"/>
  <c r="G6"/>
  <c r="G4"/>
  <c r="G2"/>
  <c r="D12" i="1"/>
  <c r="F27"/>
  <c r="D27"/>
</calcChain>
</file>

<file path=xl/sharedStrings.xml><?xml version="1.0" encoding="utf-8"?>
<sst xmlns="http://schemas.openxmlformats.org/spreadsheetml/2006/main" count="126" uniqueCount="54">
  <si>
    <t>Udgifter</t>
  </si>
  <si>
    <t>Betaling</t>
  </si>
  <si>
    <t>Indtægt</t>
  </si>
  <si>
    <t>Husleje</t>
  </si>
  <si>
    <t>El</t>
  </si>
  <si>
    <t>Varme</t>
  </si>
  <si>
    <t>Vagt</t>
  </si>
  <si>
    <t>Rengøring</t>
  </si>
  <si>
    <t>Øvrige driftudgifter</t>
  </si>
  <si>
    <t>Fordelingsnøgle</t>
  </si>
  <si>
    <t>Skanning</t>
  </si>
  <si>
    <t>Prisfremskrivning</t>
  </si>
  <si>
    <t>SUF 3 timer pr. dag a kr. 350,- x arbejdsdage</t>
  </si>
  <si>
    <t>Koncernservice</t>
  </si>
  <si>
    <t>I alt</t>
  </si>
  <si>
    <t>x20%</t>
  </si>
  <si>
    <t>I alt løn</t>
  </si>
  <si>
    <t>251 arbejdsdage i 15</t>
  </si>
  <si>
    <t>Lønninger: bruttolønxlønfremskr.2%xoverheadx20</t>
  </si>
  <si>
    <t>Skanning (udgiften er skønnet ved opstart af skanningscentralen)dækker papir-arbejdstøj-toner-servicekontrakter på skannere osv.</t>
  </si>
  <si>
    <t>Drift</t>
  </si>
  <si>
    <t>Løn</t>
  </si>
  <si>
    <t>ØKF</t>
  </si>
  <si>
    <t>TMF</t>
  </si>
  <si>
    <t>BUF</t>
  </si>
  <si>
    <t>KFF incl. KBS</t>
  </si>
  <si>
    <t>SUF 251 dage</t>
  </si>
  <si>
    <t>KS</t>
  </si>
  <si>
    <t>BUF distikter</t>
  </si>
  <si>
    <t>Karsten Pøhl (ØK)</t>
  </si>
  <si>
    <t>Karina Petersen (ikke 20%) (BUF)</t>
  </si>
  <si>
    <t>Henrik Dencker KBS(licencer) (KFF)</t>
  </si>
  <si>
    <t>BUF 220 x antal dage 249 dage i 2014)(distrikterne)</t>
  </si>
  <si>
    <t>Org. Nr</t>
  </si>
  <si>
    <t>Ann Nielsen (TMF)</t>
  </si>
  <si>
    <t>Dette føres over i opkrævningsarket</t>
  </si>
  <si>
    <t>Kejd HNG</t>
  </si>
  <si>
    <t>½ Claus Lahn (Kejd HNG)</t>
  </si>
  <si>
    <t>I opkrævningen er Berit og henriks løn lagt sammen</t>
  </si>
  <si>
    <t>Berit Bavnbæk (KFF)½ årsværk</t>
  </si>
  <si>
    <t>I alt udgift opkræves 2016</t>
  </si>
  <si>
    <t>Opkrævning for skanning 2016 (fremskivning 1.67%)</t>
  </si>
  <si>
    <t>1.67%</t>
  </si>
  <si>
    <t>Der er ikke fremskrevet i 2016 grundet nedgang i skannings mængden</t>
  </si>
  <si>
    <t>Hovedstadens Beredskab - HB (252 dage i 2016)</t>
  </si>
  <si>
    <t>BUF distrikter</t>
  </si>
  <si>
    <t>HB</t>
  </si>
  <si>
    <t>EAN 5798009489142</t>
  </si>
  <si>
    <t>Opkrævning for skanning 2016 (fremskrivning 1.67%)</t>
  </si>
  <si>
    <t>252 arbejdsdage i 16</t>
  </si>
  <si>
    <t>Rabat</t>
  </si>
  <si>
    <t>Reel Opkrævning</t>
  </si>
  <si>
    <t>SUF 253 dage</t>
  </si>
  <si>
    <t xml:space="preserve">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</si>
</sst>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/>
    <xf numFmtId="3" fontId="0" fillId="0" borderId="1" xfId="0" applyNumberFormat="1" applyBorder="1"/>
    <xf numFmtId="0" fontId="3" fillId="0" borderId="0" xfId="0" applyFont="1"/>
    <xf numFmtId="0" fontId="0" fillId="0" borderId="0" xfId="0" applyNumberFormat="1"/>
    <xf numFmtId="0" fontId="3" fillId="0" borderId="0" xfId="0" applyNumberFormat="1" applyFont="1"/>
    <xf numFmtId="3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1"/>
  <sheetViews>
    <sheetView workbookViewId="0">
      <selection activeCell="B12" sqref="B12"/>
    </sheetView>
  </sheetViews>
  <sheetFormatPr defaultRowHeight="15"/>
  <cols>
    <col min="1" max="1" width="46.5703125" customWidth="1"/>
    <col min="3" max="3" width="16.85546875" customWidth="1"/>
    <col min="4" max="4" width="13.28515625" customWidth="1"/>
    <col min="5" max="5" width="15.5703125" customWidth="1"/>
  </cols>
  <sheetData>
    <row r="1" spans="1:7">
      <c r="A1" t="s">
        <v>41</v>
      </c>
    </row>
    <row r="3" spans="1:7">
      <c r="C3" s="4" t="s">
        <v>11</v>
      </c>
    </row>
    <row r="4" spans="1:7">
      <c r="A4" s="1" t="s">
        <v>0</v>
      </c>
      <c r="B4">
        <v>2015</v>
      </c>
      <c r="C4" s="2" t="s">
        <v>42</v>
      </c>
      <c r="D4">
        <v>2016</v>
      </c>
      <c r="E4" s="1" t="s">
        <v>1</v>
      </c>
      <c r="F4" s="1" t="s">
        <v>2</v>
      </c>
    </row>
    <row r="5" spans="1:7">
      <c r="A5" t="s">
        <v>3</v>
      </c>
      <c r="B5" s="3">
        <v>342998</v>
      </c>
      <c r="C5" s="2" t="s">
        <v>42</v>
      </c>
      <c r="E5" t="s">
        <v>9</v>
      </c>
    </row>
    <row r="6" spans="1:7">
      <c r="A6" t="s">
        <v>4</v>
      </c>
      <c r="B6" s="3">
        <v>22200</v>
      </c>
      <c r="C6" s="2" t="s">
        <v>42</v>
      </c>
      <c r="E6" t="s">
        <v>9</v>
      </c>
    </row>
    <row r="7" spans="1:7">
      <c r="A7" t="s">
        <v>5</v>
      </c>
      <c r="B7" s="3">
        <v>35520</v>
      </c>
      <c r="C7" s="2" t="s">
        <v>42</v>
      </c>
      <c r="E7" t="s">
        <v>9</v>
      </c>
    </row>
    <row r="8" spans="1:7">
      <c r="A8" t="s">
        <v>6</v>
      </c>
      <c r="B8" s="3">
        <v>124053</v>
      </c>
      <c r="C8" s="2" t="s">
        <v>42</v>
      </c>
      <c r="E8" t="s">
        <v>9</v>
      </c>
    </row>
    <row r="9" spans="1:7">
      <c r="A9" t="s">
        <v>7</v>
      </c>
      <c r="B9" s="3">
        <v>60064</v>
      </c>
      <c r="C9" s="2" t="s">
        <v>42</v>
      </c>
      <c r="E9" s="6" t="s">
        <v>9</v>
      </c>
      <c r="G9" s="6" t="s">
        <v>10</v>
      </c>
    </row>
    <row r="11" spans="1:7">
      <c r="A11" t="s">
        <v>8</v>
      </c>
      <c r="B11" s="3">
        <v>60000</v>
      </c>
      <c r="E11" t="s">
        <v>9</v>
      </c>
    </row>
    <row r="12" spans="1:7">
      <c r="B12" s="3">
        <f>SUM(B5:B11)</f>
        <v>644835</v>
      </c>
      <c r="D12" s="3">
        <f>SUM(D5:D11)</f>
        <v>0</v>
      </c>
    </row>
    <row r="15" spans="1:7">
      <c r="A15" s="1" t="s">
        <v>18</v>
      </c>
      <c r="B15">
        <v>2015</v>
      </c>
      <c r="D15">
        <v>2016</v>
      </c>
      <c r="F15" t="s">
        <v>16</v>
      </c>
    </row>
    <row r="16" spans="1:7">
      <c r="A16" t="s">
        <v>29</v>
      </c>
      <c r="B16" s="3">
        <v>360397</v>
      </c>
      <c r="E16" t="s">
        <v>15</v>
      </c>
      <c r="F16" s="3"/>
    </row>
    <row r="17" spans="1:16">
      <c r="A17" t="s">
        <v>34</v>
      </c>
      <c r="B17" s="3">
        <v>308738</v>
      </c>
      <c r="E17" t="s">
        <v>15</v>
      </c>
      <c r="F17" s="3"/>
    </row>
    <row r="18" spans="1:16">
      <c r="A18" t="s">
        <v>39</v>
      </c>
      <c r="B18" s="3">
        <v>144530</v>
      </c>
      <c r="E18" t="s">
        <v>15</v>
      </c>
      <c r="F18" s="3"/>
    </row>
    <row r="19" spans="1:16">
      <c r="A19" t="s">
        <v>37</v>
      </c>
      <c r="B19" s="3">
        <v>242620</v>
      </c>
      <c r="E19" t="s">
        <v>15</v>
      </c>
      <c r="F19" s="3"/>
    </row>
    <row r="20" spans="1:16">
      <c r="A20" t="s">
        <v>30</v>
      </c>
      <c r="B20" s="3">
        <v>386336</v>
      </c>
      <c r="F20" s="3"/>
    </row>
    <row r="21" spans="1:16">
      <c r="A21" t="s">
        <v>12</v>
      </c>
      <c r="B21" s="3">
        <v>263550</v>
      </c>
      <c r="F21" s="3"/>
    </row>
    <row r="22" spans="1:16">
      <c r="A22" t="s">
        <v>31</v>
      </c>
      <c r="B22" s="3">
        <v>361328</v>
      </c>
      <c r="E22" t="s">
        <v>15</v>
      </c>
      <c r="F22" s="3"/>
      <c r="G22" t="s">
        <v>38</v>
      </c>
    </row>
    <row r="23" spans="1:16">
      <c r="D23" s="3"/>
      <c r="F23" s="3"/>
    </row>
    <row r="24" spans="1:16">
      <c r="A24" t="s">
        <v>13</v>
      </c>
      <c r="B24" s="3">
        <v>26500</v>
      </c>
      <c r="D24" s="3">
        <v>26500</v>
      </c>
      <c r="F24" s="3">
        <v>26500</v>
      </c>
    </row>
    <row r="25" spans="1:16">
      <c r="A25" t="s">
        <v>32</v>
      </c>
      <c r="B25" s="3">
        <v>54780</v>
      </c>
      <c r="D25" s="3">
        <v>55220</v>
      </c>
      <c r="E25" s="4" t="s">
        <v>17</v>
      </c>
      <c r="F25" s="3">
        <v>55220</v>
      </c>
    </row>
    <row r="27" spans="1:16">
      <c r="A27" t="s">
        <v>14</v>
      </c>
      <c r="B27" s="3">
        <f>SUM(B16:B26)</f>
        <v>2148779</v>
      </c>
      <c r="D27" s="3">
        <f>SUM(D16:D26)</f>
        <v>81720</v>
      </c>
      <c r="F27" s="3">
        <f>SUM(F16:F26)</f>
        <v>81720</v>
      </c>
    </row>
    <row r="29" spans="1:16">
      <c r="B29" t="s">
        <v>35</v>
      </c>
    </row>
    <row r="31" spans="1:16">
      <c r="A31" s="6" t="s">
        <v>9</v>
      </c>
      <c r="B31" s="6" t="s">
        <v>19</v>
      </c>
      <c r="C31" s="6"/>
      <c r="D31" s="6"/>
      <c r="E31" s="6"/>
      <c r="F31" s="6"/>
      <c r="G31" s="6"/>
      <c r="H31" s="6"/>
      <c r="I31" s="6"/>
      <c r="J31" s="6"/>
      <c r="K31" s="6"/>
      <c r="L31" s="6"/>
      <c r="N31" s="6"/>
      <c r="P31" s="6"/>
    </row>
  </sheetData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23" sqref="B23"/>
    </sheetView>
  </sheetViews>
  <sheetFormatPr defaultRowHeight="15"/>
  <cols>
    <col min="1" max="1" width="15.5703125" customWidth="1"/>
    <col min="2" max="2" width="16.42578125" customWidth="1"/>
    <col min="7" max="7" width="21.85546875" customWidth="1"/>
  </cols>
  <sheetData>
    <row r="1" spans="1:9">
      <c r="C1" s="1" t="s">
        <v>33</v>
      </c>
      <c r="E1" s="1" t="s">
        <v>21</v>
      </c>
      <c r="F1" s="1" t="s">
        <v>20</v>
      </c>
      <c r="G1" s="1" t="s">
        <v>40</v>
      </c>
      <c r="I1" s="1"/>
    </row>
    <row r="2" spans="1:9">
      <c r="A2" t="s">
        <v>22</v>
      </c>
      <c r="C2">
        <v>11023</v>
      </c>
      <c r="E2" s="3">
        <v>432476</v>
      </c>
      <c r="F2" s="3">
        <v>107473</v>
      </c>
      <c r="G2" s="3">
        <f>SUM(E2:F2)</f>
        <v>539949</v>
      </c>
    </row>
    <row r="4" spans="1:9">
      <c r="A4" t="s">
        <v>23</v>
      </c>
      <c r="C4">
        <v>49700</v>
      </c>
      <c r="E4" s="3">
        <v>370486</v>
      </c>
      <c r="F4" s="3">
        <v>107473</v>
      </c>
      <c r="G4" s="3">
        <f>SUM(E4:F4)</f>
        <v>477959</v>
      </c>
    </row>
    <row r="6" spans="1:9">
      <c r="A6" t="s">
        <v>24</v>
      </c>
      <c r="B6" t="s">
        <v>21</v>
      </c>
      <c r="C6">
        <v>39160</v>
      </c>
      <c r="E6" s="3">
        <v>386336</v>
      </c>
      <c r="G6" s="3">
        <f>SUM(E6:F6)</f>
        <v>386336</v>
      </c>
    </row>
    <row r="7" spans="1:9">
      <c r="A7" t="s">
        <v>24</v>
      </c>
      <c r="B7" t="s">
        <v>20</v>
      </c>
      <c r="C7">
        <v>39181</v>
      </c>
      <c r="F7" s="3">
        <v>107473</v>
      </c>
      <c r="G7" s="3">
        <f>SUM(F7)</f>
        <v>107473</v>
      </c>
    </row>
    <row r="9" spans="1:9">
      <c r="A9" t="s">
        <v>25</v>
      </c>
      <c r="E9" s="3">
        <v>607029</v>
      </c>
      <c r="F9" s="3">
        <v>107473</v>
      </c>
      <c r="G9" s="3">
        <f>SUM(E9:F9)</f>
        <v>714502</v>
      </c>
    </row>
    <row r="10" spans="1:9">
      <c r="A10" t="s">
        <v>36</v>
      </c>
      <c r="C10">
        <v>17001</v>
      </c>
      <c r="E10" s="3">
        <v>291144</v>
      </c>
      <c r="F10" s="3">
        <v>107473</v>
      </c>
      <c r="G10" s="3">
        <f>SUM(E10:F10)</f>
        <v>398617</v>
      </c>
    </row>
    <row r="12" spans="1:9">
      <c r="A12" t="s">
        <v>26</v>
      </c>
      <c r="C12">
        <v>20070</v>
      </c>
      <c r="E12" s="3">
        <v>263550</v>
      </c>
      <c r="F12" s="3">
        <v>107473</v>
      </c>
      <c r="G12" s="3">
        <f>SUM(E12:F12)</f>
        <v>371023</v>
      </c>
    </row>
    <row r="14" spans="1:9">
      <c r="A14" t="s">
        <v>27</v>
      </c>
      <c r="C14">
        <v>17116</v>
      </c>
      <c r="E14" s="3">
        <v>26500</v>
      </c>
      <c r="G14" s="3">
        <f>SUM(E14:F14)</f>
        <v>26500</v>
      </c>
    </row>
    <row r="16" spans="1:9">
      <c r="A16" t="s">
        <v>28</v>
      </c>
      <c r="C16">
        <v>39181</v>
      </c>
      <c r="E16" s="3">
        <v>55220</v>
      </c>
      <c r="G16" s="3">
        <f>SUM(E16:F16)</f>
        <v>55220</v>
      </c>
    </row>
    <row r="17" spans="1:7">
      <c r="A17" t="s">
        <v>14</v>
      </c>
      <c r="E17" s="5">
        <f>SUM(E2:E16)</f>
        <v>2432741</v>
      </c>
      <c r="F17" s="5">
        <f>SUM(F2:F16)</f>
        <v>644838</v>
      </c>
      <c r="G17" s="5">
        <f>SUM(G2:G16)</f>
        <v>3077579</v>
      </c>
    </row>
    <row r="18" spans="1:7">
      <c r="E18" s="3"/>
      <c r="F18" s="3"/>
      <c r="G18" s="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activeCell="F21" sqref="F21"/>
    </sheetView>
  </sheetViews>
  <sheetFormatPr defaultRowHeight="15"/>
  <cols>
    <col min="1" max="1" width="48.28515625" customWidth="1"/>
    <col min="2" max="2" width="11" customWidth="1"/>
    <col min="3" max="3" width="13" style="7" customWidth="1"/>
    <col min="5" max="5" width="18.28515625" customWidth="1"/>
  </cols>
  <sheetData>
    <row r="1" spans="1:7">
      <c r="A1" t="s">
        <v>48</v>
      </c>
    </row>
    <row r="3" spans="1:7">
      <c r="C3" s="11" t="s">
        <v>11</v>
      </c>
    </row>
    <row r="4" spans="1:7">
      <c r="A4" s="1" t="s">
        <v>0</v>
      </c>
      <c r="B4" s="1">
        <v>2016</v>
      </c>
      <c r="C4" s="10" t="s">
        <v>42</v>
      </c>
      <c r="D4" s="1">
        <v>2017</v>
      </c>
      <c r="E4" s="1" t="s">
        <v>1</v>
      </c>
      <c r="F4" s="1" t="s">
        <v>2</v>
      </c>
    </row>
    <row r="5" spans="1:7">
      <c r="A5" t="s">
        <v>3</v>
      </c>
      <c r="B5" s="3">
        <v>342998</v>
      </c>
      <c r="C5" s="9">
        <v>348726</v>
      </c>
      <c r="E5" t="s">
        <v>9</v>
      </c>
    </row>
    <row r="6" spans="1:7">
      <c r="A6" t="s">
        <v>4</v>
      </c>
      <c r="B6" s="3">
        <v>22200</v>
      </c>
      <c r="C6" s="9">
        <v>22571</v>
      </c>
      <c r="E6" t="s">
        <v>9</v>
      </c>
    </row>
    <row r="7" spans="1:7">
      <c r="A7" t="s">
        <v>5</v>
      </c>
      <c r="B7" s="3">
        <v>35520</v>
      </c>
      <c r="C7" s="9">
        <v>36113</v>
      </c>
      <c r="E7" t="s">
        <v>9</v>
      </c>
    </row>
    <row r="8" spans="1:7">
      <c r="A8" t="s">
        <v>6</v>
      </c>
      <c r="B8" s="3">
        <v>124053</v>
      </c>
      <c r="C8" s="9">
        <v>126125</v>
      </c>
      <c r="E8" t="s">
        <v>9</v>
      </c>
    </row>
    <row r="9" spans="1:7">
      <c r="A9" t="s">
        <v>7</v>
      </c>
      <c r="B9" s="3">
        <v>60064</v>
      </c>
      <c r="C9" s="9">
        <v>61067</v>
      </c>
      <c r="E9" s="6" t="s">
        <v>9</v>
      </c>
      <c r="G9" s="6" t="s">
        <v>10</v>
      </c>
    </row>
    <row r="11" spans="1:7">
      <c r="A11" t="s">
        <v>8</v>
      </c>
      <c r="B11" s="3">
        <v>60000</v>
      </c>
      <c r="C11" s="3">
        <v>61002</v>
      </c>
      <c r="E11" t="s">
        <v>9</v>
      </c>
    </row>
    <row r="12" spans="1:7">
      <c r="B12" s="3">
        <f>SUM(B5:B11)</f>
        <v>644835</v>
      </c>
      <c r="C12" s="3">
        <v>655604</v>
      </c>
      <c r="D12" s="3">
        <f>SUM(D5:D11)</f>
        <v>0</v>
      </c>
    </row>
    <row r="15" spans="1:7">
      <c r="A15" s="1" t="s">
        <v>18</v>
      </c>
      <c r="B15">
        <v>2015</v>
      </c>
      <c r="D15">
        <v>2016</v>
      </c>
      <c r="F15" t="s">
        <v>16</v>
      </c>
    </row>
    <row r="16" spans="1:7">
      <c r="A16" t="s">
        <v>29</v>
      </c>
      <c r="B16" s="3">
        <v>360397</v>
      </c>
      <c r="E16" t="s">
        <v>15</v>
      </c>
      <c r="F16" s="3">
        <v>441126</v>
      </c>
    </row>
    <row r="17" spans="1:12">
      <c r="A17" t="s">
        <v>34</v>
      </c>
      <c r="B17" s="3">
        <v>308738</v>
      </c>
      <c r="E17" t="s">
        <v>15</v>
      </c>
      <c r="F17" s="3">
        <v>377895</v>
      </c>
    </row>
    <row r="18" spans="1:12">
      <c r="A18" t="s">
        <v>39</v>
      </c>
      <c r="B18" s="3">
        <v>144530</v>
      </c>
      <c r="E18" t="s">
        <v>15</v>
      </c>
      <c r="F18" s="3">
        <v>176905</v>
      </c>
    </row>
    <row r="19" spans="1:12">
      <c r="A19" t="s">
        <v>37</v>
      </c>
      <c r="B19" s="3">
        <v>242620</v>
      </c>
      <c r="E19" t="s">
        <v>15</v>
      </c>
      <c r="F19" s="3">
        <v>296967</v>
      </c>
    </row>
    <row r="20" spans="1:12">
      <c r="A20" t="s">
        <v>30</v>
      </c>
      <c r="B20" s="3">
        <v>386336</v>
      </c>
      <c r="F20" s="3">
        <v>394063</v>
      </c>
    </row>
    <row r="21" spans="1:12">
      <c r="A21" t="s">
        <v>12</v>
      </c>
      <c r="B21" s="3">
        <v>263550</v>
      </c>
      <c r="F21" s="3">
        <v>268821</v>
      </c>
    </row>
    <row r="22" spans="1:12">
      <c r="A22" t="s">
        <v>31</v>
      </c>
      <c r="B22" s="3">
        <v>361328</v>
      </c>
      <c r="E22" t="s">
        <v>15</v>
      </c>
      <c r="F22" s="3">
        <v>442265</v>
      </c>
      <c r="G22" t="s">
        <v>38</v>
      </c>
    </row>
    <row r="23" spans="1:12">
      <c r="D23" s="3"/>
      <c r="F23" s="3"/>
    </row>
    <row r="24" spans="1:12">
      <c r="A24" t="s">
        <v>13</v>
      </c>
      <c r="B24" s="3">
        <v>26500</v>
      </c>
      <c r="D24" s="3">
        <v>26500</v>
      </c>
      <c r="F24" s="3">
        <v>26500</v>
      </c>
    </row>
    <row r="25" spans="1:12">
      <c r="A25" t="s">
        <v>32</v>
      </c>
      <c r="B25" s="3">
        <v>54780</v>
      </c>
      <c r="D25" s="3">
        <v>55220</v>
      </c>
      <c r="E25" s="4" t="s">
        <v>49</v>
      </c>
      <c r="F25" s="3">
        <v>55440</v>
      </c>
    </row>
    <row r="26" spans="1:12">
      <c r="A26" t="s">
        <v>44</v>
      </c>
      <c r="B26" s="3"/>
      <c r="D26" s="3">
        <v>88200</v>
      </c>
      <c r="F26" s="3">
        <v>88200</v>
      </c>
    </row>
    <row r="27" spans="1:12">
      <c r="A27" t="s">
        <v>14</v>
      </c>
      <c r="B27" s="3">
        <f>SUM(B16:B26)</f>
        <v>2148779</v>
      </c>
      <c r="D27" s="3">
        <f>SUM(D16:D26)</f>
        <v>169920</v>
      </c>
      <c r="F27" s="3">
        <f>SUM(F16:F26)</f>
        <v>2568182</v>
      </c>
    </row>
    <row r="29" spans="1:12">
      <c r="B29" t="s">
        <v>35</v>
      </c>
    </row>
    <row r="31" spans="1:12">
      <c r="A31" s="6" t="s">
        <v>9</v>
      </c>
      <c r="B31" s="6" t="s">
        <v>19</v>
      </c>
      <c r="C31" s="8"/>
      <c r="D31" s="6"/>
      <c r="E31" s="6"/>
      <c r="F31" s="6"/>
      <c r="G31" s="6"/>
      <c r="H31" s="6"/>
      <c r="I31" s="6"/>
      <c r="J31" s="6"/>
      <c r="K31" s="6"/>
      <c r="L31" s="6"/>
    </row>
    <row r="33" spans="2:2">
      <c r="B33" s="6" t="s">
        <v>43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E19" sqref="E19"/>
    </sheetView>
  </sheetViews>
  <sheetFormatPr defaultRowHeight="15"/>
  <cols>
    <col min="3" max="3" width="12" bestFit="1" customWidth="1"/>
    <col min="8" max="8" width="9.5703125" bestFit="1" customWidth="1"/>
    <col min="9" max="9" width="10.5703125" bestFit="1" customWidth="1"/>
  </cols>
  <sheetData>
    <row r="1" spans="1:9">
      <c r="C1" s="1" t="s">
        <v>33</v>
      </c>
      <c r="E1" s="1" t="s">
        <v>21</v>
      </c>
      <c r="F1" s="1" t="s">
        <v>20</v>
      </c>
      <c r="G1" s="1" t="s">
        <v>40</v>
      </c>
    </row>
    <row r="2" spans="1:9">
      <c r="C2" s="1"/>
      <c r="E2" s="1"/>
      <c r="F2" s="1"/>
      <c r="G2" s="1"/>
      <c r="H2" t="s">
        <v>50</v>
      </c>
      <c r="I2" t="s">
        <v>51</v>
      </c>
    </row>
    <row r="3" spans="1:9">
      <c r="A3" t="s">
        <v>22</v>
      </c>
      <c r="C3">
        <v>11023</v>
      </c>
      <c r="E3" s="3">
        <v>441126</v>
      </c>
      <c r="F3" s="3">
        <v>109267</v>
      </c>
      <c r="G3" s="3">
        <f>SUM(E3:F3)</f>
        <v>550393</v>
      </c>
      <c r="H3" s="3">
        <v>-25000</v>
      </c>
      <c r="I3" s="3">
        <f>SUM(G3:H3)</f>
        <v>525393</v>
      </c>
    </row>
    <row r="5" spans="1:9">
      <c r="A5" t="s">
        <v>23</v>
      </c>
      <c r="C5">
        <v>49700</v>
      </c>
      <c r="E5" s="3">
        <v>377895</v>
      </c>
      <c r="F5" s="3">
        <v>109267</v>
      </c>
      <c r="G5" s="3">
        <f>SUM(E5:F5)</f>
        <v>487162</v>
      </c>
      <c r="H5" s="3">
        <v>-25000</v>
      </c>
      <c r="I5" s="3">
        <f>SUM(G5:H5)</f>
        <v>462162</v>
      </c>
    </row>
    <row r="7" spans="1:9">
      <c r="A7" t="s">
        <v>24</v>
      </c>
      <c r="B7" t="s">
        <v>21</v>
      </c>
      <c r="C7">
        <v>39160</v>
      </c>
      <c r="E7" s="3">
        <v>394063</v>
      </c>
      <c r="G7" s="3">
        <f>SUM(E7:F7)</f>
        <v>394063</v>
      </c>
      <c r="H7" s="12">
        <v>-25000</v>
      </c>
      <c r="I7" s="3">
        <f>SUM(G7:H7)</f>
        <v>369063</v>
      </c>
    </row>
    <row r="8" spans="1:9">
      <c r="A8" t="s">
        <v>24</v>
      </c>
      <c r="B8" t="s">
        <v>20</v>
      </c>
      <c r="C8">
        <v>39181</v>
      </c>
      <c r="F8" s="3">
        <v>109267</v>
      </c>
      <c r="G8" s="3">
        <f>SUM(F8)</f>
        <v>109267</v>
      </c>
      <c r="I8" s="3">
        <v>109267</v>
      </c>
    </row>
    <row r="10" spans="1:9">
      <c r="A10" t="s">
        <v>25</v>
      </c>
      <c r="C10">
        <v>50040</v>
      </c>
      <c r="E10" s="3">
        <v>619170</v>
      </c>
      <c r="F10" s="3">
        <v>109267</v>
      </c>
      <c r="G10" s="3">
        <f>SUM(E10:F10)</f>
        <v>728437</v>
      </c>
      <c r="H10" s="3">
        <v>-25000</v>
      </c>
      <c r="I10" s="3">
        <f>SUM(G10:H10)</f>
        <v>703437</v>
      </c>
    </row>
    <row r="11" spans="1:9">
      <c r="A11" t="s">
        <v>36</v>
      </c>
      <c r="C11">
        <v>17001</v>
      </c>
      <c r="E11" s="3">
        <v>296967</v>
      </c>
      <c r="F11" s="3">
        <v>109267</v>
      </c>
      <c r="G11" s="3">
        <f>SUM(E11:F11)</f>
        <v>406234</v>
      </c>
      <c r="H11" s="3">
        <v>-25000</v>
      </c>
      <c r="I11" s="3">
        <f>SUM(G11:H11)</f>
        <v>381234</v>
      </c>
    </row>
    <row r="13" spans="1:9">
      <c r="A13" t="s">
        <v>52</v>
      </c>
      <c r="C13">
        <v>20070</v>
      </c>
      <c r="E13" s="3">
        <v>265650</v>
      </c>
      <c r="F13" s="3">
        <v>109267</v>
      </c>
      <c r="G13" s="3">
        <f>SUM(E13:F13)</f>
        <v>374917</v>
      </c>
      <c r="H13" s="3">
        <v>-25000</v>
      </c>
      <c r="I13" s="3">
        <f>SUM(G13:H13)</f>
        <v>349917</v>
      </c>
    </row>
    <row r="15" spans="1:9">
      <c r="A15" t="s">
        <v>27</v>
      </c>
      <c r="C15">
        <v>17116</v>
      </c>
      <c r="E15" s="3">
        <v>26500</v>
      </c>
      <c r="G15" s="3">
        <f>SUM(E15:F15)</f>
        <v>26500</v>
      </c>
      <c r="I15" s="12">
        <v>26500</v>
      </c>
    </row>
    <row r="16" spans="1:9">
      <c r="A16" t="s">
        <v>46</v>
      </c>
      <c r="B16" t="s">
        <v>47</v>
      </c>
      <c r="E16" s="3">
        <v>88200</v>
      </c>
      <c r="G16" s="3">
        <v>88200</v>
      </c>
      <c r="I16" s="3">
        <v>88200</v>
      </c>
    </row>
    <row r="17" spans="1:9">
      <c r="A17" t="s">
        <v>45</v>
      </c>
      <c r="C17">
        <v>39180</v>
      </c>
      <c r="E17" s="3">
        <v>55220</v>
      </c>
      <c r="G17" s="3">
        <f>SUM(E17:F17)</f>
        <v>55220</v>
      </c>
      <c r="I17" s="3">
        <v>55220</v>
      </c>
    </row>
    <row r="18" spans="1:9">
      <c r="A18" t="s">
        <v>14</v>
      </c>
      <c r="E18" s="5">
        <f>SUM(E3:E17)</f>
        <v>2564791</v>
      </c>
      <c r="F18" s="5">
        <f>SUM(F3:F17)</f>
        <v>655602</v>
      </c>
      <c r="G18" s="5">
        <f>SUM(G3:G17)</f>
        <v>3220393</v>
      </c>
      <c r="H18" s="3">
        <f>SUM(H3:H17)</f>
        <v>-150000</v>
      </c>
      <c r="I18" s="3">
        <f>SUM(I3:I17)</f>
        <v>3070393</v>
      </c>
    </row>
    <row r="19" spans="1:9">
      <c r="E19" s="3" t="s">
        <v>53</v>
      </c>
      <c r="F19" s="3"/>
      <c r="G19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statistik\Skanningsregnskab\Skanningsregnskab 2016.xlsx</MigrationPath>
    <MigrationDirectoryID xmlns="0dd46b0f-e2c7-4a31-a61e-54a1e81a6d74">09EDC72A8866492D2207FEA42E675ECF84126AE7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1643F284-1151-4E4B-A384-49B0A132F45F}"/>
</file>

<file path=customXml/itemProps2.xml><?xml version="1.0" encoding="utf-8"?>
<ds:datastoreItem xmlns:ds="http://schemas.openxmlformats.org/officeDocument/2006/customXml" ds:itemID="{E610B504-8098-4511-8BB7-9D604E767602}"/>
</file>

<file path=customXml/itemProps3.xml><?xml version="1.0" encoding="utf-8"?>
<ds:datastoreItem xmlns:ds="http://schemas.openxmlformats.org/officeDocument/2006/customXml" ds:itemID="{18E4CC00-436D-4A45-8255-936EDE7D6F6C}"/>
</file>

<file path=customXml/itemProps4.xml><?xml version="1.0" encoding="utf-8"?>
<ds:datastoreItem xmlns:ds="http://schemas.openxmlformats.org/officeDocument/2006/customXml" ds:itemID="{880CBA8E-494D-4009-81EE-039DB3ADB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Regnskab 2015</vt:lpstr>
      <vt:lpstr>Opkrævning 2015</vt:lpstr>
      <vt:lpstr>Regnskab 2016</vt:lpstr>
      <vt:lpstr>Opkrævning 2016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clausl</cp:lastModifiedBy>
  <cp:lastPrinted>2016-06-02T11:08:03Z</cp:lastPrinted>
  <dcterms:created xsi:type="dcterms:W3CDTF">2015-03-25T09:05:54Z</dcterms:created>
  <dcterms:modified xsi:type="dcterms:W3CDTF">2016-06-02T11:17:26Z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