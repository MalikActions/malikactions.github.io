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820"/>
  </bookViews>
  <sheets>
    <sheet name="Budget 2016" sheetId="1" r:id="rId1"/>
    <sheet name="Januar" sheetId="2" r:id="rId2"/>
    <sheet name="Februar" sheetId="3" r:id="rId3"/>
  </sheets>
  <calcPr calcId="125725"/>
</workbook>
</file>

<file path=xl/calcChain.xml><?xml version="1.0" encoding="utf-8"?>
<calcChain xmlns="http://schemas.openxmlformats.org/spreadsheetml/2006/main">
  <c r="O58" i="1"/>
  <c r="N58"/>
  <c r="M58"/>
  <c r="L58"/>
  <c r="K58"/>
  <c r="J58"/>
  <c r="I58"/>
  <c r="H58"/>
  <c r="G58"/>
  <c r="F58"/>
  <c r="E58"/>
  <c r="D58"/>
  <c r="O57"/>
  <c r="N57"/>
  <c r="M57"/>
  <c r="L57"/>
  <c r="K57"/>
  <c r="J57"/>
  <c r="I57"/>
  <c r="H57"/>
  <c r="G57"/>
  <c r="F57"/>
  <c r="E57"/>
  <c r="D57"/>
  <c r="P56"/>
  <c r="O56"/>
  <c r="N56"/>
  <c r="M56"/>
  <c r="L56"/>
  <c r="K56"/>
  <c r="J56"/>
  <c r="I56"/>
  <c r="H56"/>
  <c r="G56"/>
  <c r="F56"/>
  <c r="E56"/>
  <c r="D56"/>
  <c r="O55"/>
  <c r="O60" s="1"/>
  <c r="N55"/>
  <c r="N60" s="1"/>
  <c r="M55"/>
  <c r="M60" s="1"/>
  <c r="L55"/>
  <c r="L60" s="1"/>
  <c r="K55"/>
  <c r="K60" s="1"/>
  <c r="J55"/>
  <c r="J60" s="1"/>
  <c r="I55"/>
  <c r="I60" s="1"/>
  <c r="H55"/>
  <c r="H60" s="1"/>
  <c r="G55"/>
  <c r="G60" s="1"/>
  <c r="F55"/>
  <c r="F60" s="1"/>
  <c r="E55"/>
  <c r="E60" s="1"/>
  <c r="D55"/>
  <c r="D60" s="1"/>
  <c r="O53"/>
  <c r="N53"/>
  <c r="M53"/>
  <c r="L53"/>
  <c r="K53"/>
  <c r="J53"/>
  <c r="I53"/>
  <c r="H53"/>
  <c r="G53"/>
  <c r="F53"/>
  <c r="E53"/>
  <c r="D53"/>
  <c r="P52"/>
  <c r="P51"/>
  <c r="P50"/>
  <c r="P49"/>
  <c r="P48"/>
  <c r="P47"/>
  <c r="P46"/>
  <c r="P45"/>
  <c r="P58" s="1"/>
  <c r="P44"/>
  <c r="P43"/>
  <c r="P42"/>
  <c r="P41"/>
  <c r="P40"/>
  <c r="P39"/>
  <c r="P38"/>
  <c r="P37"/>
  <c r="P36"/>
  <c r="P57" s="1"/>
  <c r="P35"/>
  <c r="P34"/>
  <c r="P33"/>
  <c r="Z32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P9"/>
  <c r="P8"/>
  <c r="P7"/>
  <c r="P6"/>
  <c r="P53" s="1"/>
  <c r="P5"/>
  <c r="P55" s="1"/>
  <c r="P60" l="1"/>
</calcChain>
</file>

<file path=xl/sharedStrings.xml><?xml version="1.0" encoding="utf-8"?>
<sst xmlns="http://schemas.openxmlformats.org/spreadsheetml/2006/main" count="129" uniqueCount="94">
  <si>
    <t>2016b - Opfølgning på drift + område</t>
  </si>
  <si>
    <t>Organisation</t>
  </si>
  <si>
    <t>Område nr. og navn</t>
  </si>
  <si>
    <t>Standardkonto nr. og navn</t>
  </si>
  <si>
    <t>Periodiseret</t>
  </si>
  <si>
    <t>Område</t>
  </si>
  <si>
    <t>Standardkonto Underopdeling</t>
  </si>
  <si>
    <t>Budget 01</t>
  </si>
  <si>
    <t>Budget 02</t>
  </si>
  <si>
    <t>Budget 03</t>
  </si>
  <si>
    <t>Budget 04</t>
  </si>
  <si>
    <t>Budget 05</t>
  </si>
  <si>
    <t>Budget 06</t>
  </si>
  <si>
    <t>Budget 07</t>
  </si>
  <si>
    <t>Budget 08</t>
  </si>
  <si>
    <t>Budget 09</t>
  </si>
  <si>
    <t>Budget 10</t>
  </si>
  <si>
    <t>Budget 11</t>
  </si>
  <si>
    <t>Budget 12</t>
  </si>
  <si>
    <t>Budget 2016</t>
  </si>
  <si>
    <t>Bemærkninger/grundlag/forudsætninger</t>
  </si>
  <si>
    <t>17116 - KEjd FM-enheden</t>
  </si>
  <si>
    <t>0000 - HNG</t>
  </si>
  <si>
    <t>2909900000 - Øvrige varekøb</t>
  </si>
  <si>
    <t>Lyskilder, te, kaffe + diverse varekøb</t>
  </si>
  <si>
    <t>2910100000 - Kontorartikler</t>
  </si>
  <si>
    <t>ATEA, Lyreco</t>
  </si>
  <si>
    <t>4010200000 - Gebyrer</t>
  </si>
  <si>
    <t>Pant mv.</t>
  </si>
  <si>
    <t>4016500000 - Servicekontrakter</t>
  </si>
  <si>
    <t>Københavns Brandvæsen- alarmudkald</t>
  </si>
  <si>
    <t>4506000000 - Indvendig vedligeholdelse</t>
  </si>
  <si>
    <t>Håndværkere mv.</t>
  </si>
  <si>
    <t>4506500000 - Udvendig vedligeholdelse</t>
  </si>
  <si>
    <t>Udvendigt vedligehold</t>
  </si>
  <si>
    <t>4516500000 - Servicekontrakter</t>
  </si>
  <si>
    <t xml:space="preserve">Rengøring, leasing af kaffemaskine, serviceaftale vagt, planteservice. </t>
  </si>
  <si>
    <t>4903500000 - IT-licenser m.v.</t>
  </si>
  <si>
    <t>ATEA, Kortholdere</t>
  </si>
  <si>
    <t>4909900000 - Øvrige tjenesteydelser med moms</t>
  </si>
  <si>
    <t>Meyer Kantiner, rep i kantine, rengøring, låseservice</t>
  </si>
  <si>
    <t>7210000000 - OPUS Salg af produkter og ydelser</t>
  </si>
  <si>
    <t>NY: Kantinebidrag - ny konto på foranledning af KS (gammel konto 4009900001)</t>
  </si>
  <si>
    <t>9840000000 - Intern - Overførte tjenesteydelser</t>
  </si>
  <si>
    <t>Leje af linned og måtter, ejendomsservice, beredskabsplan</t>
  </si>
  <si>
    <t>9840500000 - Intern - IT-Ydelser</t>
  </si>
  <si>
    <t>Remedy, dankortterminaler, printere, WIRELESS, mv.</t>
  </si>
  <si>
    <t>9845200000 - Intern - Vedligeholdelse af tekniske installationer, bygninger mm.</t>
  </si>
  <si>
    <t>Årsafgift ABA-anlæg</t>
  </si>
  <si>
    <t>9845400000 - Intern - Betjentfunktioner og vagtordning</t>
  </si>
  <si>
    <t>Vagtsamarbejdsaftale</t>
  </si>
  <si>
    <t>9845500000 - Intern - Rengøring</t>
  </si>
  <si>
    <t>Serviceydelser, rengøringsvederlag, leje af linned og måtter</t>
  </si>
  <si>
    <t>9845600000 - Intern - Facilities management og lokaleleje</t>
  </si>
  <si>
    <t>Alt viderefaktureres - område går i 0 for året</t>
  </si>
  <si>
    <t>0011 - Fuglebakken</t>
  </si>
  <si>
    <t>Lyreco, multiline</t>
  </si>
  <si>
    <t>4009900000 - Øvrige tjenesteydelser uden moms</t>
  </si>
  <si>
    <t>Brandvæsnet alarmudkald, movia</t>
  </si>
  <si>
    <t>BKI, låsepartner, planteservice, BKI</t>
  </si>
  <si>
    <t>Kantinetilskud + diverse tjenesteydelser m. moms</t>
  </si>
  <si>
    <t>9820200000 - Intern - Inventar</t>
  </si>
  <si>
    <t>Intern inventar</t>
  </si>
  <si>
    <t>Pakkepost, vinduespolering, postsamarbejdsaftale, frankering, leje af linned, skanning</t>
  </si>
  <si>
    <t>Remedy</t>
  </si>
  <si>
    <t>Vagtsamarbejdsaftale + frakobling af alarm</t>
  </si>
  <si>
    <t>Rengøring, vinduespolering, måtter + diverse</t>
  </si>
  <si>
    <t>0022 - Fuglebakken</t>
  </si>
  <si>
    <t>1000100000 - OPUS løn</t>
  </si>
  <si>
    <t>Løn - inkl. Camilla. 
Inkl. løneftersyn (for både HNG &amp; Fuglebakken) &amp; fleksjobber</t>
  </si>
  <si>
    <t>Lyskilder mv.</t>
  </si>
  <si>
    <t>Kontorartikler</t>
  </si>
  <si>
    <t>2911800000 - Arbejdstøj</t>
  </si>
  <si>
    <t>Arbejdstøj</t>
  </si>
  <si>
    <t>Stillingsopslag, vagt mv.</t>
  </si>
  <si>
    <t>4910200000 - Kommunikations- og Medietjenester</t>
  </si>
  <si>
    <t>Mobiltelefoner og mobilabonnement</t>
  </si>
  <si>
    <t>Diverse</t>
  </si>
  <si>
    <t>9840200000 - Intern - Kommunikations- og Medietjenester</t>
  </si>
  <si>
    <t>Mobilsync</t>
  </si>
  <si>
    <t>Remedysager mv.</t>
  </si>
  <si>
    <t>Honorar</t>
  </si>
  <si>
    <t>0050 - HNG</t>
  </si>
  <si>
    <t>Løn</t>
  </si>
  <si>
    <t>Forplejning mv.</t>
  </si>
  <si>
    <t>Dansk retursystem</t>
  </si>
  <si>
    <t>Telefoner og mobilabonnement</t>
  </si>
  <si>
    <t>17116 - KEjd FM-enheden Totalt</t>
  </si>
  <si>
    <t xml:space="preserve">  </t>
  </si>
  <si>
    <t>0000 HNG forbrug totalt</t>
  </si>
  <si>
    <t>0011 Fuglebakken forbrug totalt</t>
  </si>
  <si>
    <t>0022 Fuglebakken personale total</t>
  </si>
  <si>
    <t>0050 HNG personale total</t>
  </si>
  <si>
    <t>Total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</si>
</sst>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333399"/>
      <name val="Arial"/>
      <family val="2"/>
    </font>
    <font>
      <sz val="9"/>
      <color indexed="8"/>
      <name val="Arial"/>
      <family val="2"/>
    </font>
    <font>
      <b/>
      <sz val="9"/>
      <color rgb="FF333399"/>
      <name val="Arial"/>
      <family val="2"/>
    </font>
    <font>
      <sz val="9"/>
      <color rgb="FF333366"/>
      <name val="Arial"/>
      <family val="2"/>
    </font>
    <font>
      <sz val="9"/>
      <color rgb="FF000000"/>
      <name val="Arial"/>
      <family val="2"/>
    </font>
    <font>
      <sz val="9"/>
      <color rgb="FF003366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E7E7F7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E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CCC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FEDDE"/>
      </patternFill>
    </fill>
    <fill>
      <patternFill patternType="solid">
        <fgColor rgb="FF92D050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979991"/>
      </left>
      <right style="thin">
        <color rgb="FF000000"/>
      </right>
      <top style="thin">
        <color rgb="FF000000"/>
      </top>
      <bottom/>
      <diagonal/>
    </border>
    <border>
      <left style="medium">
        <color rgb="FF979991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979991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979991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979991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979991"/>
      </left>
      <right style="thin">
        <color rgb="FF979991"/>
      </right>
      <top style="thin">
        <color rgb="FF000000"/>
      </top>
      <bottom/>
      <diagonal/>
    </border>
    <border>
      <left style="thin">
        <color rgb="FF979991"/>
      </left>
      <right/>
      <top style="thin">
        <color rgb="FF000000"/>
      </top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indexed="64"/>
      </right>
      <top style="thin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/>
      <bottom/>
      <diagonal/>
    </border>
    <border>
      <left style="thin">
        <color rgb="FF979991"/>
      </left>
      <right/>
      <top/>
      <bottom/>
      <diagonal/>
    </border>
    <border>
      <left style="thin">
        <color rgb="FF979991"/>
      </left>
      <right/>
      <top/>
      <bottom style="medium">
        <color indexed="64"/>
      </bottom>
      <diagonal/>
    </border>
    <border>
      <left style="thin">
        <color rgb="FF979991"/>
      </left>
      <right/>
      <top style="thin">
        <color rgb="FF979991"/>
      </top>
      <bottom style="medium">
        <color indexed="64"/>
      </bottom>
      <diagonal/>
    </border>
    <border>
      <left style="thin">
        <color rgb="FF979991"/>
      </left>
      <right style="thin">
        <color indexed="64"/>
      </right>
      <top style="thin">
        <color rgb="FF97999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979991"/>
      </top>
      <bottom style="medium">
        <color indexed="64"/>
      </bottom>
      <diagonal/>
    </border>
    <border>
      <left style="thin">
        <color rgb="FF979991"/>
      </left>
      <right style="thin">
        <color rgb="FF979991"/>
      </right>
      <top style="medium">
        <color indexed="64"/>
      </top>
      <bottom/>
      <diagonal/>
    </border>
    <border>
      <left style="thin">
        <color rgb="FF979991"/>
      </left>
      <right style="thin">
        <color indexed="64"/>
      </right>
      <top/>
      <bottom/>
      <diagonal/>
    </border>
    <border>
      <left style="thin">
        <color rgb="FF979991"/>
      </left>
      <right/>
      <top style="medium">
        <color indexed="64"/>
      </top>
      <bottom/>
      <diagonal/>
    </border>
    <border>
      <left style="thin">
        <color rgb="FF979991"/>
      </left>
      <right style="thin">
        <color indexed="64"/>
      </right>
      <top style="medium">
        <color indexed="64"/>
      </top>
      <bottom/>
      <diagonal/>
    </border>
    <border>
      <left style="thin">
        <color rgb="FF979991"/>
      </left>
      <right style="thin">
        <color rgb="FF979991"/>
      </right>
      <top/>
      <bottom style="medium">
        <color indexed="64"/>
      </bottom>
      <diagonal/>
    </border>
    <border>
      <left style="thin">
        <color rgb="FF979991"/>
      </left>
      <right/>
      <top/>
      <bottom style="thin">
        <color indexed="64"/>
      </bottom>
      <diagonal/>
    </border>
    <border>
      <left style="thin">
        <color rgb="FF97999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2" applyFont="1" applyAlignment="1">
      <alignment horizontal="left" wrapText="1"/>
    </xf>
    <xf numFmtId="0" fontId="3" fillId="0" borderId="0" xfId="0" applyFont="1" applyBorder="1"/>
    <xf numFmtId="0" fontId="4" fillId="0" borderId="0" xfId="2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5" fillId="2" borderId="1" xfId="2" applyFont="1" applyFill="1" applyBorder="1" applyAlignment="1"/>
    <xf numFmtId="0" fontId="5" fillId="2" borderId="2" xfId="2" applyFont="1" applyFill="1" applyBorder="1" applyAlignment="1">
      <alignment wrapText="1"/>
    </xf>
    <xf numFmtId="0" fontId="6" fillId="3" borderId="3" xfId="2" applyFont="1" applyFill="1" applyBorder="1" applyAlignment="1">
      <alignment wrapText="1"/>
    </xf>
    <xf numFmtId="0" fontId="6" fillId="3" borderId="4" xfId="2" applyFont="1" applyFill="1" applyBorder="1" applyAlignment="1">
      <alignment wrapText="1"/>
    </xf>
    <xf numFmtId="0" fontId="6" fillId="3" borderId="5" xfId="2" applyFont="1" applyFill="1" applyBorder="1" applyAlignment="1">
      <alignment wrapText="1"/>
    </xf>
    <xf numFmtId="0" fontId="7" fillId="4" borderId="6" xfId="2" applyFont="1" applyFill="1" applyBorder="1" applyAlignment="1"/>
    <xf numFmtId="0" fontId="7" fillId="4" borderId="7" xfId="2" applyFont="1" applyFill="1" applyBorder="1" applyAlignment="1">
      <alignment wrapText="1"/>
    </xf>
    <xf numFmtId="0" fontId="6" fillId="4" borderId="7" xfId="2" applyFont="1" applyFill="1" applyBorder="1" applyAlignment="1">
      <alignment wrapText="1"/>
    </xf>
    <xf numFmtId="0" fontId="6" fillId="4" borderId="8" xfId="2" applyFont="1" applyFill="1" applyBorder="1" applyAlignment="1">
      <alignment wrapText="1"/>
    </xf>
    <xf numFmtId="0" fontId="8" fillId="5" borderId="9" xfId="0" applyFont="1" applyFill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6" borderId="11" xfId="0" applyFont="1" applyFill="1" applyBorder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3" fontId="8" fillId="0" borderId="12" xfId="0" applyNumberFormat="1" applyFont="1" applyBorder="1" applyAlignment="1">
      <alignment horizontal="right" vertical="top" wrapText="1"/>
    </xf>
    <xf numFmtId="3" fontId="8" fillId="7" borderId="13" xfId="0" applyNumberFormat="1" applyFont="1" applyFill="1" applyBorder="1" applyAlignment="1">
      <alignment horizontal="right" vertical="top" wrapText="1"/>
    </xf>
    <xf numFmtId="3" fontId="8" fillId="8" borderId="14" xfId="0" applyNumberFormat="1" applyFont="1" applyFill="1" applyBorder="1" applyAlignment="1">
      <alignment horizontal="left" vertical="top" wrapText="1"/>
    </xf>
    <xf numFmtId="0" fontId="8" fillId="0" borderId="15" xfId="0" applyFont="1" applyBorder="1" applyAlignment="1">
      <alignment horizontal="left" vertical="top" wrapText="1"/>
    </xf>
    <xf numFmtId="0" fontId="8" fillId="6" borderId="16" xfId="0" applyFont="1" applyFill="1" applyBorder="1" applyAlignment="1">
      <alignment horizontal="left" vertical="top" wrapText="1"/>
    </xf>
    <xf numFmtId="0" fontId="8" fillId="0" borderId="16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8" fillId="6" borderId="17" xfId="0" applyFont="1" applyFill="1" applyBorder="1" applyAlignment="1">
      <alignment horizontal="left" vertical="top" wrapText="1"/>
    </xf>
    <xf numFmtId="0" fontId="8" fillId="0" borderId="18" xfId="0" applyFont="1" applyBorder="1" applyAlignment="1">
      <alignment horizontal="left" vertical="top" wrapText="1"/>
    </xf>
    <xf numFmtId="3" fontId="8" fillId="0" borderId="18" xfId="0" applyNumberFormat="1" applyFont="1" applyBorder="1" applyAlignment="1">
      <alignment horizontal="right" vertical="top" wrapText="1"/>
    </xf>
    <xf numFmtId="3" fontId="8" fillId="7" borderId="19" xfId="0" applyNumberFormat="1" applyFont="1" applyFill="1" applyBorder="1" applyAlignment="1">
      <alignment horizontal="right" vertical="top" wrapText="1"/>
    </xf>
    <xf numFmtId="3" fontId="8" fillId="8" borderId="20" xfId="0" applyNumberFormat="1" applyFont="1" applyFill="1" applyBorder="1" applyAlignment="1">
      <alignment horizontal="left" vertical="top" wrapText="1"/>
    </xf>
    <xf numFmtId="0" fontId="8" fillId="9" borderId="21" xfId="0" applyFont="1" applyFill="1" applyBorder="1" applyAlignment="1">
      <alignment horizontal="left" vertical="top" wrapText="1"/>
    </xf>
    <xf numFmtId="3" fontId="8" fillId="0" borderId="16" xfId="0" applyNumberFormat="1" applyFont="1" applyBorder="1" applyAlignment="1">
      <alignment horizontal="right" vertical="top" wrapText="1"/>
    </xf>
    <xf numFmtId="3" fontId="8" fillId="7" borderId="22" xfId="0" applyNumberFormat="1" applyFont="1" applyFill="1" applyBorder="1" applyAlignment="1">
      <alignment horizontal="right" vertical="top" wrapText="1"/>
    </xf>
    <xf numFmtId="0" fontId="8" fillId="9" borderId="15" xfId="0" applyFont="1" applyFill="1" applyBorder="1" applyAlignment="1">
      <alignment horizontal="left" vertical="top" wrapText="1"/>
    </xf>
    <xf numFmtId="0" fontId="8" fillId="9" borderId="16" xfId="0" applyFont="1" applyFill="1" applyBorder="1" applyAlignment="1">
      <alignment horizontal="left" vertical="top" wrapText="1"/>
    </xf>
    <xf numFmtId="0" fontId="8" fillId="9" borderId="17" xfId="0" applyFont="1" applyFill="1" applyBorder="1" applyAlignment="1">
      <alignment horizontal="left" vertical="top" wrapText="1"/>
    </xf>
    <xf numFmtId="0" fontId="8" fillId="0" borderId="23" xfId="0" applyFont="1" applyBorder="1" applyAlignment="1">
      <alignment horizontal="left" vertical="top" wrapText="1"/>
    </xf>
    <xf numFmtId="0" fontId="8" fillId="10" borderId="21" xfId="0" applyFont="1" applyFill="1" applyBorder="1" applyAlignment="1">
      <alignment vertical="top" wrapText="1"/>
    </xf>
    <xf numFmtId="3" fontId="8" fillId="0" borderId="23" xfId="0" applyNumberFormat="1" applyFont="1" applyBorder="1" applyAlignment="1">
      <alignment horizontal="right" vertical="top" wrapText="1"/>
    </xf>
    <xf numFmtId="3" fontId="8" fillId="7" borderId="24" xfId="0" applyNumberFormat="1" applyFont="1" applyFill="1" applyBorder="1" applyAlignment="1">
      <alignment horizontal="right" vertical="top" wrapText="1"/>
    </xf>
    <xf numFmtId="0" fontId="8" fillId="10" borderId="15" xfId="0" applyFont="1" applyFill="1" applyBorder="1" applyAlignment="1">
      <alignment vertical="top" wrapText="1"/>
    </xf>
    <xf numFmtId="0" fontId="8" fillId="10" borderId="25" xfId="0" applyFont="1" applyFill="1" applyBorder="1" applyAlignment="1">
      <alignment vertical="top" wrapText="1"/>
    </xf>
    <xf numFmtId="0" fontId="8" fillId="8" borderId="21" xfId="0" applyFont="1" applyFill="1" applyBorder="1" applyAlignment="1">
      <alignment horizontal="left" vertical="top" wrapText="1"/>
    </xf>
    <xf numFmtId="0" fontId="8" fillId="8" borderId="15" xfId="0" applyFont="1" applyFill="1" applyBorder="1" applyAlignment="1">
      <alignment horizontal="left" vertical="top" wrapText="1"/>
    </xf>
    <xf numFmtId="0" fontId="8" fillId="8" borderId="16" xfId="0" applyFont="1" applyFill="1" applyBorder="1" applyAlignment="1">
      <alignment horizontal="left" vertical="top" wrapText="1"/>
    </xf>
    <xf numFmtId="0" fontId="8" fillId="8" borderId="17" xfId="0" applyFont="1" applyFill="1" applyBorder="1" applyAlignment="1">
      <alignment horizontal="left" vertical="top" wrapText="1"/>
    </xf>
    <xf numFmtId="0" fontId="9" fillId="11" borderId="26" xfId="0" applyFont="1" applyFill="1" applyBorder="1" applyAlignment="1">
      <alignment horizontal="left" vertical="top" wrapText="1"/>
    </xf>
    <xf numFmtId="0" fontId="3" fillId="11" borderId="26" xfId="0" applyFont="1" applyFill="1" applyBorder="1" applyAlignment="1">
      <alignment horizontal="left" vertical="top" wrapText="1"/>
    </xf>
    <xf numFmtId="3" fontId="9" fillId="0" borderId="26" xfId="0" applyNumberFormat="1" applyFont="1" applyBorder="1" applyAlignment="1">
      <alignment horizontal="right" vertical="top" wrapText="1"/>
    </xf>
    <xf numFmtId="3" fontId="9" fillId="7" borderId="27" xfId="0" applyNumberFormat="1" applyFont="1" applyFill="1" applyBorder="1" applyAlignment="1">
      <alignment horizontal="right" vertical="top" wrapText="1"/>
    </xf>
    <xf numFmtId="3" fontId="8" fillId="8" borderId="28" xfId="0" applyNumberFormat="1" applyFont="1" applyFill="1" applyBorder="1" applyAlignment="1">
      <alignment horizontal="left" vertical="top" wrapText="1"/>
    </xf>
    <xf numFmtId="0" fontId="3" fillId="0" borderId="0" xfId="0" applyFont="1"/>
    <xf numFmtId="0" fontId="10" fillId="12" borderId="29" xfId="0" applyFont="1" applyFill="1" applyBorder="1"/>
    <xf numFmtId="3" fontId="10" fillId="12" borderId="30" xfId="0" applyNumberFormat="1" applyFont="1" applyFill="1" applyBorder="1"/>
    <xf numFmtId="3" fontId="10" fillId="12" borderId="31" xfId="0" applyNumberFormat="1" applyFont="1" applyFill="1" applyBorder="1"/>
    <xf numFmtId="0" fontId="10" fillId="12" borderId="32" xfId="0" applyFont="1" applyFill="1" applyBorder="1"/>
    <xf numFmtId="3" fontId="10" fillId="12" borderId="0" xfId="0" applyNumberFormat="1" applyFont="1" applyFill="1" applyBorder="1"/>
    <xf numFmtId="3" fontId="10" fillId="12" borderId="33" xfId="0" applyNumberFormat="1" applyFont="1" applyFill="1" applyBorder="1"/>
    <xf numFmtId="0" fontId="10" fillId="12" borderId="34" xfId="0" applyFont="1" applyFill="1" applyBorder="1"/>
    <xf numFmtId="3" fontId="10" fillId="12" borderId="35" xfId="0" applyNumberFormat="1" applyFont="1" applyFill="1" applyBorder="1"/>
    <xf numFmtId="3" fontId="10" fillId="12" borderId="36" xfId="0" applyNumberFormat="1" applyFont="1" applyFill="1" applyBorder="1"/>
    <xf numFmtId="3" fontId="0" fillId="0" borderId="0" xfId="0" applyNumberFormat="1"/>
    <xf numFmtId="0" fontId="10" fillId="12" borderId="37" xfId="0" applyFont="1" applyFill="1" applyBorder="1"/>
    <xf numFmtId="3" fontId="10" fillId="12" borderId="38" xfId="0" applyNumberFormat="1" applyFont="1" applyFill="1" applyBorder="1"/>
    <xf numFmtId="3" fontId="10" fillId="12" borderId="39" xfId="0" applyNumberFormat="1" applyFont="1" applyFill="1" applyBorder="1"/>
    <xf numFmtId="164" fontId="3" fillId="0" borderId="0" xfId="1" applyNumberFormat="1" applyFont="1" applyAlignment="1">
      <alignment horizontal="left" wrapText="1"/>
    </xf>
    <xf numFmtId="164" fontId="3" fillId="0" borderId="0" xfId="0" applyNumberFormat="1" applyFont="1" applyAlignment="1">
      <alignment horizontal="left" wrapText="1"/>
    </xf>
  </cellXfs>
  <cellStyles count="3">
    <cellStyle name="1000-sep (2 dec)" xfId="1" builtinId="3"/>
    <cellStyle name="Normal" xfId="0" builtinId="0"/>
    <cellStyle name="Normal 4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5"/>
  <sheetViews>
    <sheetView tabSelected="1" workbookViewId="0">
      <selection sqref="A1:XFD1048576"/>
    </sheetView>
  </sheetViews>
  <sheetFormatPr defaultRowHeight="12" outlineLevelRow="1" outlineLevelCol="1"/>
  <cols>
    <col min="1" max="1" width="11" style="51" customWidth="1"/>
    <col min="2" max="2" width="12" style="51" customWidth="1"/>
    <col min="3" max="3" width="44.5703125" style="51" bestFit="1" customWidth="1"/>
    <col min="4" max="6" width="9" style="51" bestFit="1" customWidth="1" outlineLevel="1"/>
    <col min="7" max="7" width="9.42578125" style="51" bestFit="1" customWidth="1" outlineLevel="1"/>
    <col min="8" max="9" width="9" style="51" bestFit="1" customWidth="1" outlineLevel="1"/>
    <col min="10" max="10" width="9.42578125" style="51" bestFit="1" customWidth="1" outlineLevel="1"/>
    <col min="11" max="12" width="9" style="51" bestFit="1" customWidth="1" outlineLevel="1"/>
    <col min="13" max="13" width="9.42578125" style="51" bestFit="1" customWidth="1" outlineLevel="1"/>
    <col min="14" max="14" width="9" style="51" bestFit="1" customWidth="1" outlineLevel="1"/>
    <col min="15" max="15" width="9.42578125" style="51" bestFit="1" customWidth="1" outlineLevel="1"/>
    <col min="16" max="16" width="11" style="51" bestFit="1" customWidth="1"/>
    <col min="17" max="17" width="39" style="4" customWidth="1"/>
    <col min="18" max="16384" width="9.140625" style="2"/>
  </cols>
  <sheetData>
    <row r="1" spans="1:17" ht="12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7" ht="24">
      <c r="A3" s="5" t="s">
        <v>1</v>
      </c>
      <c r="B3" s="6" t="s">
        <v>2</v>
      </c>
      <c r="C3" s="6" t="s">
        <v>3</v>
      </c>
      <c r="D3" s="7" t="s">
        <v>4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 spans="1:17">
      <c r="A4" s="10" t="s">
        <v>1</v>
      </c>
      <c r="B4" s="11" t="s">
        <v>5</v>
      </c>
      <c r="C4" s="11" t="s">
        <v>6</v>
      </c>
      <c r="D4" s="12" t="s">
        <v>7</v>
      </c>
      <c r="E4" s="12" t="s">
        <v>8</v>
      </c>
      <c r="F4" s="12" t="s">
        <v>9</v>
      </c>
      <c r="G4" s="12" t="s">
        <v>10</v>
      </c>
      <c r="H4" s="12" t="s">
        <v>11</v>
      </c>
      <c r="I4" s="12" t="s">
        <v>12</v>
      </c>
      <c r="J4" s="12" t="s">
        <v>13</v>
      </c>
      <c r="K4" s="12" t="s">
        <v>14</v>
      </c>
      <c r="L4" s="12" t="s">
        <v>15</v>
      </c>
      <c r="M4" s="12" t="s">
        <v>16</v>
      </c>
      <c r="N4" s="12" t="s">
        <v>17</v>
      </c>
      <c r="O4" s="12" t="s">
        <v>18</v>
      </c>
      <c r="P4" s="13" t="s">
        <v>19</v>
      </c>
      <c r="Q4" s="14" t="s">
        <v>20</v>
      </c>
    </row>
    <row r="5" spans="1:17">
      <c r="A5" s="15" t="s">
        <v>21</v>
      </c>
      <c r="B5" s="16" t="s">
        <v>22</v>
      </c>
      <c r="C5" s="17" t="s">
        <v>23</v>
      </c>
      <c r="D5" s="18">
        <v>58334</v>
      </c>
      <c r="E5" s="18">
        <v>58334</v>
      </c>
      <c r="F5" s="18">
        <v>58334</v>
      </c>
      <c r="G5" s="18">
        <v>58334</v>
      </c>
      <c r="H5" s="18">
        <v>58333</v>
      </c>
      <c r="I5" s="18">
        <v>58333</v>
      </c>
      <c r="J5" s="18">
        <v>58333</v>
      </c>
      <c r="K5" s="18">
        <v>58333</v>
      </c>
      <c r="L5" s="18">
        <v>58333</v>
      </c>
      <c r="M5" s="18">
        <v>58333</v>
      </c>
      <c r="N5" s="18">
        <v>58333</v>
      </c>
      <c r="O5" s="18">
        <v>58333</v>
      </c>
      <c r="P5" s="19">
        <f>SUM(D5:O5)</f>
        <v>700000</v>
      </c>
      <c r="Q5" s="20" t="s">
        <v>24</v>
      </c>
    </row>
    <row r="6" spans="1:17">
      <c r="A6" s="21"/>
      <c r="B6" s="22"/>
      <c r="C6" s="17" t="s">
        <v>25</v>
      </c>
      <c r="D6" s="18">
        <v>15000</v>
      </c>
      <c r="E6" s="18">
        <v>15000</v>
      </c>
      <c r="F6" s="18">
        <v>15000</v>
      </c>
      <c r="G6" s="18">
        <v>15000</v>
      </c>
      <c r="H6" s="18">
        <v>15000</v>
      </c>
      <c r="I6" s="18">
        <v>15000</v>
      </c>
      <c r="J6" s="18">
        <v>15000</v>
      </c>
      <c r="K6" s="18">
        <v>15000</v>
      </c>
      <c r="L6" s="18">
        <v>15000</v>
      </c>
      <c r="M6" s="18">
        <v>15000</v>
      </c>
      <c r="N6" s="18">
        <v>15000</v>
      </c>
      <c r="O6" s="18">
        <v>15000</v>
      </c>
      <c r="P6" s="19">
        <f t="shared" ref="P6:P52" si="0">SUM(D6:O6)</f>
        <v>180000</v>
      </c>
      <c r="Q6" s="20" t="s">
        <v>26</v>
      </c>
    </row>
    <row r="7" spans="1:17">
      <c r="A7" s="21"/>
      <c r="B7" s="22"/>
      <c r="C7" s="17" t="s">
        <v>27</v>
      </c>
      <c r="D7" s="18">
        <v>417</v>
      </c>
      <c r="E7" s="18">
        <v>417</v>
      </c>
      <c r="F7" s="18">
        <v>417</v>
      </c>
      <c r="G7" s="18">
        <v>417</v>
      </c>
      <c r="H7" s="18">
        <v>417</v>
      </c>
      <c r="I7" s="18">
        <v>417</v>
      </c>
      <c r="J7" s="18">
        <v>417</v>
      </c>
      <c r="K7" s="18">
        <v>417</v>
      </c>
      <c r="L7" s="18">
        <v>416</v>
      </c>
      <c r="M7" s="18">
        <v>416</v>
      </c>
      <c r="N7" s="18">
        <v>416</v>
      </c>
      <c r="O7" s="18">
        <v>416</v>
      </c>
      <c r="P7" s="19">
        <f t="shared" si="0"/>
        <v>5000</v>
      </c>
      <c r="Q7" s="20" t="s">
        <v>28</v>
      </c>
    </row>
    <row r="8" spans="1:17">
      <c r="A8" s="21"/>
      <c r="B8" s="22"/>
      <c r="C8" s="17" t="s">
        <v>29</v>
      </c>
      <c r="D8" s="18">
        <v>3334</v>
      </c>
      <c r="E8" s="18">
        <v>3334</v>
      </c>
      <c r="F8" s="18">
        <v>3334</v>
      </c>
      <c r="G8" s="18">
        <v>3334</v>
      </c>
      <c r="H8" s="18">
        <v>3333</v>
      </c>
      <c r="I8" s="18">
        <v>3333</v>
      </c>
      <c r="J8" s="18">
        <v>3333</v>
      </c>
      <c r="K8" s="18">
        <v>3333</v>
      </c>
      <c r="L8" s="18">
        <v>3333</v>
      </c>
      <c r="M8" s="18">
        <v>3333</v>
      </c>
      <c r="N8" s="18">
        <v>3333</v>
      </c>
      <c r="O8" s="18">
        <v>3333</v>
      </c>
      <c r="P8" s="19">
        <f t="shared" si="0"/>
        <v>40000</v>
      </c>
      <c r="Q8" s="20" t="s">
        <v>30</v>
      </c>
    </row>
    <row r="9" spans="1:17">
      <c r="A9" s="23"/>
      <c r="B9" s="22"/>
      <c r="C9" s="17" t="s">
        <v>31</v>
      </c>
      <c r="D9" s="18">
        <v>33334</v>
      </c>
      <c r="E9" s="18">
        <v>33334</v>
      </c>
      <c r="F9" s="18">
        <v>33334</v>
      </c>
      <c r="G9" s="18">
        <v>33334</v>
      </c>
      <c r="H9" s="18">
        <v>33333</v>
      </c>
      <c r="I9" s="18">
        <v>33333</v>
      </c>
      <c r="J9" s="18">
        <v>33333</v>
      </c>
      <c r="K9" s="18">
        <v>33333</v>
      </c>
      <c r="L9" s="18">
        <v>33333</v>
      </c>
      <c r="M9" s="18">
        <v>33333</v>
      </c>
      <c r="N9" s="18">
        <v>33333</v>
      </c>
      <c r="O9" s="18">
        <v>33333</v>
      </c>
      <c r="P9" s="19">
        <f t="shared" si="0"/>
        <v>400000</v>
      </c>
      <c r="Q9" s="20" t="s">
        <v>32</v>
      </c>
    </row>
    <row r="10" spans="1:17">
      <c r="A10" s="23"/>
      <c r="B10" s="22"/>
      <c r="C10" s="17" t="s">
        <v>33</v>
      </c>
      <c r="D10" s="18">
        <v>250</v>
      </c>
      <c r="E10" s="18">
        <v>250</v>
      </c>
      <c r="F10" s="18">
        <v>250</v>
      </c>
      <c r="G10" s="18">
        <v>250</v>
      </c>
      <c r="H10" s="18">
        <v>250</v>
      </c>
      <c r="I10" s="18">
        <v>250</v>
      </c>
      <c r="J10" s="18">
        <v>250</v>
      </c>
      <c r="K10" s="18">
        <v>250</v>
      </c>
      <c r="L10" s="18">
        <v>250</v>
      </c>
      <c r="M10" s="18">
        <v>250</v>
      </c>
      <c r="N10" s="18">
        <v>250</v>
      </c>
      <c r="O10" s="18">
        <v>250</v>
      </c>
      <c r="P10" s="19">
        <f t="shared" si="0"/>
        <v>3000</v>
      </c>
      <c r="Q10" s="20" t="s">
        <v>34</v>
      </c>
    </row>
    <row r="11" spans="1:17" ht="24">
      <c r="A11" s="23"/>
      <c r="B11" s="22"/>
      <c r="C11" s="17" t="s">
        <v>35</v>
      </c>
      <c r="D11" s="18">
        <v>166667</v>
      </c>
      <c r="E11" s="18">
        <v>166667</v>
      </c>
      <c r="F11" s="18">
        <v>166667</v>
      </c>
      <c r="G11" s="18">
        <v>166667</v>
      </c>
      <c r="H11" s="18">
        <v>166667</v>
      </c>
      <c r="I11" s="18">
        <v>166667</v>
      </c>
      <c r="J11" s="18">
        <v>166667</v>
      </c>
      <c r="K11" s="18">
        <v>166667</v>
      </c>
      <c r="L11" s="18">
        <v>166666</v>
      </c>
      <c r="M11" s="18">
        <v>166666</v>
      </c>
      <c r="N11" s="18">
        <v>166666</v>
      </c>
      <c r="O11" s="18">
        <v>166666</v>
      </c>
      <c r="P11" s="19">
        <f t="shared" si="0"/>
        <v>2000000</v>
      </c>
      <c r="Q11" s="20" t="s">
        <v>36</v>
      </c>
    </row>
    <row r="12" spans="1:17">
      <c r="A12" s="23"/>
      <c r="B12" s="22"/>
      <c r="C12" s="17" t="s">
        <v>37</v>
      </c>
      <c r="D12" s="18">
        <v>4167</v>
      </c>
      <c r="E12" s="18">
        <v>4167</v>
      </c>
      <c r="F12" s="18">
        <v>4167</v>
      </c>
      <c r="G12" s="18">
        <v>4167</v>
      </c>
      <c r="H12" s="18">
        <v>4167</v>
      </c>
      <c r="I12" s="18">
        <v>4167</v>
      </c>
      <c r="J12" s="18">
        <v>4167</v>
      </c>
      <c r="K12" s="18">
        <v>4167</v>
      </c>
      <c r="L12" s="18">
        <v>4166</v>
      </c>
      <c r="M12" s="18">
        <v>4166</v>
      </c>
      <c r="N12" s="18">
        <v>4166</v>
      </c>
      <c r="O12" s="18">
        <v>4166</v>
      </c>
      <c r="P12" s="19">
        <f t="shared" si="0"/>
        <v>50000</v>
      </c>
      <c r="Q12" s="20" t="s">
        <v>38</v>
      </c>
    </row>
    <row r="13" spans="1:17" ht="24">
      <c r="A13" s="23"/>
      <c r="B13" s="22"/>
      <c r="C13" s="17" t="s">
        <v>39</v>
      </c>
      <c r="D13" s="18">
        <v>333334</v>
      </c>
      <c r="E13" s="18">
        <v>333334</v>
      </c>
      <c r="F13" s="18">
        <v>333334</v>
      </c>
      <c r="G13" s="18">
        <v>333334</v>
      </c>
      <c r="H13" s="18">
        <v>333333</v>
      </c>
      <c r="I13" s="18">
        <v>333333</v>
      </c>
      <c r="J13" s="18">
        <v>333333</v>
      </c>
      <c r="K13" s="18">
        <v>333333</v>
      </c>
      <c r="L13" s="18">
        <v>333333</v>
      </c>
      <c r="M13" s="18">
        <v>333333</v>
      </c>
      <c r="N13" s="18">
        <v>333333</v>
      </c>
      <c r="O13" s="18">
        <v>333333</v>
      </c>
      <c r="P13" s="19">
        <f t="shared" si="0"/>
        <v>4000000</v>
      </c>
      <c r="Q13" s="20" t="s">
        <v>40</v>
      </c>
    </row>
    <row r="14" spans="1:17" ht="24">
      <c r="A14" s="23"/>
      <c r="B14" s="22"/>
      <c r="C14" s="17" t="s">
        <v>41</v>
      </c>
      <c r="D14" s="18">
        <v>-75000</v>
      </c>
      <c r="E14" s="18">
        <v>-75000</v>
      </c>
      <c r="F14" s="18">
        <v>-75000</v>
      </c>
      <c r="G14" s="18">
        <v>-75000</v>
      </c>
      <c r="H14" s="18">
        <v>-75000</v>
      </c>
      <c r="I14" s="18">
        <v>-75000</v>
      </c>
      <c r="J14" s="18">
        <v>-75000</v>
      </c>
      <c r="K14" s="18">
        <v>-75000</v>
      </c>
      <c r="L14" s="18">
        <v>-75000</v>
      </c>
      <c r="M14" s="18">
        <v>-75000</v>
      </c>
      <c r="N14" s="18">
        <v>-75000</v>
      </c>
      <c r="O14" s="18">
        <v>-75000</v>
      </c>
      <c r="P14" s="19">
        <f t="shared" si="0"/>
        <v>-900000</v>
      </c>
      <c r="Q14" s="20" t="s">
        <v>42</v>
      </c>
    </row>
    <row r="15" spans="1:17" ht="24">
      <c r="A15" s="23"/>
      <c r="B15" s="22"/>
      <c r="C15" s="17" t="s">
        <v>43</v>
      </c>
      <c r="D15" s="18">
        <v>20834</v>
      </c>
      <c r="E15" s="18">
        <v>20834</v>
      </c>
      <c r="F15" s="18">
        <v>20834</v>
      </c>
      <c r="G15" s="18">
        <v>20834</v>
      </c>
      <c r="H15" s="18">
        <v>20833</v>
      </c>
      <c r="I15" s="18">
        <v>20833</v>
      </c>
      <c r="J15" s="18">
        <v>20833</v>
      </c>
      <c r="K15" s="18">
        <v>20833</v>
      </c>
      <c r="L15" s="18">
        <v>20833</v>
      </c>
      <c r="M15" s="18">
        <v>20833</v>
      </c>
      <c r="N15" s="18">
        <v>20833</v>
      </c>
      <c r="O15" s="18">
        <v>20833</v>
      </c>
      <c r="P15" s="19">
        <f t="shared" si="0"/>
        <v>250000</v>
      </c>
      <c r="Q15" s="20" t="s">
        <v>44</v>
      </c>
    </row>
    <row r="16" spans="1:17" ht="24">
      <c r="A16" s="23"/>
      <c r="B16" s="22"/>
      <c r="C16" s="17" t="s">
        <v>45</v>
      </c>
      <c r="D16" s="18">
        <v>8334</v>
      </c>
      <c r="E16" s="18">
        <v>8334</v>
      </c>
      <c r="F16" s="18">
        <v>8334</v>
      </c>
      <c r="G16" s="18">
        <v>8334</v>
      </c>
      <c r="H16" s="18">
        <v>8333</v>
      </c>
      <c r="I16" s="18">
        <v>8333</v>
      </c>
      <c r="J16" s="18">
        <v>8333</v>
      </c>
      <c r="K16" s="18">
        <v>8333</v>
      </c>
      <c r="L16" s="18">
        <v>8333</v>
      </c>
      <c r="M16" s="18">
        <v>8333</v>
      </c>
      <c r="N16" s="18">
        <v>8333</v>
      </c>
      <c r="O16" s="18">
        <v>8333</v>
      </c>
      <c r="P16" s="19">
        <f t="shared" si="0"/>
        <v>100000</v>
      </c>
      <c r="Q16" s="20" t="s">
        <v>46</v>
      </c>
    </row>
    <row r="17" spans="1:26" ht="24" outlineLevel="1">
      <c r="A17" s="23"/>
      <c r="B17" s="22"/>
      <c r="C17" s="17" t="s">
        <v>47</v>
      </c>
      <c r="D17" s="18">
        <v>1250</v>
      </c>
      <c r="E17" s="18">
        <v>1250</v>
      </c>
      <c r="F17" s="18">
        <v>1250</v>
      </c>
      <c r="G17" s="18">
        <v>1250</v>
      </c>
      <c r="H17" s="18">
        <v>1250</v>
      </c>
      <c r="I17" s="18">
        <v>1250</v>
      </c>
      <c r="J17" s="18">
        <v>1250</v>
      </c>
      <c r="K17" s="18">
        <v>1250</v>
      </c>
      <c r="L17" s="18">
        <v>1250</v>
      </c>
      <c r="M17" s="18">
        <v>1250</v>
      </c>
      <c r="N17" s="18">
        <v>1250</v>
      </c>
      <c r="O17" s="18">
        <v>1250</v>
      </c>
      <c r="P17" s="19">
        <f t="shared" si="0"/>
        <v>15000</v>
      </c>
      <c r="Q17" s="20" t="s">
        <v>48</v>
      </c>
    </row>
    <row r="18" spans="1:26" outlineLevel="1">
      <c r="A18" s="23"/>
      <c r="B18" s="22"/>
      <c r="C18" s="17" t="s">
        <v>49</v>
      </c>
      <c r="D18" s="18"/>
      <c r="E18" s="18"/>
      <c r="F18" s="18">
        <v>200000</v>
      </c>
      <c r="G18" s="18"/>
      <c r="H18" s="18"/>
      <c r="I18" s="18"/>
      <c r="J18" s="18"/>
      <c r="K18" s="18"/>
      <c r="L18" s="18"/>
      <c r="M18" s="18"/>
      <c r="N18" s="18"/>
      <c r="O18" s="18"/>
      <c r="P18" s="19">
        <f t="shared" si="0"/>
        <v>200000</v>
      </c>
      <c r="Q18" s="20" t="s">
        <v>50</v>
      </c>
    </row>
    <row r="19" spans="1:26" ht="24" outlineLevel="1">
      <c r="A19" s="23"/>
      <c r="B19" s="22"/>
      <c r="C19" s="17" t="s">
        <v>51</v>
      </c>
      <c r="D19" s="18">
        <v>33334</v>
      </c>
      <c r="E19" s="18">
        <v>33334</v>
      </c>
      <c r="F19" s="18">
        <v>33334</v>
      </c>
      <c r="G19" s="18">
        <v>33334</v>
      </c>
      <c r="H19" s="18">
        <v>33333</v>
      </c>
      <c r="I19" s="18">
        <v>33333</v>
      </c>
      <c r="J19" s="18">
        <v>33333</v>
      </c>
      <c r="K19" s="18">
        <v>33333</v>
      </c>
      <c r="L19" s="18">
        <v>33333</v>
      </c>
      <c r="M19" s="18">
        <v>33333</v>
      </c>
      <c r="N19" s="18">
        <v>33333</v>
      </c>
      <c r="O19" s="18">
        <v>33333</v>
      </c>
      <c r="P19" s="19">
        <f t="shared" si="0"/>
        <v>400000</v>
      </c>
      <c r="Q19" s="20" t="s">
        <v>52</v>
      </c>
    </row>
    <row r="20" spans="1:26" ht="24.75" outlineLevel="1" thickBot="1">
      <c r="A20" s="24"/>
      <c r="B20" s="25"/>
      <c r="C20" s="26" t="s">
        <v>53</v>
      </c>
      <c r="D20" s="27"/>
      <c r="E20" s="27"/>
      <c r="F20" s="27"/>
      <c r="G20" s="27">
        <v>-1860750</v>
      </c>
      <c r="H20" s="27"/>
      <c r="I20" s="27"/>
      <c r="J20" s="27">
        <v>-1860750</v>
      </c>
      <c r="K20" s="27"/>
      <c r="L20" s="27"/>
      <c r="M20" s="27">
        <v>-1860750</v>
      </c>
      <c r="N20" s="27"/>
      <c r="O20" s="27">
        <v>-1860750</v>
      </c>
      <c r="P20" s="28">
        <f t="shared" si="0"/>
        <v>-7443000</v>
      </c>
      <c r="Q20" s="29" t="s">
        <v>54</v>
      </c>
    </row>
    <row r="21" spans="1:26" ht="25.5" customHeight="1" outlineLevel="1">
      <c r="A21" s="23"/>
      <c r="B21" s="30" t="s">
        <v>55</v>
      </c>
      <c r="C21" s="23" t="s">
        <v>23</v>
      </c>
      <c r="D21" s="31">
        <v>83334</v>
      </c>
      <c r="E21" s="31">
        <v>83334</v>
      </c>
      <c r="F21" s="31">
        <v>83334</v>
      </c>
      <c r="G21" s="31">
        <v>83334</v>
      </c>
      <c r="H21" s="31">
        <v>83333</v>
      </c>
      <c r="I21" s="31">
        <v>83333</v>
      </c>
      <c r="J21" s="31">
        <v>83333</v>
      </c>
      <c r="K21" s="31">
        <v>83333</v>
      </c>
      <c r="L21" s="31">
        <v>83333</v>
      </c>
      <c r="M21" s="31">
        <v>83333</v>
      </c>
      <c r="N21" s="31">
        <v>83333</v>
      </c>
      <c r="O21" s="31">
        <v>83333</v>
      </c>
      <c r="P21" s="32">
        <f t="shared" si="0"/>
        <v>1000000</v>
      </c>
      <c r="Q21" s="20" t="s">
        <v>24</v>
      </c>
    </row>
    <row r="22" spans="1:26" outlineLevel="1">
      <c r="A22" s="23"/>
      <c r="B22" s="33"/>
      <c r="C22" s="17" t="s">
        <v>25</v>
      </c>
      <c r="D22" s="18">
        <v>33334</v>
      </c>
      <c r="E22" s="18">
        <v>33334</v>
      </c>
      <c r="F22" s="18">
        <v>33334</v>
      </c>
      <c r="G22" s="18">
        <v>33334</v>
      </c>
      <c r="H22" s="18">
        <v>33333</v>
      </c>
      <c r="I22" s="18">
        <v>33333</v>
      </c>
      <c r="J22" s="18">
        <v>33333</v>
      </c>
      <c r="K22" s="18">
        <v>33333</v>
      </c>
      <c r="L22" s="18">
        <v>33333</v>
      </c>
      <c r="M22" s="18">
        <v>33333</v>
      </c>
      <c r="N22" s="18">
        <v>33333</v>
      </c>
      <c r="O22" s="18">
        <v>33333</v>
      </c>
      <c r="P22" s="19">
        <f t="shared" si="0"/>
        <v>400000</v>
      </c>
      <c r="Q22" s="20" t="s">
        <v>56</v>
      </c>
    </row>
    <row r="23" spans="1:26" outlineLevel="1">
      <c r="A23" s="23"/>
      <c r="B23" s="33"/>
      <c r="C23" s="17" t="s">
        <v>57</v>
      </c>
      <c r="D23" s="18">
        <v>8334</v>
      </c>
      <c r="E23" s="18">
        <v>8334</v>
      </c>
      <c r="F23" s="18">
        <v>8334</v>
      </c>
      <c r="G23" s="18">
        <v>8334</v>
      </c>
      <c r="H23" s="18">
        <v>8333</v>
      </c>
      <c r="I23" s="18">
        <v>8333</v>
      </c>
      <c r="J23" s="18">
        <v>8333</v>
      </c>
      <c r="K23" s="18">
        <v>8333</v>
      </c>
      <c r="L23" s="18">
        <v>8333</v>
      </c>
      <c r="M23" s="18">
        <v>8333</v>
      </c>
      <c r="N23" s="18">
        <v>8333</v>
      </c>
      <c r="O23" s="18">
        <v>8333</v>
      </c>
      <c r="P23" s="19">
        <f t="shared" si="0"/>
        <v>100000</v>
      </c>
      <c r="Q23" s="20" t="s">
        <v>58</v>
      </c>
    </row>
    <row r="24" spans="1:26" outlineLevel="1">
      <c r="A24" s="23"/>
      <c r="B24" s="34"/>
      <c r="C24" s="17" t="s">
        <v>29</v>
      </c>
      <c r="D24" s="18">
        <v>417</v>
      </c>
      <c r="E24" s="18">
        <v>417</v>
      </c>
      <c r="F24" s="18">
        <v>417</v>
      </c>
      <c r="G24" s="18">
        <v>417</v>
      </c>
      <c r="H24" s="18">
        <v>417</v>
      </c>
      <c r="I24" s="18">
        <v>417</v>
      </c>
      <c r="J24" s="18">
        <v>417</v>
      </c>
      <c r="K24" s="18">
        <v>417</v>
      </c>
      <c r="L24" s="18">
        <v>416</v>
      </c>
      <c r="M24" s="18">
        <v>416</v>
      </c>
      <c r="N24" s="18">
        <v>416</v>
      </c>
      <c r="O24" s="18">
        <v>416</v>
      </c>
      <c r="P24" s="19">
        <f t="shared" si="0"/>
        <v>5000</v>
      </c>
      <c r="Q24" s="20"/>
    </row>
    <row r="25" spans="1:26" outlineLevel="1">
      <c r="A25" s="23"/>
      <c r="B25" s="34"/>
      <c r="C25" s="17" t="s">
        <v>31</v>
      </c>
      <c r="D25" s="18">
        <v>41667</v>
      </c>
      <c r="E25" s="18">
        <v>41667</v>
      </c>
      <c r="F25" s="18">
        <v>41667</v>
      </c>
      <c r="G25" s="18">
        <v>41667</v>
      </c>
      <c r="H25" s="18">
        <v>41667</v>
      </c>
      <c r="I25" s="18">
        <v>41667</v>
      </c>
      <c r="J25" s="18">
        <v>41667</v>
      </c>
      <c r="K25" s="18">
        <v>41667</v>
      </c>
      <c r="L25" s="18">
        <v>41666</v>
      </c>
      <c r="M25" s="18">
        <v>41666</v>
      </c>
      <c r="N25" s="18">
        <v>41666</v>
      </c>
      <c r="O25" s="18">
        <v>41666</v>
      </c>
      <c r="P25" s="19">
        <f t="shared" si="0"/>
        <v>500000</v>
      </c>
      <c r="Q25" s="20" t="s">
        <v>32</v>
      </c>
    </row>
    <row r="26" spans="1:26" outlineLevel="1">
      <c r="A26" s="23"/>
      <c r="B26" s="34"/>
      <c r="C26" s="17" t="s">
        <v>33</v>
      </c>
      <c r="D26" s="18">
        <v>417</v>
      </c>
      <c r="E26" s="18">
        <v>417</v>
      </c>
      <c r="F26" s="18">
        <v>417</v>
      </c>
      <c r="G26" s="18">
        <v>417</v>
      </c>
      <c r="H26" s="18">
        <v>417</v>
      </c>
      <c r="I26" s="18">
        <v>417</v>
      </c>
      <c r="J26" s="18">
        <v>417</v>
      </c>
      <c r="K26" s="18">
        <v>417</v>
      </c>
      <c r="L26" s="18">
        <v>416</v>
      </c>
      <c r="M26" s="18">
        <v>416</v>
      </c>
      <c r="N26" s="18">
        <v>416</v>
      </c>
      <c r="O26" s="18">
        <v>416</v>
      </c>
      <c r="P26" s="19">
        <f t="shared" si="0"/>
        <v>5000</v>
      </c>
      <c r="Q26" s="20" t="s">
        <v>34</v>
      </c>
    </row>
    <row r="27" spans="1:26" outlineLevel="1">
      <c r="A27" s="23"/>
      <c r="B27" s="34"/>
      <c r="C27" s="17" t="s">
        <v>35</v>
      </c>
      <c r="D27" s="18">
        <v>33334</v>
      </c>
      <c r="E27" s="18">
        <v>33334</v>
      </c>
      <c r="F27" s="18">
        <v>33334</v>
      </c>
      <c r="G27" s="18">
        <v>33334</v>
      </c>
      <c r="H27" s="18">
        <v>33333</v>
      </c>
      <c r="I27" s="18">
        <v>33333</v>
      </c>
      <c r="J27" s="18">
        <v>33333</v>
      </c>
      <c r="K27" s="18">
        <v>33333</v>
      </c>
      <c r="L27" s="18">
        <v>33333</v>
      </c>
      <c r="M27" s="18">
        <v>33333</v>
      </c>
      <c r="N27" s="18">
        <v>33333</v>
      </c>
      <c r="O27" s="18">
        <v>33333</v>
      </c>
      <c r="P27" s="19">
        <f t="shared" si="0"/>
        <v>400000</v>
      </c>
      <c r="Q27" s="20" t="s">
        <v>59</v>
      </c>
    </row>
    <row r="28" spans="1:26" ht="24" outlineLevel="1">
      <c r="A28" s="23"/>
      <c r="B28" s="34"/>
      <c r="C28" s="17" t="s">
        <v>39</v>
      </c>
      <c r="D28" s="18">
        <v>333334</v>
      </c>
      <c r="E28" s="18">
        <v>333334</v>
      </c>
      <c r="F28" s="18">
        <v>333334</v>
      </c>
      <c r="G28" s="18">
        <v>333334</v>
      </c>
      <c r="H28" s="18">
        <v>333333</v>
      </c>
      <c r="I28" s="18">
        <v>333333</v>
      </c>
      <c r="J28" s="18">
        <v>333333</v>
      </c>
      <c r="K28" s="18">
        <v>333333</v>
      </c>
      <c r="L28" s="18">
        <v>333333</v>
      </c>
      <c r="M28" s="18">
        <v>333333</v>
      </c>
      <c r="N28" s="18">
        <v>333333</v>
      </c>
      <c r="O28" s="18">
        <v>333333</v>
      </c>
      <c r="P28" s="19">
        <f t="shared" si="0"/>
        <v>4000000</v>
      </c>
      <c r="Q28" s="20" t="s">
        <v>60</v>
      </c>
    </row>
    <row r="29" spans="1:26" outlineLevel="1">
      <c r="A29" s="23"/>
      <c r="B29" s="34"/>
      <c r="C29" s="17" t="s">
        <v>61</v>
      </c>
      <c r="D29" s="18">
        <v>834</v>
      </c>
      <c r="E29" s="18">
        <v>834</v>
      </c>
      <c r="F29" s="18">
        <v>834</v>
      </c>
      <c r="G29" s="18">
        <v>834</v>
      </c>
      <c r="H29" s="18">
        <v>833</v>
      </c>
      <c r="I29" s="18">
        <v>833</v>
      </c>
      <c r="J29" s="18">
        <v>833</v>
      </c>
      <c r="K29" s="18">
        <v>833</v>
      </c>
      <c r="L29" s="18">
        <v>833</v>
      </c>
      <c r="M29" s="18">
        <v>833</v>
      </c>
      <c r="N29" s="18">
        <v>833</v>
      </c>
      <c r="O29" s="18">
        <v>833</v>
      </c>
      <c r="P29" s="19">
        <f t="shared" si="0"/>
        <v>10000</v>
      </c>
      <c r="Q29" s="20" t="s">
        <v>62</v>
      </c>
    </row>
    <row r="30" spans="1:26" ht="36" outlineLevel="1">
      <c r="A30" s="23"/>
      <c r="B30" s="34"/>
      <c r="C30" s="17" t="s">
        <v>43</v>
      </c>
      <c r="D30" s="18">
        <v>50000</v>
      </c>
      <c r="E30" s="18">
        <v>50000</v>
      </c>
      <c r="F30" s="18">
        <v>50000</v>
      </c>
      <c r="G30" s="18">
        <v>50000</v>
      </c>
      <c r="H30" s="18">
        <v>50000</v>
      </c>
      <c r="I30" s="18">
        <v>50000</v>
      </c>
      <c r="J30" s="18">
        <v>50000</v>
      </c>
      <c r="K30" s="18">
        <v>50000</v>
      </c>
      <c r="L30" s="18">
        <v>50000</v>
      </c>
      <c r="M30" s="18">
        <v>50000</v>
      </c>
      <c r="N30" s="18">
        <v>50000</v>
      </c>
      <c r="O30" s="18">
        <v>50000</v>
      </c>
      <c r="P30" s="19">
        <f t="shared" si="0"/>
        <v>600000</v>
      </c>
      <c r="Q30" s="20" t="s">
        <v>63</v>
      </c>
    </row>
    <row r="31" spans="1:26" outlineLevel="1">
      <c r="A31" s="23"/>
      <c r="B31" s="34"/>
      <c r="C31" s="17" t="s">
        <v>45</v>
      </c>
      <c r="D31" s="18">
        <v>25000</v>
      </c>
      <c r="E31" s="18">
        <v>25000</v>
      </c>
      <c r="F31" s="18">
        <v>25000</v>
      </c>
      <c r="G31" s="18">
        <v>25000</v>
      </c>
      <c r="H31" s="18">
        <v>25000</v>
      </c>
      <c r="I31" s="18">
        <v>25000</v>
      </c>
      <c r="J31" s="18">
        <v>25000</v>
      </c>
      <c r="K31" s="18">
        <v>25000</v>
      </c>
      <c r="L31" s="18">
        <v>25000</v>
      </c>
      <c r="M31" s="18">
        <v>25000</v>
      </c>
      <c r="N31" s="18">
        <v>25000</v>
      </c>
      <c r="O31" s="18">
        <v>25000</v>
      </c>
      <c r="P31" s="19">
        <f t="shared" si="0"/>
        <v>300000</v>
      </c>
      <c r="Q31" s="20" t="s">
        <v>64</v>
      </c>
    </row>
    <row r="32" spans="1:26" outlineLevel="1">
      <c r="A32" s="23"/>
      <c r="B32" s="34"/>
      <c r="C32" s="17" t="s">
        <v>49</v>
      </c>
      <c r="D32" s="18"/>
      <c r="E32" s="18"/>
      <c r="F32" s="18">
        <v>195000</v>
      </c>
      <c r="G32" s="18">
        <v>9500</v>
      </c>
      <c r="H32" s="18">
        <v>9500</v>
      </c>
      <c r="I32" s="18">
        <v>9500</v>
      </c>
      <c r="J32" s="18">
        <v>9500</v>
      </c>
      <c r="K32" s="18">
        <v>9500</v>
      </c>
      <c r="L32" s="18">
        <v>9500</v>
      </c>
      <c r="M32" s="18">
        <v>9500</v>
      </c>
      <c r="N32" s="18">
        <v>9500</v>
      </c>
      <c r="O32" s="18">
        <v>9000</v>
      </c>
      <c r="P32" s="19">
        <f t="shared" si="0"/>
        <v>280000</v>
      </c>
      <c r="Q32" s="20" t="s">
        <v>65</v>
      </c>
      <c r="Z32" s="2">
        <f>80000/9</f>
        <v>8888.8888888888887</v>
      </c>
    </row>
    <row r="33" spans="1:17">
      <c r="A33" s="23"/>
      <c r="B33" s="34"/>
      <c r="C33" s="17" t="s">
        <v>51</v>
      </c>
      <c r="D33" s="18">
        <v>300000</v>
      </c>
      <c r="E33" s="18">
        <v>300000</v>
      </c>
      <c r="F33" s="18">
        <v>300000</v>
      </c>
      <c r="G33" s="18">
        <v>300000</v>
      </c>
      <c r="H33" s="18">
        <v>300000</v>
      </c>
      <c r="I33" s="18">
        <v>300000</v>
      </c>
      <c r="J33" s="18">
        <v>300000</v>
      </c>
      <c r="K33" s="18">
        <v>300000</v>
      </c>
      <c r="L33" s="18">
        <v>300000</v>
      </c>
      <c r="M33" s="18">
        <v>300000</v>
      </c>
      <c r="N33" s="18">
        <v>300000</v>
      </c>
      <c r="O33" s="18">
        <v>300000</v>
      </c>
      <c r="P33" s="19">
        <f t="shared" si="0"/>
        <v>3600000</v>
      </c>
      <c r="Q33" s="20" t="s">
        <v>66</v>
      </c>
    </row>
    <row r="34" spans="1:17" ht="24.75" thickBot="1">
      <c r="A34" s="24"/>
      <c r="B34" s="35"/>
      <c r="C34" s="26" t="s">
        <v>53</v>
      </c>
      <c r="D34" s="27"/>
      <c r="E34" s="27"/>
      <c r="F34" s="27"/>
      <c r="G34" s="27">
        <v>-2800000</v>
      </c>
      <c r="H34" s="27"/>
      <c r="I34" s="27"/>
      <c r="J34" s="27">
        <v>-2800000</v>
      </c>
      <c r="K34" s="27"/>
      <c r="L34" s="27"/>
      <c r="M34" s="27">
        <v>-2800000</v>
      </c>
      <c r="N34" s="27"/>
      <c r="O34" s="27">
        <v>-2800000</v>
      </c>
      <c r="P34" s="28">
        <f t="shared" si="0"/>
        <v>-11200000</v>
      </c>
      <c r="Q34" s="29" t="s">
        <v>54</v>
      </c>
    </row>
    <row r="35" spans="1:17" ht="36">
      <c r="A35" s="36"/>
      <c r="B35" s="37" t="s">
        <v>67</v>
      </c>
      <c r="C35" s="36" t="s">
        <v>68</v>
      </c>
      <c r="D35" s="38">
        <v>226780</v>
      </c>
      <c r="E35" s="38">
        <v>226780</v>
      </c>
      <c r="F35" s="38">
        <v>226780</v>
      </c>
      <c r="G35" s="38">
        <v>272780</v>
      </c>
      <c r="H35" s="38">
        <v>226780</v>
      </c>
      <c r="I35" s="38">
        <v>226780</v>
      </c>
      <c r="J35" s="38">
        <v>226780</v>
      </c>
      <c r="K35" s="38">
        <v>226780</v>
      </c>
      <c r="L35" s="38">
        <v>226780</v>
      </c>
      <c r="M35" s="38">
        <v>226780</v>
      </c>
      <c r="N35" s="38">
        <v>226780</v>
      </c>
      <c r="O35" s="38">
        <v>226780</v>
      </c>
      <c r="P35" s="39">
        <f t="shared" si="0"/>
        <v>2767360</v>
      </c>
      <c r="Q35" s="20" t="s">
        <v>69</v>
      </c>
    </row>
    <row r="36" spans="1:17">
      <c r="A36" s="23"/>
      <c r="B36" s="40"/>
      <c r="C36" s="17" t="s">
        <v>23</v>
      </c>
      <c r="D36" s="18">
        <v>1250</v>
      </c>
      <c r="E36" s="18">
        <v>1250</v>
      </c>
      <c r="F36" s="18">
        <v>1250</v>
      </c>
      <c r="G36" s="18">
        <v>1250</v>
      </c>
      <c r="H36" s="18">
        <v>1250</v>
      </c>
      <c r="I36" s="18">
        <v>1250</v>
      </c>
      <c r="J36" s="18">
        <v>1250</v>
      </c>
      <c r="K36" s="18">
        <v>1250</v>
      </c>
      <c r="L36" s="18">
        <v>1250</v>
      </c>
      <c r="M36" s="18">
        <v>1250</v>
      </c>
      <c r="N36" s="18">
        <v>1250</v>
      </c>
      <c r="O36" s="18">
        <v>1250</v>
      </c>
      <c r="P36" s="19">
        <f t="shared" si="0"/>
        <v>15000</v>
      </c>
      <c r="Q36" s="20" t="s">
        <v>70</v>
      </c>
    </row>
    <row r="37" spans="1:17">
      <c r="A37" s="23"/>
      <c r="B37" s="40"/>
      <c r="C37" s="17" t="s">
        <v>25</v>
      </c>
      <c r="D37" s="18">
        <v>209</v>
      </c>
      <c r="E37" s="18">
        <v>209</v>
      </c>
      <c r="F37" s="18">
        <v>209</v>
      </c>
      <c r="G37" s="18">
        <v>209</v>
      </c>
      <c r="H37" s="18">
        <v>208</v>
      </c>
      <c r="I37" s="18">
        <v>208</v>
      </c>
      <c r="J37" s="18">
        <v>208</v>
      </c>
      <c r="K37" s="18">
        <v>208</v>
      </c>
      <c r="L37" s="18">
        <v>208</v>
      </c>
      <c r="M37" s="18">
        <v>208</v>
      </c>
      <c r="N37" s="18">
        <v>208</v>
      </c>
      <c r="O37" s="18">
        <v>208</v>
      </c>
      <c r="P37" s="19">
        <f t="shared" si="0"/>
        <v>2500</v>
      </c>
      <c r="Q37" s="20" t="s">
        <v>71</v>
      </c>
    </row>
    <row r="38" spans="1:17">
      <c r="A38" s="23"/>
      <c r="B38" s="40"/>
      <c r="C38" s="17" t="s">
        <v>72</v>
      </c>
      <c r="D38" s="18"/>
      <c r="E38" s="18"/>
      <c r="F38" s="18"/>
      <c r="G38" s="18"/>
      <c r="H38" s="18">
        <v>12000</v>
      </c>
      <c r="I38" s="18"/>
      <c r="J38" s="18"/>
      <c r="K38" s="18"/>
      <c r="L38" s="18"/>
      <c r="M38" s="18"/>
      <c r="N38" s="18">
        <v>12000</v>
      </c>
      <c r="O38" s="18"/>
      <c r="P38" s="19">
        <f t="shared" si="0"/>
        <v>24000</v>
      </c>
      <c r="Q38" s="20" t="s">
        <v>73</v>
      </c>
    </row>
    <row r="39" spans="1:17">
      <c r="A39" s="23"/>
      <c r="B39" s="40"/>
      <c r="C39" s="17" t="s">
        <v>39</v>
      </c>
      <c r="D39" s="18">
        <v>834</v>
      </c>
      <c r="E39" s="18">
        <v>834</v>
      </c>
      <c r="F39" s="18">
        <v>834</v>
      </c>
      <c r="G39" s="18">
        <v>834</v>
      </c>
      <c r="H39" s="18">
        <v>833</v>
      </c>
      <c r="I39" s="18">
        <v>833</v>
      </c>
      <c r="J39" s="18">
        <v>833</v>
      </c>
      <c r="K39" s="18">
        <v>833</v>
      </c>
      <c r="L39" s="18">
        <v>833</v>
      </c>
      <c r="M39" s="18">
        <v>833</v>
      </c>
      <c r="N39" s="18">
        <v>833</v>
      </c>
      <c r="O39" s="18">
        <v>833</v>
      </c>
      <c r="P39" s="19">
        <f t="shared" si="0"/>
        <v>10000</v>
      </c>
      <c r="Q39" s="20" t="s">
        <v>74</v>
      </c>
    </row>
    <row r="40" spans="1:17">
      <c r="A40" s="23"/>
      <c r="B40" s="40"/>
      <c r="C40" s="17" t="s">
        <v>75</v>
      </c>
      <c r="D40" s="18">
        <v>550</v>
      </c>
      <c r="E40" s="18">
        <v>550</v>
      </c>
      <c r="F40" s="18">
        <v>550</v>
      </c>
      <c r="G40" s="18">
        <v>550</v>
      </c>
      <c r="H40" s="18">
        <v>550</v>
      </c>
      <c r="I40" s="18">
        <v>550</v>
      </c>
      <c r="J40" s="18">
        <v>550</v>
      </c>
      <c r="K40" s="18">
        <v>550</v>
      </c>
      <c r="L40" s="18">
        <v>550</v>
      </c>
      <c r="M40" s="18">
        <v>550</v>
      </c>
      <c r="N40" s="18">
        <v>550</v>
      </c>
      <c r="O40" s="18">
        <v>550</v>
      </c>
      <c r="P40" s="19">
        <f t="shared" si="0"/>
        <v>6600</v>
      </c>
      <c r="Q40" s="20" t="s">
        <v>76</v>
      </c>
    </row>
    <row r="41" spans="1:17">
      <c r="A41" s="23"/>
      <c r="B41" s="40"/>
      <c r="C41" s="17" t="s">
        <v>43</v>
      </c>
      <c r="D41" s="18">
        <v>84</v>
      </c>
      <c r="E41" s="18">
        <v>84</v>
      </c>
      <c r="F41" s="18">
        <v>84</v>
      </c>
      <c r="G41" s="18">
        <v>84</v>
      </c>
      <c r="H41" s="18">
        <v>83</v>
      </c>
      <c r="I41" s="18">
        <v>83</v>
      </c>
      <c r="J41" s="18">
        <v>83</v>
      </c>
      <c r="K41" s="18">
        <v>83</v>
      </c>
      <c r="L41" s="18">
        <v>83</v>
      </c>
      <c r="M41" s="18">
        <v>83</v>
      </c>
      <c r="N41" s="18">
        <v>83</v>
      </c>
      <c r="O41" s="18">
        <v>83</v>
      </c>
      <c r="P41" s="19">
        <f t="shared" si="0"/>
        <v>1000</v>
      </c>
      <c r="Q41" s="20" t="s">
        <v>77</v>
      </c>
    </row>
    <row r="42" spans="1:17" ht="24">
      <c r="A42" s="23"/>
      <c r="B42" s="40"/>
      <c r="C42" s="17" t="s">
        <v>78</v>
      </c>
      <c r="D42" s="18">
        <v>167</v>
      </c>
      <c r="E42" s="18">
        <v>167</v>
      </c>
      <c r="F42" s="18">
        <v>167</v>
      </c>
      <c r="G42" s="18">
        <v>167</v>
      </c>
      <c r="H42" s="18">
        <v>167</v>
      </c>
      <c r="I42" s="18">
        <v>167</v>
      </c>
      <c r="J42" s="18">
        <v>167</v>
      </c>
      <c r="K42" s="18">
        <v>167</v>
      </c>
      <c r="L42" s="18">
        <v>166</v>
      </c>
      <c r="M42" s="18">
        <v>166</v>
      </c>
      <c r="N42" s="18">
        <v>166</v>
      </c>
      <c r="O42" s="18">
        <v>166</v>
      </c>
      <c r="P42" s="19">
        <f t="shared" si="0"/>
        <v>2000</v>
      </c>
      <c r="Q42" s="20" t="s">
        <v>79</v>
      </c>
    </row>
    <row r="43" spans="1:17">
      <c r="A43" s="23"/>
      <c r="B43" s="40"/>
      <c r="C43" s="17" t="s">
        <v>45</v>
      </c>
      <c r="D43" s="18">
        <v>500</v>
      </c>
      <c r="E43" s="18">
        <v>500</v>
      </c>
      <c r="F43" s="18">
        <v>500</v>
      </c>
      <c r="G43" s="18">
        <v>500</v>
      </c>
      <c r="H43" s="18">
        <v>500</v>
      </c>
      <c r="I43" s="18">
        <v>500</v>
      </c>
      <c r="J43" s="18">
        <v>500</v>
      </c>
      <c r="K43" s="18">
        <v>500</v>
      </c>
      <c r="L43" s="18">
        <v>500</v>
      </c>
      <c r="M43" s="18">
        <v>500</v>
      </c>
      <c r="N43" s="18">
        <v>500</v>
      </c>
      <c r="O43" s="18">
        <v>500</v>
      </c>
      <c r="P43" s="19">
        <f t="shared" si="0"/>
        <v>6000</v>
      </c>
      <c r="Q43" s="20" t="s">
        <v>80</v>
      </c>
    </row>
    <row r="44" spans="1:17" ht="24.75" thickBot="1">
      <c r="A44" s="24"/>
      <c r="B44" s="41"/>
      <c r="C44" s="26" t="s">
        <v>53</v>
      </c>
      <c r="D44" s="27"/>
      <c r="E44" s="27"/>
      <c r="F44" s="27"/>
      <c r="G44" s="27">
        <v>-786237</v>
      </c>
      <c r="H44" s="27"/>
      <c r="I44" s="27"/>
      <c r="J44" s="27">
        <v>-786237</v>
      </c>
      <c r="K44" s="27"/>
      <c r="L44" s="27"/>
      <c r="M44" s="27">
        <v>-786236</v>
      </c>
      <c r="N44" s="27"/>
      <c r="O44" s="27">
        <v>-786236</v>
      </c>
      <c r="P44" s="28">
        <f t="shared" si="0"/>
        <v>-3144946</v>
      </c>
      <c r="Q44" s="29" t="s">
        <v>81</v>
      </c>
    </row>
    <row r="45" spans="1:17">
      <c r="A45" s="36"/>
      <c r="B45" s="42" t="s">
        <v>82</v>
      </c>
      <c r="C45" s="36" t="s">
        <v>68</v>
      </c>
      <c r="D45" s="38">
        <v>152500</v>
      </c>
      <c r="E45" s="38">
        <v>152500</v>
      </c>
      <c r="F45" s="38">
        <v>152500</v>
      </c>
      <c r="G45" s="38">
        <v>181500</v>
      </c>
      <c r="H45" s="38">
        <v>152500</v>
      </c>
      <c r="I45" s="38">
        <v>152500</v>
      </c>
      <c r="J45" s="38">
        <v>152500</v>
      </c>
      <c r="K45" s="38">
        <v>152500</v>
      </c>
      <c r="L45" s="38">
        <v>152500</v>
      </c>
      <c r="M45" s="38">
        <v>152500</v>
      </c>
      <c r="N45" s="38">
        <v>152500</v>
      </c>
      <c r="O45" s="38">
        <v>152500</v>
      </c>
      <c r="P45" s="39">
        <f t="shared" si="0"/>
        <v>1859000</v>
      </c>
      <c r="Q45" s="20" t="s">
        <v>83</v>
      </c>
    </row>
    <row r="46" spans="1:17">
      <c r="A46" s="23"/>
      <c r="B46" s="43"/>
      <c r="C46" s="17" t="s">
        <v>23</v>
      </c>
      <c r="D46" s="18">
        <v>167</v>
      </c>
      <c r="E46" s="18">
        <v>167</v>
      </c>
      <c r="F46" s="18">
        <v>167</v>
      </c>
      <c r="G46" s="18">
        <v>167</v>
      </c>
      <c r="H46" s="18">
        <v>167</v>
      </c>
      <c r="I46" s="18">
        <v>167</v>
      </c>
      <c r="J46" s="18">
        <v>167</v>
      </c>
      <c r="K46" s="18">
        <v>167</v>
      </c>
      <c r="L46" s="18">
        <v>166</v>
      </c>
      <c r="M46" s="18">
        <v>166</v>
      </c>
      <c r="N46" s="18">
        <v>166</v>
      </c>
      <c r="O46" s="18">
        <v>166</v>
      </c>
      <c r="P46" s="19">
        <f t="shared" si="0"/>
        <v>2000</v>
      </c>
      <c r="Q46" s="20" t="s">
        <v>84</v>
      </c>
    </row>
    <row r="47" spans="1:17">
      <c r="A47" s="23"/>
      <c r="B47" s="43"/>
      <c r="C47" s="17" t="s">
        <v>72</v>
      </c>
      <c r="D47" s="18"/>
      <c r="E47" s="18"/>
      <c r="F47" s="18"/>
      <c r="G47" s="18"/>
      <c r="H47" s="18">
        <v>8000</v>
      </c>
      <c r="I47" s="18"/>
      <c r="J47" s="18"/>
      <c r="K47" s="18"/>
      <c r="L47" s="18"/>
      <c r="M47" s="18"/>
      <c r="N47" s="18">
        <v>8000</v>
      </c>
      <c r="O47" s="18"/>
      <c r="P47" s="19">
        <f t="shared" si="0"/>
        <v>16000</v>
      </c>
      <c r="Q47" s="20" t="s">
        <v>73</v>
      </c>
    </row>
    <row r="48" spans="1:17">
      <c r="A48" s="23"/>
      <c r="B48" s="43"/>
      <c r="C48" s="17" t="s">
        <v>39</v>
      </c>
      <c r="D48" s="18"/>
      <c r="E48" s="18"/>
      <c r="F48" s="18"/>
      <c r="G48" s="18"/>
      <c r="H48" s="18">
        <v>2500</v>
      </c>
      <c r="I48" s="18"/>
      <c r="J48" s="18"/>
      <c r="K48" s="18"/>
      <c r="L48" s="18"/>
      <c r="M48" s="18"/>
      <c r="N48" s="18">
        <v>2500</v>
      </c>
      <c r="O48" s="18"/>
      <c r="P48" s="19">
        <f t="shared" si="0"/>
        <v>5000</v>
      </c>
      <c r="Q48" s="20" t="s">
        <v>85</v>
      </c>
    </row>
    <row r="49" spans="1:17">
      <c r="A49" s="23"/>
      <c r="B49" s="44"/>
      <c r="C49" s="17" t="s">
        <v>75</v>
      </c>
      <c r="D49" s="18">
        <v>200</v>
      </c>
      <c r="E49" s="18">
        <v>200</v>
      </c>
      <c r="F49" s="18">
        <v>200</v>
      </c>
      <c r="G49" s="18">
        <v>200</v>
      </c>
      <c r="H49" s="18">
        <v>200</v>
      </c>
      <c r="I49" s="18">
        <v>200</v>
      </c>
      <c r="J49" s="18">
        <v>200</v>
      </c>
      <c r="K49" s="18">
        <v>200</v>
      </c>
      <c r="L49" s="18">
        <v>200</v>
      </c>
      <c r="M49" s="18">
        <v>200</v>
      </c>
      <c r="N49" s="18">
        <v>200</v>
      </c>
      <c r="O49" s="18">
        <v>200</v>
      </c>
      <c r="P49" s="19">
        <f t="shared" si="0"/>
        <v>2400</v>
      </c>
      <c r="Q49" s="20" t="s">
        <v>86</v>
      </c>
    </row>
    <row r="50" spans="1:17" ht="24">
      <c r="A50" s="23"/>
      <c r="B50" s="44"/>
      <c r="C50" s="17" t="s">
        <v>78</v>
      </c>
      <c r="D50" s="18">
        <v>167</v>
      </c>
      <c r="E50" s="18">
        <v>167</v>
      </c>
      <c r="F50" s="18">
        <v>167</v>
      </c>
      <c r="G50" s="18">
        <v>167</v>
      </c>
      <c r="H50" s="18">
        <v>167</v>
      </c>
      <c r="I50" s="18">
        <v>167</v>
      </c>
      <c r="J50" s="18">
        <v>167</v>
      </c>
      <c r="K50" s="18">
        <v>167</v>
      </c>
      <c r="L50" s="18">
        <v>166</v>
      </c>
      <c r="M50" s="18">
        <v>166</v>
      </c>
      <c r="N50" s="18">
        <v>166</v>
      </c>
      <c r="O50" s="18">
        <v>166</v>
      </c>
      <c r="P50" s="19">
        <f t="shared" si="0"/>
        <v>2000</v>
      </c>
      <c r="Q50" s="20" t="s">
        <v>79</v>
      </c>
    </row>
    <row r="51" spans="1:17">
      <c r="A51" s="23"/>
      <c r="B51" s="44"/>
      <c r="C51" s="17" t="s">
        <v>45</v>
      </c>
      <c r="D51" s="18">
        <v>167</v>
      </c>
      <c r="E51" s="18">
        <v>167</v>
      </c>
      <c r="F51" s="18">
        <v>167</v>
      </c>
      <c r="G51" s="18">
        <v>167</v>
      </c>
      <c r="H51" s="18">
        <v>167</v>
      </c>
      <c r="I51" s="18">
        <v>167</v>
      </c>
      <c r="J51" s="18">
        <v>167</v>
      </c>
      <c r="K51" s="18">
        <v>167</v>
      </c>
      <c r="L51" s="18">
        <v>166</v>
      </c>
      <c r="M51" s="18">
        <v>166</v>
      </c>
      <c r="N51" s="18">
        <v>166</v>
      </c>
      <c r="O51" s="18">
        <v>166</v>
      </c>
      <c r="P51" s="19">
        <f t="shared" si="0"/>
        <v>2000</v>
      </c>
      <c r="Q51" s="20" t="s">
        <v>80</v>
      </c>
    </row>
    <row r="52" spans="1:17" ht="24.75" thickBot="1">
      <c r="A52" s="24"/>
      <c r="B52" s="45"/>
      <c r="C52" s="26" t="s">
        <v>53</v>
      </c>
      <c r="D52" s="27"/>
      <c r="E52" s="27"/>
      <c r="F52" s="27"/>
      <c r="G52" s="27">
        <v>-773158</v>
      </c>
      <c r="H52" s="27"/>
      <c r="I52" s="27"/>
      <c r="J52" s="27">
        <v>-773158</v>
      </c>
      <c r="K52" s="27"/>
      <c r="L52" s="27"/>
      <c r="M52" s="27">
        <v>-773158</v>
      </c>
      <c r="N52" s="27"/>
      <c r="O52" s="27">
        <v>-773158</v>
      </c>
      <c r="P52" s="28">
        <f t="shared" si="0"/>
        <v>-3092632</v>
      </c>
      <c r="Q52" s="29" t="s">
        <v>81</v>
      </c>
    </row>
    <row r="53" spans="1:17" ht="36">
      <c r="A53" s="46" t="s">
        <v>87</v>
      </c>
      <c r="B53" s="47"/>
      <c r="C53" s="47"/>
      <c r="D53" s="48">
        <f t="shared" ref="D53:O53" si="1">SUM(D5:D52)</f>
        <v>1897169</v>
      </c>
      <c r="E53" s="48">
        <f t="shared" si="1"/>
        <v>1897169</v>
      </c>
      <c r="F53" s="48">
        <f t="shared" si="1"/>
        <v>2292169</v>
      </c>
      <c r="G53" s="48">
        <f t="shared" si="1"/>
        <v>-4238476</v>
      </c>
      <c r="H53" s="48">
        <f t="shared" si="1"/>
        <v>1929153</v>
      </c>
      <c r="I53" s="48">
        <f t="shared" si="1"/>
        <v>1906653</v>
      </c>
      <c r="J53" s="48">
        <f t="shared" si="1"/>
        <v>-4313492</v>
      </c>
      <c r="K53" s="48">
        <f t="shared" si="1"/>
        <v>1906653</v>
      </c>
      <c r="L53" s="48">
        <f t="shared" si="1"/>
        <v>1906643</v>
      </c>
      <c r="M53" s="48">
        <f t="shared" si="1"/>
        <v>-4313501</v>
      </c>
      <c r="N53" s="48">
        <f t="shared" si="1"/>
        <v>1929143</v>
      </c>
      <c r="O53" s="48">
        <f t="shared" si="1"/>
        <v>-4314001</v>
      </c>
      <c r="P53" s="49">
        <f>SUM(P5:P52)</f>
        <v>-1514718</v>
      </c>
      <c r="Q53" s="50"/>
    </row>
    <row r="54" spans="1:17">
      <c r="D54" s="51" t="s">
        <v>88</v>
      </c>
    </row>
    <row r="55" spans="1:17" customFormat="1" ht="15">
      <c r="C55" s="52" t="s">
        <v>89</v>
      </c>
      <c r="D55" s="53">
        <f>SUM(D5:D20)</f>
        <v>603589</v>
      </c>
      <c r="E55" s="53">
        <f t="shared" ref="E55:P55" si="2">SUM(E5:E20)</f>
        <v>603589</v>
      </c>
      <c r="F55" s="53">
        <f t="shared" si="2"/>
        <v>803589</v>
      </c>
      <c r="G55" s="53">
        <f t="shared" si="2"/>
        <v>-1257161</v>
      </c>
      <c r="H55" s="53">
        <f t="shared" si="2"/>
        <v>603582</v>
      </c>
      <c r="I55" s="53">
        <f t="shared" si="2"/>
        <v>603582</v>
      </c>
      <c r="J55" s="53">
        <f t="shared" si="2"/>
        <v>-1257168</v>
      </c>
      <c r="K55" s="53">
        <f t="shared" si="2"/>
        <v>603582</v>
      </c>
      <c r="L55" s="53">
        <f t="shared" si="2"/>
        <v>603579</v>
      </c>
      <c r="M55" s="53">
        <f t="shared" si="2"/>
        <v>-1257171</v>
      </c>
      <c r="N55" s="53">
        <f t="shared" si="2"/>
        <v>603579</v>
      </c>
      <c r="O55" s="53">
        <f t="shared" si="2"/>
        <v>-1257171</v>
      </c>
      <c r="P55" s="54">
        <f t="shared" si="2"/>
        <v>0</v>
      </c>
      <c r="Q55" s="4"/>
    </row>
    <row r="56" spans="1:17" customFormat="1" ht="15">
      <c r="C56" s="55" t="s">
        <v>90</v>
      </c>
      <c r="D56" s="56">
        <f>SUM(D21:D34)</f>
        <v>910005</v>
      </c>
      <c r="E56" s="56">
        <f t="shared" ref="E56:O56" si="3">SUM(E21:E34)</f>
        <v>910005</v>
      </c>
      <c r="F56" s="56">
        <f t="shared" si="3"/>
        <v>1105005</v>
      </c>
      <c r="G56" s="56">
        <f t="shared" si="3"/>
        <v>-1880495</v>
      </c>
      <c r="H56" s="56">
        <f t="shared" si="3"/>
        <v>919499</v>
      </c>
      <c r="I56" s="56">
        <f t="shared" si="3"/>
        <v>919499</v>
      </c>
      <c r="J56" s="56">
        <f t="shared" si="3"/>
        <v>-1880501</v>
      </c>
      <c r="K56" s="56">
        <f t="shared" si="3"/>
        <v>919499</v>
      </c>
      <c r="L56" s="56">
        <f t="shared" si="3"/>
        <v>919496</v>
      </c>
      <c r="M56" s="56">
        <f t="shared" si="3"/>
        <v>-1880504</v>
      </c>
      <c r="N56" s="56">
        <f t="shared" si="3"/>
        <v>919496</v>
      </c>
      <c r="O56" s="56">
        <f t="shared" si="3"/>
        <v>-1881004</v>
      </c>
      <c r="P56" s="57">
        <f>SUM(Q21:Q34)</f>
        <v>0</v>
      </c>
      <c r="Q56" s="4"/>
    </row>
    <row r="57" spans="1:17" customFormat="1" ht="15">
      <c r="C57" s="55" t="s">
        <v>91</v>
      </c>
      <c r="D57" s="56">
        <f>SUM(D35:D44)</f>
        <v>230374</v>
      </c>
      <c r="E57" s="56">
        <f t="shared" ref="E57:P57" si="4">SUM(E35:E44)</f>
        <v>230374</v>
      </c>
      <c r="F57" s="56">
        <f t="shared" si="4"/>
        <v>230374</v>
      </c>
      <c r="G57" s="56">
        <f t="shared" si="4"/>
        <v>-509863</v>
      </c>
      <c r="H57" s="56">
        <f t="shared" si="4"/>
        <v>242371</v>
      </c>
      <c r="I57" s="56">
        <f t="shared" si="4"/>
        <v>230371</v>
      </c>
      <c r="J57" s="56">
        <f t="shared" si="4"/>
        <v>-555866</v>
      </c>
      <c r="K57" s="56">
        <f t="shared" si="4"/>
        <v>230371</v>
      </c>
      <c r="L57" s="56">
        <f t="shared" si="4"/>
        <v>230370</v>
      </c>
      <c r="M57" s="56">
        <f t="shared" si="4"/>
        <v>-555866</v>
      </c>
      <c r="N57" s="56">
        <f t="shared" si="4"/>
        <v>242370</v>
      </c>
      <c r="O57" s="56">
        <f t="shared" si="4"/>
        <v>-555866</v>
      </c>
      <c r="P57" s="57">
        <f t="shared" si="4"/>
        <v>-310486</v>
      </c>
      <c r="Q57" s="4"/>
    </row>
    <row r="58" spans="1:17" customFormat="1" ht="15">
      <c r="C58" s="58" t="s">
        <v>92</v>
      </c>
      <c r="D58" s="59">
        <f>SUM(D45:D52)</f>
        <v>153201</v>
      </c>
      <c r="E58" s="59">
        <f t="shared" ref="E58:P58" si="5">SUM(E45:E52)</f>
        <v>153201</v>
      </c>
      <c r="F58" s="59">
        <f t="shared" si="5"/>
        <v>153201</v>
      </c>
      <c r="G58" s="59">
        <f t="shared" si="5"/>
        <v>-590957</v>
      </c>
      <c r="H58" s="59">
        <f t="shared" si="5"/>
        <v>163701</v>
      </c>
      <c r="I58" s="59">
        <f t="shared" si="5"/>
        <v>153201</v>
      </c>
      <c r="J58" s="59">
        <f t="shared" si="5"/>
        <v>-619957</v>
      </c>
      <c r="K58" s="59">
        <f t="shared" si="5"/>
        <v>153201</v>
      </c>
      <c r="L58" s="59">
        <f t="shared" si="5"/>
        <v>153198</v>
      </c>
      <c r="M58" s="59">
        <f t="shared" si="5"/>
        <v>-619960</v>
      </c>
      <c r="N58" s="59">
        <f t="shared" si="5"/>
        <v>163698</v>
      </c>
      <c r="O58" s="59">
        <f t="shared" si="5"/>
        <v>-619960</v>
      </c>
      <c r="P58" s="60">
        <f t="shared" si="5"/>
        <v>-1204232</v>
      </c>
      <c r="Q58" s="4"/>
    </row>
    <row r="59" spans="1:17" customFormat="1" ht="15"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Q59" s="4"/>
    </row>
    <row r="60" spans="1:17" customFormat="1" ht="15">
      <c r="C60" s="62" t="s">
        <v>93</v>
      </c>
      <c r="D60" s="63">
        <f t="shared" ref="D60:O60" si="6">SUM(D55:D58)</f>
        <v>1897169</v>
      </c>
      <c r="E60" s="63">
        <f t="shared" si="6"/>
        <v>1897169</v>
      </c>
      <c r="F60" s="63">
        <f t="shared" si="6"/>
        <v>2292169</v>
      </c>
      <c r="G60" s="63">
        <f t="shared" si="6"/>
        <v>-4238476</v>
      </c>
      <c r="H60" s="63">
        <f t="shared" si="6"/>
        <v>1929153</v>
      </c>
      <c r="I60" s="63">
        <f t="shared" si="6"/>
        <v>1906653</v>
      </c>
      <c r="J60" s="63">
        <f t="shared" si="6"/>
        <v>-4313492</v>
      </c>
      <c r="K60" s="63">
        <f t="shared" si="6"/>
        <v>1906653</v>
      </c>
      <c r="L60" s="63">
        <f t="shared" si="6"/>
        <v>1906643</v>
      </c>
      <c r="M60" s="63">
        <f t="shared" si="6"/>
        <v>-4313501</v>
      </c>
      <c r="N60" s="63">
        <f t="shared" si="6"/>
        <v>1929143</v>
      </c>
      <c r="O60" s="63">
        <f t="shared" si="6"/>
        <v>-4314001</v>
      </c>
      <c r="P60" s="64">
        <f>SUM(P55:P58)</f>
        <v>-1514718</v>
      </c>
      <c r="Q60" s="4"/>
    </row>
    <row r="62" spans="1:17">
      <c r="Q62" s="65"/>
    </row>
    <row r="63" spans="1:17">
      <c r="Q63" s="66"/>
    </row>
    <row r="64" spans="1:17">
      <c r="Q64" s="66"/>
    </row>
    <row r="65" spans="17:17">
      <c r="Q65" s="66"/>
    </row>
  </sheetData>
  <mergeCells count="6">
    <mergeCell ref="A1:Q1"/>
    <mergeCell ref="A2:P2"/>
    <mergeCell ref="D3:P3"/>
    <mergeCell ref="A5:A8"/>
    <mergeCell ref="B21:B23"/>
    <mergeCell ref="B45:B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35" sqref="F35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MigreringsDokument" ma:contentTypeID="0x010100B015E2879F2C3E49A84E4FBA662FB26A0046F37DEC036D284BBEE537A85881DFA0" ma:contentTypeVersion="7" ma:contentTypeDescription="" ma:contentTypeScope="" ma:versionID="322abaa8745c58af29abb8312104868a">
  <xsd:schema xmlns:xsd="http://www.w3.org/2001/XMLSchema" xmlns:xs="http://www.w3.org/2001/XMLSchema" xmlns:p="http://schemas.microsoft.com/office/2006/metadata/properties" xmlns:ns2="0dd46b0f-e2c7-4a31-a61e-54a1e81a6d74" targetNamespace="http://schemas.microsoft.com/office/2006/metadata/properties" ma:root="true" ma:fieldsID="1b739c844c19ffbccf538c52953af47e" ns2:_="">
    <xsd:import namespace="0dd46b0f-e2c7-4a31-a61e-54a1e81a6d74"/>
    <xsd:element name="properties">
      <xsd:complexType>
        <xsd:sequence>
          <xsd:element name="documentManagement">
            <xsd:complexType>
              <xsd:all>
                <xsd:element ref="ns2:MigrationPath" minOccurs="0"/>
                <xsd:element ref="ns2:MigrationDirectoryID" minOccurs="0"/>
                <xsd:element ref="ns2:MigrationOriginal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46b0f-e2c7-4a31-a61e-54a1e81a6d74" elementFormDefault="qualified">
    <xsd:import namespace="http://schemas.microsoft.com/office/2006/documentManagement/types"/>
    <xsd:import namespace="http://schemas.microsoft.com/office/infopath/2007/PartnerControls"/>
    <xsd:element name="MigrationPath" ma:index="8" nillable="true" ma:displayName="Migreringssti" ma:internalName="MigrationPath" ma:readOnly="false">
      <xsd:simpleType>
        <xsd:restriction base="dms:Text">
          <xsd:maxLength value="255"/>
        </xsd:restriction>
      </xsd:simpleType>
    </xsd:element>
    <xsd:element name="MigrationDirectoryID" ma:index="9" nillable="true" ma:displayName="MigreringsFolderId" ma:internalName="MigrationDirectoryID" ma:readOnly="false">
      <xsd:simpleType>
        <xsd:restriction base="dms:Text">
          <xsd:maxLength value="255"/>
        </xsd:restriction>
      </xsd:simpleType>
    </xsd:element>
    <xsd:element name="MigrationOriginalDate" ma:index="10" nillable="true" ma:displayName="Original dato" ma:description="The modified date from the file system" ma:format="DateTime" ma:internalName="MigrationOriginalDat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Path xmlns="0dd46b0f-e2c7-4a31-a61e-54a1e81a6d74">\\kk-dfs.kk.dk\of$\KEjd\SERVICE &amp; KUNDER\RÅDHUSSERVICE\Betjent\_Rådhusvagten\Vagtplaner\Regnskab og statistik\Regnskab 2016\17160 FM HNG og Fuglebakken - Konti og forbrug 2016.xlsx</MigrationPath>
    <MigrationDirectoryID xmlns="0dd46b0f-e2c7-4a31-a61e-54a1e81a6d74">011B58AB1AC90015BB89C59E58DA0D81D58C94E8</MigrationDirectoryID>
    <MigrationOriginalDate xmlns="0dd46b0f-e2c7-4a31-a61e-54a1e81a6d74" xsi:nil="true"/>
  </documentManagement>
</p:properties>
</file>

<file path=customXml/item4.xml><?xml version="1.0" encoding="utf-8"?>
<?mso-contentType ?>
<SharedContentType xmlns="Microsoft.SharePoint.Taxonomy.ContentTypeSync" SourceId="e6a412d2-aea5-45d9-add9-4615ec186553" ContentTypeId="0x010100B015E2879F2C3E49A84E4FBA662FB26A" PreviousValue="false"/>
</file>

<file path=customXml/itemProps1.xml><?xml version="1.0" encoding="utf-8"?>
<ds:datastoreItem xmlns:ds="http://schemas.openxmlformats.org/officeDocument/2006/customXml" ds:itemID="{2276E33A-9F07-49A5-AF3B-3432A64F4EE6}"/>
</file>

<file path=customXml/itemProps2.xml><?xml version="1.0" encoding="utf-8"?>
<ds:datastoreItem xmlns:ds="http://schemas.openxmlformats.org/officeDocument/2006/customXml" ds:itemID="{959C7434-7D15-4712-A61F-2EC3103F2CB0}"/>
</file>

<file path=customXml/itemProps3.xml><?xml version="1.0" encoding="utf-8"?>
<ds:datastoreItem xmlns:ds="http://schemas.openxmlformats.org/officeDocument/2006/customXml" ds:itemID="{9F68A852-BB92-48FC-A355-AF762A937E7F}"/>
</file>

<file path=customXml/itemProps4.xml><?xml version="1.0" encoding="utf-8"?>
<ds:datastoreItem xmlns:ds="http://schemas.openxmlformats.org/officeDocument/2006/customXml" ds:itemID="{233DFED3-1352-45AB-8279-292E7C151B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Budget 2016</vt:lpstr>
      <vt:lpstr>Januar</vt:lpstr>
      <vt:lpstr>Februar</vt:lpstr>
    </vt:vector>
  </TitlesOfParts>
  <Company>Københavns Kommune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 Larsen</dc:creator>
  <cp:lastModifiedBy>Per Larsen</cp:lastModifiedBy>
  <dcterms:created xsi:type="dcterms:W3CDTF">2015-10-01T12:32:28Z</dcterms:created>
  <dcterms:modified xsi:type="dcterms:W3CDTF">2016-02-01T13:17:41Z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0x010100B015E2879F2C3E49A84E4FBA662FB26A0046F37DEC036D284BBEE537A85881DFA0</vt:lpwstr>
  </property>
  <property fmtid="{D5CDD505-2E9C-101B-9397-08002B2CF9AE}" pid="3" name="Order">
    <vt:r8>100</vt:r8>
  </property>
</Properties>
</file>