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20"/>
  </bookViews>
  <sheets>
    <sheet name="Budget 2016" sheetId="1" r:id="rId1"/>
    <sheet name="Januar" sheetId="2" r:id="rId2"/>
    <sheet name="Februar" sheetId="3" r:id="rId3"/>
  </sheets>
  <calcPr calcId="125725"/>
</workbook>
</file>

<file path=xl/calcChain.xml><?xml version="1.0" encoding="utf-8"?>
<calcChain xmlns="http://schemas.openxmlformats.org/spreadsheetml/2006/main">
  <c r="N20" i="1"/>
  <c r="N19"/>
  <c r="N18"/>
  <c r="N17"/>
  <c r="N16"/>
  <c r="N15"/>
  <c r="N14"/>
  <c r="N13"/>
  <c r="N12"/>
  <c r="N11"/>
  <c r="N10"/>
  <c r="N9"/>
  <c r="N8"/>
  <c r="N7"/>
  <c r="N6"/>
  <c r="N5"/>
  <c r="N21" s="1"/>
</calcChain>
</file>

<file path=xl/sharedStrings.xml><?xml version="1.0" encoding="utf-8"?>
<sst xmlns="http://schemas.openxmlformats.org/spreadsheetml/2006/main" count="51" uniqueCount="51">
  <si>
    <t>17140 - Kejd Rådhusvagten- Budget 2016</t>
  </si>
  <si>
    <t>Standardkonto nr. og navn</t>
  </si>
  <si>
    <t>Budgettal</t>
  </si>
  <si>
    <t>Standardkonto Underopdeling</t>
  </si>
  <si>
    <t>Budget 01</t>
  </si>
  <si>
    <t>Budget 02</t>
  </si>
  <si>
    <t>Budget 03</t>
  </si>
  <si>
    <t>Budget 04</t>
  </si>
  <si>
    <t>Budget 05</t>
  </si>
  <si>
    <t>Budget 06</t>
  </si>
  <si>
    <t>Budget 07</t>
  </si>
  <si>
    <t>Budget 08</t>
  </si>
  <si>
    <t>Budget 09</t>
  </si>
  <si>
    <t>Budget 10</t>
  </si>
  <si>
    <t>Budget 11</t>
  </si>
  <si>
    <t>Budget 12</t>
  </si>
  <si>
    <t>Budget 2016</t>
  </si>
  <si>
    <t>Bemærkninger og kontering</t>
  </si>
  <si>
    <t>1000100000 - OPUS løn</t>
  </si>
  <si>
    <t>Inkl. 2.125.000 fra bevilling om øget sikkerhed. 
(Initialt budget i KØR lægges ind uden bevilling til sikring af Rådhuset - køres ind på toppen bagefter for at kunne adskille)
Inkl. fleksjob + løneftersyn 2015/2016</t>
  </si>
  <si>
    <t>2909900000 - Øvrige varekøb</t>
  </si>
  <si>
    <t>Skraldespand - til køb der ikke passer på andre konti</t>
  </si>
  <si>
    <t>2910300000 - Inventar</t>
  </si>
  <si>
    <t>Inventar</t>
  </si>
  <si>
    <t>2911800000 - Arbejdstøj</t>
  </si>
  <si>
    <t>Arbejdstøj</t>
  </si>
  <si>
    <t>4009900000 - Øvrige tjenesteydelser uden moms</t>
  </si>
  <si>
    <t>Diverse tjenesteydelser uden moms</t>
  </si>
  <si>
    <t>4011400000 - Lægeerklæringer / Sundhedsattest u. moms</t>
  </si>
  <si>
    <t>Lægeerklæringer uden moms</t>
  </si>
  <si>
    <t>4013600000 - Kontingenter</t>
  </si>
  <si>
    <t>3 x kontingent FES</t>
  </si>
  <si>
    <t>4909900000 - Øvrige tjenesteydelser med moms</t>
  </si>
  <si>
    <t>Til pandekager mv. i forbindelse med rundvisninger og 16.000 til serviceaftale på de nye radioer</t>
  </si>
  <si>
    <t>7210400000 - Entreindtægter</t>
  </si>
  <si>
    <t>Tårnture, omvisninger &amp; Billetto-indtægter. Indtægter fra tårnture nedskrevet pga Copenhagen Card</t>
  </si>
  <si>
    <t>7909900000 - Øvrige indtægter</t>
  </si>
  <si>
    <t xml:space="preserve">Debitorfaktura </t>
  </si>
  <si>
    <t>9820000000 - Intern - Overførte varekøb</t>
  </si>
  <si>
    <t>Duge, vin</t>
  </si>
  <si>
    <t>9820100000 - Intern - Kontorartikler</t>
  </si>
  <si>
    <t>ID-kort, nøgler mv.</t>
  </si>
  <si>
    <t>9840000000 - Intern - Overførte tjenesteydelser</t>
  </si>
  <si>
    <t>Diverse internt</t>
  </si>
  <si>
    <t>9845400000 - Intern - Betjentfunktioner og vagtordning</t>
  </si>
  <si>
    <t>Faste kontrakter kredsvagter, socialcentre og rådhuset</t>
  </si>
  <si>
    <t>9845500000 - Intern - Rengøring</t>
  </si>
  <si>
    <t>Rengøring</t>
  </si>
  <si>
    <t>9870000000 - Intern - Indtægter</t>
  </si>
  <si>
    <t>Interne arrangementer, BR-møder, B&amp;U-møder, alarmudkald mv.</t>
  </si>
  <si>
    <t>Kontrol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</si>
</sst>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rgb="FF333366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3366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9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F7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E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FEDDE"/>
      </patternFill>
    </fill>
  </fills>
  <borders count="10">
    <border>
      <left/>
      <right/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indexed="64"/>
      </top>
      <bottom style="thin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rgb="FF979991"/>
      </top>
      <bottom/>
      <diagonal/>
    </border>
    <border>
      <left style="thin">
        <color theme="0" tint="-0.499984740745262"/>
      </left>
      <right/>
      <top style="thin">
        <color rgb="FF979991"/>
      </top>
      <bottom style="thin">
        <color theme="0" tint="-0.499984740745262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3" fillId="2" borderId="0" xfId="0" applyFont="1" applyFill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vertical="center"/>
    </xf>
    <xf numFmtId="0" fontId="4" fillId="3" borderId="1" xfId="1" applyFont="1" applyFill="1" applyBorder="1" applyAlignment="1">
      <alignment vertical="center" wrapText="1"/>
    </xf>
    <xf numFmtId="0" fontId="5" fillId="4" borderId="2" xfId="1" applyFont="1" applyFill="1" applyBorder="1" applyAlignment="1">
      <alignment wrapText="1"/>
    </xf>
    <xf numFmtId="0" fontId="5" fillId="4" borderId="3" xfId="1" applyFont="1" applyFill="1" applyBorder="1" applyAlignment="1">
      <alignment wrapText="1"/>
    </xf>
    <xf numFmtId="0" fontId="6" fillId="5" borderId="4" xfId="1" applyFont="1" applyFill="1" applyBorder="1" applyAlignment="1">
      <alignment vertical="center" wrapText="1"/>
    </xf>
    <xf numFmtId="0" fontId="7" fillId="5" borderId="5" xfId="1" applyFont="1" applyFill="1" applyBorder="1" applyAlignment="1">
      <alignment wrapText="1"/>
    </xf>
    <xf numFmtId="0" fontId="5" fillId="5" borderId="5" xfId="1" applyFont="1" applyFill="1" applyBorder="1" applyAlignment="1">
      <alignment wrapText="1"/>
    </xf>
    <xf numFmtId="0" fontId="7" fillId="2" borderId="5" xfId="1" applyFont="1" applyFill="1" applyBorder="1" applyAlignment="1">
      <alignment wrapText="1"/>
    </xf>
    <xf numFmtId="0" fontId="8" fillId="6" borderId="6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center" wrapText="1"/>
    </xf>
    <xf numFmtId="3" fontId="9" fillId="2" borderId="5" xfId="0" applyNumberFormat="1" applyFont="1" applyFill="1" applyBorder="1" applyAlignment="1">
      <alignment horizontal="right" vertical="center" wrapText="1"/>
    </xf>
    <xf numFmtId="3" fontId="8" fillId="7" borderId="5" xfId="0" applyNumberFormat="1" applyFont="1" applyFill="1" applyBorder="1" applyAlignment="1">
      <alignment horizontal="right" vertical="center" wrapText="1"/>
    </xf>
    <xf numFmtId="3" fontId="9" fillId="2" borderId="5" xfId="0" applyNumberFormat="1" applyFont="1" applyFill="1" applyBorder="1" applyAlignment="1">
      <alignment horizontal="right" vertical="top" wrapText="1"/>
    </xf>
    <xf numFmtId="3" fontId="9" fillId="8" borderId="8" xfId="0" applyNumberFormat="1" applyFont="1" applyFill="1" applyBorder="1" applyAlignment="1">
      <alignment horizontal="left" vertical="top" wrapText="1"/>
    </xf>
    <xf numFmtId="3" fontId="8" fillId="7" borderId="5" xfId="0" applyNumberFormat="1" applyFont="1" applyFill="1" applyBorder="1" applyAlignment="1">
      <alignment horizontal="right" vertical="top" wrapText="1"/>
    </xf>
    <xf numFmtId="3" fontId="10" fillId="9" borderId="9" xfId="0" applyNumberFormat="1" applyFont="1" applyFill="1" applyBorder="1" applyAlignment="1">
      <alignment horizontal="right" vertical="center" wrapText="1"/>
    </xf>
    <xf numFmtId="3" fontId="10" fillId="2" borderId="9" xfId="0" applyNumberFormat="1" applyFont="1" applyFill="1" applyBorder="1" applyAlignment="1">
      <alignment horizontal="right" vertical="center" wrapText="1"/>
    </xf>
    <xf numFmtId="3" fontId="10" fillId="9" borderId="9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right"/>
    </xf>
    <xf numFmtId="0" fontId="11" fillId="0" borderId="0" xfId="0" applyFont="1"/>
    <xf numFmtId="3" fontId="11" fillId="0" borderId="0" xfId="0" applyNumberFormat="1" applyFont="1"/>
    <xf numFmtId="14" fontId="10" fillId="0" borderId="0" xfId="0" applyNumberFormat="1" applyFont="1" applyAlignment="1">
      <alignment vertical="center"/>
    </xf>
    <xf numFmtId="1" fontId="3" fillId="0" borderId="0" xfId="0" applyNumberFormat="1" applyFont="1"/>
    <xf numFmtId="3" fontId="3" fillId="0" borderId="0" xfId="0" applyNumberFormat="1" applyFont="1"/>
  </cellXfs>
  <cellStyles count="2">
    <cellStyle name="Normal" xfId="0" builtinId="0"/>
    <cellStyle name="Normal 4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>
      <selection activeCell="C32" sqref="C32"/>
    </sheetView>
  </sheetViews>
  <sheetFormatPr defaultRowHeight="12" outlineLevelCol="1"/>
  <cols>
    <col min="1" max="1" width="39" style="5" bestFit="1" customWidth="1"/>
    <col min="2" max="4" width="8.5703125" style="2" customWidth="1" outlineLevel="1"/>
    <col min="5" max="5" width="9.28515625" style="2" customWidth="1" outlineLevel="1"/>
    <col min="6" max="13" width="8.5703125" style="2" customWidth="1" outlineLevel="1"/>
    <col min="14" max="14" width="10.28515625" style="2" customWidth="1"/>
    <col min="15" max="15" width="0.5703125" style="3" customWidth="1" collapsed="1"/>
    <col min="16" max="16" width="77.5703125" style="4" customWidth="1"/>
    <col min="17" max="16384" width="9.140625" style="2"/>
  </cols>
  <sheetData>
    <row r="1" spans="1:17" ht="15.75">
      <c r="A1" s="1" t="s">
        <v>0</v>
      </c>
    </row>
    <row r="2" spans="1:17" ht="9.75" customHeight="1"/>
    <row r="3" spans="1:17" ht="12" customHeight="1">
      <c r="A3" s="6" t="s">
        <v>1</v>
      </c>
      <c r="B3" s="7" t="s">
        <v>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spans="1:17">
      <c r="A4" s="9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  <c r="J4" s="10" t="s">
        <v>12</v>
      </c>
      <c r="K4" s="10" t="s">
        <v>13</v>
      </c>
      <c r="L4" s="10" t="s">
        <v>14</v>
      </c>
      <c r="M4" s="10" t="s">
        <v>15</v>
      </c>
      <c r="N4" s="11" t="s">
        <v>16</v>
      </c>
      <c r="O4" s="12"/>
      <c r="P4" s="13" t="s">
        <v>17</v>
      </c>
      <c r="Q4" s="3"/>
    </row>
    <row r="5" spans="1:17" ht="48">
      <c r="A5" s="14" t="s">
        <v>18</v>
      </c>
      <c r="B5" s="15">
        <v>1820122</v>
      </c>
      <c r="C5" s="15">
        <v>1820122</v>
      </c>
      <c r="D5" s="15">
        <v>1820122</v>
      </c>
      <c r="E5" s="15">
        <v>2236982.0474999999</v>
      </c>
      <c r="F5" s="15">
        <v>1820121</v>
      </c>
      <c r="G5" s="15">
        <v>1820121</v>
      </c>
      <c r="H5" s="15">
        <v>1820121</v>
      </c>
      <c r="I5" s="15">
        <v>1820121</v>
      </c>
      <c r="J5" s="15">
        <v>1820121</v>
      </c>
      <c r="K5" s="15">
        <v>1820121</v>
      </c>
      <c r="L5" s="15">
        <v>1820121</v>
      </c>
      <c r="M5" s="15">
        <v>1820121</v>
      </c>
      <c r="N5" s="16">
        <f>SUM(B5:M5)</f>
        <v>22258316.047499999</v>
      </c>
      <c r="O5" s="17"/>
      <c r="P5" s="18" t="s">
        <v>19</v>
      </c>
      <c r="Q5" s="3"/>
    </row>
    <row r="6" spans="1:17">
      <c r="A6" s="14" t="s">
        <v>20</v>
      </c>
      <c r="B6" s="17">
        <v>7500</v>
      </c>
      <c r="C6" s="17">
        <v>7500</v>
      </c>
      <c r="D6" s="17">
        <v>7500</v>
      </c>
      <c r="E6" s="17">
        <v>7500</v>
      </c>
      <c r="F6" s="17">
        <v>7500</v>
      </c>
      <c r="G6" s="17">
        <v>7500</v>
      </c>
      <c r="H6" s="17">
        <v>7500</v>
      </c>
      <c r="I6" s="17">
        <v>7500</v>
      </c>
      <c r="J6" s="17">
        <v>7500</v>
      </c>
      <c r="K6" s="17">
        <v>7500</v>
      </c>
      <c r="L6" s="17">
        <v>7500</v>
      </c>
      <c r="M6" s="17">
        <v>7500</v>
      </c>
      <c r="N6" s="19">
        <f t="shared" ref="N6:N20" si="0">SUM(B6:M6)</f>
        <v>90000</v>
      </c>
      <c r="O6" s="17"/>
      <c r="P6" s="18" t="s">
        <v>21</v>
      </c>
      <c r="Q6" s="3"/>
    </row>
    <row r="7" spans="1:17">
      <c r="A7" s="14" t="s">
        <v>22</v>
      </c>
      <c r="B7" s="17"/>
      <c r="C7" s="17"/>
      <c r="D7" s="17"/>
      <c r="E7" s="17"/>
      <c r="F7" s="17"/>
      <c r="G7" s="17">
        <v>5000</v>
      </c>
      <c r="H7" s="17"/>
      <c r="I7" s="17"/>
      <c r="J7" s="17"/>
      <c r="K7" s="17"/>
      <c r="L7" s="17"/>
      <c r="M7" s="17"/>
      <c r="N7" s="19">
        <f t="shared" si="0"/>
        <v>5000</v>
      </c>
      <c r="O7" s="17"/>
      <c r="P7" s="18" t="s">
        <v>23</v>
      </c>
      <c r="Q7" s="3"/>
    </row>
    <row r="8" spans="1:17">
      <c r="A8" s="14" t="s">
        <v>24</v>
      </c>
      <c r="B8" s="17"/>
      <c r="C8" s="17">
        <v>10000</v>
      </c>
      <c r="D8" s="17">
        <v>10000</v>
      </c>
      <c r="E8" s="17">
        <v>100000</v>
      </c>
      <c r="F8" s="17">
        <v>10000</v>
      </c>
      <c r="G8" s="17">
        <v>10000</v>
      </c>
      <c r="H8" s="17">
        <v>100000</v>
      </c>
      <c r="I8" s="17">
        <v>20000</v>
      </c>
      <c r="J8" s="17">
        <v>10000</v>
      </c>
      <c r="K8" s="17">
        <v>10000</v>
      </c>
      <c r="L8" s="17">
        <v>10000</v>
      </c>
      <c r="M8" s="17">
        <v>10000</v>
      </c>
      <c r="N8" s="19">
        <f t="shared" si="0"/>
        <v>300000</v>
      </c>
      <c r="O8" s="17"/>
      <c r="P8" s="18" t="s">
        <v>25</v>
      </c>
      <c r="Q8" s="3"/>
    </row>
    <row r="9" spans="1:17">
      <c r="A9" s="14" t="s">
        <v>26</v>
      </c>
      <c r="B9" s="17">
        <v>1250</v>
      </c>
      <c r="C9" s="17">
        <v>1250</v>
      </c>
      <c r="D9" s="17">
        <v>1250</v>
      </c>
      <c r="E9" s="17">
        <v>1250</v>
      </c>
      <c r="F9" s="17">
        <v>1250</v>
      </c>
      <c r="G9" s="17">
        <v>1250</v>
      </c>
      <c r="H9" s="17">
        <v>1250</v>
      </c>
      <c r="I9" s="17">
        <v>1250</v>
      </c>
      <c r="J9" s="17">
        <v>1250</v>
      </c>
      <c r="K9" s="17">
        <v>1250</v>
      </c>
      <c r="L9" s="17">
        <v>1250</v>
      </c>
      <c r="M9" s="17">
        <v>1250</v>
      </c>
      <c r="N9" s="19">
        <f t="shared" si="0"/>
        <v>15000</v>
      </c>
      <c r="O9" s="17"/>
      <c r="P9" s="18" t="s">
        <v>27</v>
      </c>
      <c r="Q9" s="3"/>
    </row>
    <row r="10" spans="1:17" ht="24">
      <c r="A10" s="14" t="s">
        <v>28</v>
      </c>
      <c r="B10" s="17"/>
      <c r="C10" s="17">
        <v>500</v>
      </c>
      <c r="D10" s="17"/>
      <c r="E10" s="17"/>
      <c r="F10" s="17">
        <v>500</v>
      </c>
      <c r="G10" s="17"/>
      <c r="H10" s="17"/>
      <c r="I10" s="17">
        <v>500</v>
      </c>
      <c r="J10" s="17"/>
      <c r="K10" s="17"/>
      <c r="L10" s="17">
        <v>500</v>
      </c>
      <c r="M10" s="17"/>
      <c r="N10" s="19">
        <f t="shared" si="0"/>
        <v>2000</v>
      </c>
      <c r="O10" s="17"/>
      <c r="P10" s="18" t="s">
        <v>29</v>
      </c>
      <c r="Q10" s="3"/>
    </row>
    <row r="11" spans="1:17">
      <c r="A11" s="14" t="s">
        <v>30</v>
      </c>
      <c r="B11" s="17">
        <v>3000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9">
        <f t="shared" si="0"/>
        <v>3000</v>
      </c>
      <c r="O11" s="17"/>
      <c r="P11" s="18" t="s">
        <v>31</v>
      </c>
      <c r="Q11" s="3"/>
    </row>
    <row r="12" spans="1:17" ht="24">
      <c r="A12" s="14" t="s">
        <v>32</v>
      </c>
      <c r="B12" s="17">
        <v>18750</v>
      </c>
      <c r="C12" s="17">
        <v>18750</v>
      </c>
      <c r="D12" s="17">
        <v>18750</v>
      </c>
      <c r="E12" s="17">
        <v>18750</v>
      </c>
      <c r="F12" s="17">
        <v>18750</v>
      </c>
      <c r="G12" s="17">
        <v>18750</v>
      </c>
      <c r="H12" s="17">
        <v>18750</v>
      </c>
      <c r="I12" s="17">
        <v>18750</v>
      </c>
      <c r="J12" s="17">
        <v>18750</v>
      </c>
      <c r="K12" s="17">
        <v>18750</v>
      </c>
      <c r="L12" s="17">
        <v>18750</v>
      </c>
      <c r="M12" s="17">
        <v>18750</v>
      </c>
      <c r="N12" s="19">
        <f t="shared" si="0"/>
        <v>225000</v>
      </c>
      <c r="O12" s="17"/>
      <c r="P12" s="18" t="s">
        <v>33</v>
      </c>
      <c r="Q12" s="3"/>
    </row>
    <row r="13" spans="1:17" ht="24">
      <c r="A13" s="14" t="s">
        <v>34</v>
      </c>
      <c r="B13" s="17">
        <v>-12500</v>
      </c>
      <c r="C13" s="17">
        <v>-12500</v>
      </c>
      <c r="D13" s="17">
        <v>-12500</v>
      </c>
      <c r="E13" s="17">
        <v>-37500</v>
      </c>
      <c r="F13" s="17">
        <v>-25000</v>
      </c>
      <c r="G13" s="17">
        <v>-25000</v>
      </c>
      <c r="H13" s="17">
        <v>-37500</v>
      </c>
      <c r="I13" s="17">
        <v>-25000</v>
      </c>
      <c r="J13" s="17">
        <v>-25000</v>
      </c>
      <c r="K13" s="17">
        <v>-12500</v>
      </c>
      <c r="L13" s="17">
        <v>-12500</v>
      </c>
      <c r="M13" s="17">
        <v>-12500</v>
      </c>
      <c r="N13" s="19">
        <f t="shared" si="0"/>
        <v>-250000</v>
      </c>
      <c r="O13" s="17"/>
      <c r="P13" s="18" t="s">
        <v>35</v>
      </c>
      <c r="Q13" s="3"/>
    </row>
    <row r="14" spans="1:17">
      <c r="A14" s="14" t="s">
        <v>36</v>
      </c>
      <c r="B14" s="17"/>
      <c r="C14" s="17">
        <v>-40000</v>
      </c>
      <c r="D14" s="17">
        <v>-150000</v>
      </c>
      <c r="E14" s="17">
        <v>-40000</v>
      </c>
      <c r="F14" s="17">
        <v>-40000</v>
      </c>
      <c r="G14" s="17">
        <v>-70000</v>
      </c>
      <c r="H14" s="17">
        <v>-40000</v>
      </c>
      <c r="I14" s="17">
        <v>-40000</v>
      </c>
      <c r="J14" s="17">
        <v>-40000</v>
      </c>
      <c r="K14" s="17">
        <v>-150000</v>
      </c>
      <c r="L14" s="17">
        <v>-40000</v>
      </c>
      <c r="M14" s="17">
        <v>-150000</v>
      </c>
      <c r="N14" s="19">
        <f t="shared" si="0"/>
        <v>-800000</v>
      </c>
      <c r="O14" s="17"/>
      <c r="P14" s="18" t="s">
        <v>37</v>
      </c>
      <c r="Q14" s="3"/>
    </row>
    <row r="15" spans="1:17">
      <c r="A15" s="14" t="s">
        <v>38</v>
      </c>
      <c r="B15" s="17"/>
      <c r="C15" s="17">
        <v>4166</v>
      </c>
      <c r="D15" s="17">
        <v>4166</v>
      </c>
      <c r="E15" s="17">
        <v>4166</v>
      </c>
      <c r="F15" s="17">
        <v>4166</v>
      </c>
      <c r="G15" s="17">
        <v>4167</v>
      </c>
      <c r="H15" s="17">
        <v>4167</v>
      </c>
      <c r="I15" s="17">
        <v>4167</v>
      </c>
      <c r="J15" s="17">
        <v>4167</v>
      </c>
      <c r="K15" s="17">
        <v>4167</v>
      </c>
      <c r="L15" s="17">
        <v>4167</v>
      </c>
      <c r="M15" s="17">
        <v>8334</v>
      </c>
      <c r="N15" s="19">
        <f t="shared" si="0"/>
        <v>50000</v>
      </c>
      <c r="O15" s="17"/>
      <c r="P15" s="18" t="s">
        <v>39</v>
      </c>
      <c r="Q15" s="3"/>
    </row>
    <row r="16" spans="1:17">
      <c r="A16" s="14" t="s">
        <v>40</v>
      </c>
      <c r="B16" s="17"/>
      <c r="C16" s="17">
        <v>-1818</v>
      </c>
      <c r="D16" s="17">
        <v>-1818</v>
      </c>
      <c r="E16" s="17">
        <v>-1819</v>
      </c>
      <c r="F16" s="17">
        <v>-1819</v>
      </c>
      <c r="G16" s="17">
        <v>-1818</v>
      </c>
      <c r="H16" s="17">
        <v>-1818</v>
      </c>
      <c r="I16" s="17">
        <v>-1818</v>
      </c>
      <c r="J16" s="17">
        <v>-1818</v>
      </c>
      <c r="K16" s="17">
        <v>-1818</v>
      </c>
      <c r="L16" s="17">
        <v>-1818</v>
      </c>
      <c r="M16" s="17">
        <v>-1818</v>
      </c>
      <c r="N16" s="19">
        <f t="shared" si="0"/>
        <v>-20000</v>
      </c>
      <c r="O16" s="17"/>
      <c r="P16" s="18" t="s">
        <v>41</v>
      </c>
      <c r="Q16" s="3"/>
    </row>
    <row r="17" spans="1:17">
      <c r="A17" s="14" t="s">
        <v>42</v>
      </c>
      <c r="B17" s="17"/>
      <c r="C17" s="17"/>
      <c r="D17" s="17"/>
      <c r="E17" s="17"/>
      <c r="F17" s="17"/>
      <c r="G17" s="17">
        <v>5000</v>
      </c>
      <c r="H17" s="17"/>
      <c r="I17" s="17"/>
      <c r="J17" s="17"/>
      <c r="K17" s="17"/>
      <c r="L17" s="17"/>
      <c r="M17" s="17"/>
      <c r="N17" s="19">
        <f t="shared" si="0"/>
        <v>5000</v>
      </c>
      <c r="O17" s="17"/>
      <c r="P17" s="18" t="s">
        <v>43</v>
      </c>
      <c r="Q17" s="3"/>
    </row>
    <row r="18" spans="1:17" ht="24">
      <c r="A18" s="14" t="s">
        <v>44</v>
      </c>
      <c r="B18" s="17"/>
      <c r="C18" s="17"/>
      <c r="D18" s="17">
        <v>-2500000</v>
      </c>
      <c r="E18" s="17">
        <v>-15500000</v>
      </c>
      <c r="F18" s="17">
        <v>-1000000</v>
      </c>
      <c r="G18" s="17">
        <v>-327852</v>
      </c>
      <c r="H18" s="17"/>
      <c r="I18" s="17"/>
      <c r="J18" s="17"/>
      <c r="K18" s="17"/>
      <c r="L18" s="17"/>
      <c r="M18" s="17"/>
      <c r="N18" s="19">
        <f t="shared" si="0"/>
        <v>-19327852</v>
      </c>
      <c r="O18" s="17"/>
      <c r="P18" s="18" t="s">
        <v>45</v>
      </c>
    </row>
    <row r="19" spans="1:17">
      <c r="A19" s="14" t="s">
        <v>46</v>
      </c>
      <c r="B19" s="17"/>
      <c r="C19" s="17">
        <v>5833</v>
      </c>
      <c r="D19" s="17">
        <v>5833</v>
      </c>
      <c r="E19" s="17">
        <v>5833</v>
      </c>
      <c r="F19" s="17">
        <v>5833</v>
      </c>
      <c r="G19" s="17">
        <v>5833</v>
      </c>
      <c r="H19" s="17">
        <v>5833</v>
      </c>
      <c r="I19" s="17">
        <v>5833</v>
      </c>
      <c r="J19" s="17">
        <v>5833</v>
      </c>
      <c r="K19" s="17">
        <v>5834</v>
      </c>
      <c r="L19" s="17">
        <v>5834</v>
      </c>
      <c r="M19" s="17">
        <v>11668</v>
      </c>
      <c r="N19" s="19">
        <f t="shared" si="0"/>
        <v>70000</v>
      </c>
      <c r="O19" s="17"/>
      <c r="P19" s="18" t="s">
        <v>47</v>
      </c>
    </row>
    <row r="20" spans="1:17">
      <c r="A20" s="14" t="s">
        <v>48</v>
      </c>
      <c r="B20" s="17"/>
      <c r="C20" s="17">
        <v>-125000</v>
      </c>
      <c r="D20" s="17">
        <v>-125000</v>
      </c>
      <c r="E20" s="17">
        <v>-125000</v>
      </c>
      <c r="F20" s="17">
        <v>-125000</v>
      </c>
      <c r="G20" s="17">
        <v>-125000</v>
      </c>
      <c r="H20" s="17">
        <v>-125000</v>
      </c>
      <c r="I20" s="17">
        <v>-125000</v>
      </c>
      <c r="J20" s="17">
        <v>-125000</v>
      </c>
      <c r="K20" s="17">
        <v>-125000</v>
      </c>
      <c r="L20" s="17">
        <v>-125000</v>
      </c>
      <c r="M20" s="17">
        <v>-250000</v>
      </c>
      <c r="N20" s="19">
        <f t="shared" si="0"/>
        <v>-1500000</v>
      </c>
      <c r="O20" s="17"/>
      <c r="P20" s="18" t="s">
        <v>49</v>
      </c>
    </row>
    <row r="21" spans="1:17" s="23" customFormat="1">
      <c r="A21" s="20"/>
      <c r="B21" s="20">
        <v>1825834</v>
      </c>
      <c r="C21" s="20">
        <v>1676515</v>
      </c>
      <c r="D21" s="20">
        <v>-933985</v>
      </c>
      <c r="E21" s="20">
        <v>-13342986</v>
      </c>
      <c r="F21" s="20">
        <v>664013</v>
      </c>
      <c r="G21" s="20">
        <v>1315663</v>
      </c>
      <c r="H21" s="20">
        <v>1741015</v>
      </c>
      <c r="I21" s="20">
        <v>1674015</v>
      </c>
      <c r="J21" s="20">
        <v>1663515</v>
      </c>
      <c r="K21" s="20">
        <v>1566016</v>
      </c>
      <c r="L21" s="20">
        <v>1676516</v>
      </c>
      <c r="M21" s="20">
        <v>1451017</v>
      </c>
      <c r="N21" s="20">
        <f>SUM(N5:N20)</f>
        <v>1125464.0474999994</v>
      </c>
      <c r="O21" s="21"/>
      <c r="P21" s="22"/>
    </row>
    <row r="22" spans="1:17">
      <c r="M22" s="24" t="s">
        <v>50</v>
      </c>
      <c r="N22" s="25">
        <v>0</v>
      </c>
    </row>
    <row r="25" spans="1:17">
      <c r="A25" s="26"/>
      <c r="N25" s="27"/>
    </row>
    <row r="26" spans="1:17">
      <c r="M26" s="28"/>
    </row>
  </sheetData>
  <mergeCells count="1">
    <mergeCell ref="B3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34" sqref="E34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igreringsDokument" ma:contentTypeID="0x010100B015E2879F2C3E49A84E4FBA662FB26A0046F37DEC036D284BBEE537A85881DFA0" ma:contentTypeVersion="7" ma:contentTypeDescription="" ma:contentTypeScope="" ma:versionID="322abaa8745c58af29abb8312104868a">
  <xsd:schema xmlns:xsd="http://www.w3.org/2001/XMLSchema" xmlns:xs="http://www.w3.org/2001/XMLSchema" xmlns:p="http://schemas.microsoft.com/office/2006/metadata/properties" xmlns:ns2="0dd46b0f-e2c7-4a31-a61e-54a1e81a6d74" targetNamespace="http://schemas.microsoft.com/office/2006/metadata/properties" ma:root="true" ma:fieldsID="1b739c844c19ffbccf538c52953af47e" ns2:_="">
    <xsd:import namespace="0dd46b0f-e2c7-4a31-a61e-54a1e81a6d74"/>
    <xsd:element name="properties">
      <xsd:complexType>
        <xsd:sequence>
          <xsd:element name="documentManagement">
            <xsd:complexType>
              <xsd:all>
                <xsd:element ref="ns2:MigrationPath" minOccurs="0"/>
                <xsd:element ref="ns2:MigrationDirectoryID" minOccurs="0"/>
                <xsd:element ref="ns2:MigrationOriginal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46b0f-e2c7-4a31-a61e-54a1e81a6d74" elementFormDefault="qualified">
    <xsd:import namespace="http://schemas.microsoft.com/office/2006/documentManagement/types"/>
    <xsd:import namespace="http://schemas.microsoft.com/office/infopath/2007/PartnerControls"/>
    <xsd:element name="MigrationPath" ma:index="8" nillable="true" ma:displayName="Migreringssti" ma:internalName="MigrationPath" ma:readOnly="false">
      <xsd:simpleType>
        <xsd:restriction base="dms:Text">
          <xsd:maxLength value="255"/>
        </xsd:restriction>
      </xsd:simpleType>
    </xsd:element>
    <xsd:element name="MigrationDirectoryID" ma:index="9" nillable="true" ma:displayName="MigreringsFolderId" ma:internalName="MigrationDirectoryID" ma:readOnly="false">
      <xsd:simpleType>
        <xsd:restriction base="dms:Text">
          <xsd:maxLength value="255"/>
        </xsd:restriction>
      </xsd:simpleType>
    </xsd:element>
    <xsd:element name="MigrationOriginalDate" ma:index="10" nillable="true" ma:displayName="Original dato" ma:description="The modified date from the file system" ma:format="DateTime" ma:internalName="MigrationOriginal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Path xmlns="0dd46b0f-e2c7-4a31-a61e-54a1e81a6d74">\\kk-dfs.kk.dk\of$\KEjd\SERVICE &amp; KUNDER\RÅDHUSSERVICE\Betjent\_Rådhusvagten\Vagtplaner\Regnskab og statistik\Regnskab 2016\17140 Vagt - Konti og forbrug 2016.xlsx</MigrationPath>
    <MigrationDirectoryID xmlns="0dd46b0f-e2c7-4a31-a61e-54a1e81a6d74">011B58AB1AC90015BB89C59E58DA0D81D58C94E8</MigrationDirectoryID>
    <MigrationOriginalDate xmlns="0dd46b0f-e2c7-4a31-a61e-54a1e81a6d74" xsi:nil="true"/>
  </documentManagement>
</p:properties>
</file>

<file path=customXml/item4.xml><?xml version="1.0" encoding="utf-8"?>
<?mso-contentType ?>
<SharedContentType xmlns="Microsoft.SharePoint.Taxonomy.ContentTypeSync" SourceId="e6a412d2-aea5-45d9-add9-4615ec186553" ContentTypeId="0x010100B015E2879F2C3E49A84E4FBA662FB26A" PreviousValue="false"/>
</file>

<file path=customXml/itemProps1.xml><?xml version="1.0" encoding="utf-8"?>
<ds:datastoreItem xmlns:ds="http://schemas.openxmlformats.org/officeDocument/2006/customXml" ds:itemID="{2119B1A8-1A65-48F8-B4DE-F14E4413DCBA}"/>
</file>

<file path=customXml/itemProps2.xml><?xml version="1.0" encoding="utf-8"?>
<ds:datastoreItem xmlns:ds="http://schemas.openxmlformats.org/officeDocument/2006/customXml" ds:itemID="{9F8FAF0B-888F-424A-8C74-4E77514289F7}"/>
</file>

<file path=customXml/itemProps3.xml><?xml version="1.0" encoding="utf-8"?>
<ds:datastoreItem xmlns:ds="http://schemas.openxmlformats.org/officeDocument/2006/customXml" ds:itemID="{2624D636-CE08-44BE-BBED-BE2C7BF4E1A1}"/>
</file>

<file path=customXml/itemProps4.xml><?xml version="1.0" encoding="utf-8"?>
<ds:datastoreItem xmlns:ds="http://schemas.openxmlformats.org/officeDocument/2006/customXml" ds:itemID="{12BE17A3-6251-4D90-B848-79D32747E1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Budget 2016</vt:lpstr>
      <vt:lpstr>Januar</vt:lpstr>
      <vt:lpstr>Februar</vt:lpstr>
    </vt:vector>
  </TitlesOfParts>
  <Company>Københavns Kommune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 Larsen</dc:creator>
  <cp:lastModifiedBy>Per Larsen</cp:lastModifiedBy>
  <dcterms:created xsi:type="dcterms:W3CDTF">2015-10-01T12:32:28Z</dcterms:created>
  <dcterms:modified xsi:type="dcterms:W3CDTF">2016-02-01T12:59:13Z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0x010100B015E2879F2C3E49A84E4FBA662FB26A0046F37DEC036D284BBEE537A85881DFA0</vt:lpwstr>
  </property>
  <property fmtid="{D5CDD505-2E9C-101B-9397-08002B2CF9AE}" pid="3" name="Order">
    <vt:r8>100</vt:r8>
  </property>
</Properties>
</file>