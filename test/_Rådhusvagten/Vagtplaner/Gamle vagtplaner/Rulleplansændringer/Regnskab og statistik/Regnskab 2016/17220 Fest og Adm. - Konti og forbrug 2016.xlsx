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Budget 2016" sheetId="1" r:id="rId1"/>
    <sheet name="Januar" sheetId="2" r:id="rId2"/>
    <sheet name="Februar" sheetId="3" r:id="rId3"/>
  </sheets>
  <calcPr calcId="125725"/>
</workbook>
</file>

<file path=xl/calcChain.xml><?xml version="1.0" encoding="utf-8"?>
<calcChain xmlns="http://schemas.openxmlformats.org/spreadsheetml/2006/main">
  <c r="O34" i="1"/>
  <c r="N34"/>
  <c r="M34"/>
  <c r="L34"/>
  <c r="K34"/>
  <c r="J34"/>
  <c r="I34"/>
  <c r="H34"/>
  <c r="G34"/>
  <c r="F34"/>
  <c r="E34"/>
  <c r="D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34" s="1"/>
  <c r="P5"/>
  <c r="P4"/>
</calcChain>
</file>

<file path=xl/sharedStrings.xml><?xml version="1.0" encoding="utf-8"?>
<sst xmlns="http://schemas.openxmlformats.org/spreadsheetml/2006/main" count="82" uniqueCount="73">
  <si>
    <t>Organisation</t>
  </si>
  <si>
    <t>Område nr. og navn</t>
  </si>
  <si>
    <t>Standardkonto nr. og navn</t>
  </si>
  <si>
    <t>Budgettal</t>
  </si>
  <si>
    <t>Område</t>
  </si>
  <si>
    <t>Standardkonto Underopdeling</t>
  </si>
  <si>
    <t>Budget 01</t>
  </si>
  <si>
    <t>Budget 02</t>
  </si>
  <si>
    <t>Budget 03</t>
  </si>
  <si>
    <t>Budget 04</t>
  </si>
  <si>
    <t>Budget 05</t>
  </si>
  <si>
    <t>Budget 06</t>
  </si>
  <si>
    <t>Budget 07</t>
  </si>
  <si>
    <t>Budget 08</t>
  </si>
  <si>
    <t>Budget 09</t>
  </si>
  <si>
    <t>Budget 10</t>
  </si>
  <si>
    <t>Budget 11</t>
  </si>
  <si>
    <t>Budget 12</t>
  </si>
  <si>
    <t>Budget 2016</t>
  </si>
  <si>
    <t>Bemærkning/forudsætninger</t>
  </si>
  <si>
    <t>17220 - KEjd Arrangement &amp; Admin</t>
  </si>
  <si>
    <t>0020 - Administration</t>
  </si>
  <si>
    <t>1000100000 - OPUS løn</t>
  </si>
  <si>
    <t>Løn - se lønark</t>
  </si>
  <si>
    <t>2909900000 - Øvrige varekøb</t>
  </si>
  <si>
    <t>Diverse varekøb som ikke passer ind på anden konto, f.eks. skærmbriller mv.</t>
  </si>
  <si>
    <t>2910100000 - Kontorartikler</t>
  </si>
  <si>
    <t>Diverse kontorartikler fra Lyreco &amp; Atea</t>
  </si>
  <si>
    <t>2910300000 - Inventar</t>
  </si>
  <si>
    <t>Møbler, ny skærm mm.</t>
  </si>
  <si>
    <t>2910800000 - Lægelige artikler</t>
  </si>
  <si>
    <t>Piller, lægeerklæring m. moms mv.</t>
  </si>
  <si>
    <t>2911800000 - Arbejdstøj</t>
  </si>
  <si>
    <t>Arbejdstøj</t>
  </si>
  <si>
    <t>4009900000 - Øvrige tjenesteydelser uden moms</t>
  </si>
  <si>
    <t xml:space="preserve">TDC kredsløbgebyr + øvrigt uden moms </t>
  </si>
  <si>
    <t>4011900000 - Kurser og konferencer u. moms</t>
  </si>
  <si>
    <t>Afventer udmøntning - samlet for FM &amp; Rådhuset</t>
  </si>
  <si>
    <t>4031400000 - Taxikørsel</t>
  </si>
  <si>
    <t>Taxakørsel ifm arrangementer - udlæg</t>
  </si>
  <si>
    <t>4909900000 - Øvrige tjenesteydelser med moms</t>
  </si>
  <si>
    <t>Plantetilsyn, copyaftale, forplejning ifm arrangementer, coaching + diverse rep mv..</t>
  </si>
  <si>
    <t>4910200000 - Kommunikations- og Medietjenester</t>
  </si>
  <si>
    <t>Kabeltv, mobilabonnement, kredsløb, brandalarmering, mobiltelefon</t>
  </si>
  <si>
    <t>4911300000 - Bortskaffelse af affald</t>
  </si>
  <si>
    <t>EA via WeDo</t>
  </si>
  <si>
    <t>4911400000 - Kurser og konferencer med moms</t>
  </si>
  <si>
    <t>4930800000 - Personaleudgifter - tjenesteydelser m/moms</t>
  </si>
  <si>
    <t>NY: Budget flyttet fra øvrige varekøb - frugt, kaffe, blomster, gaver, morgenmad - alt forplejning til personale.</t>
  </si>
  <si>
    <t>7909900000 - Øvrige indtægter</t>
  </si>
  <si>
    <t>Duge, opvask, servering, flipover, arbejdsløn mv.</t>
  </si>
  <si>
    <t>9820000000 - Intern - Overførte varekøb</t>
  </si>
  <si>
    <t>Vin, duge, flipover mm. - både indtægter og udgifter.</t>
  </si>
  <si>
    <t>9840000000 - Intern - Overførte tjenesteydelser</t>
  </si>
  <si>
    <t>Leje af linned, vikardækning, levering af forplejning, AMU kursus</t>
  </si>
  <si>
    <t>9840400000 - Intern - Repræsentation - Modtagelser og arrangementer</t>
  </si>
  <si>
    <t>Arrangementer</t>
  </si>
  <si>
    <t>9840500000 - Intern - IT-Ydelser</t>
  </si>
  <si>
    <t>Remedy, SMS-token, mobilsync, pc-ydeksen mv</t>
  </si>
  <si>
    <t>9845000001 - Intern - Basishusleje</t>
  </si>
  <si>
    <t>EA - WeDo Husleje, el, varme, forsikring mv.</t>
  </si>
  <si>
    <t>9845400000 - Intern - Betjentfunktioner og vagtordning</t>
  </si>
  <si>
    <t>Til rådhusvagten - 2015 pris fremskrevet med 1,67%</t>
  </si>
  <si>
    <t>9845500000 - Intern - Rengøring</t>
  </si>
  <si>
    <t>Rengøringsvederlag + leje af linned + vinduespolering. Alt fra Heidi</t>
  </si>
  <si>
    <t>0021 - Juletræ på Rådhuspladsen</t>
  </si>
  <si>
    <t>Alt vedr. juletræet på rådhuspladsen undtagen arbejdskraft som ligger på 17120</t>
  </si>
  <si>
    <t>0022 - Udlæg diverse regninger</t>
  </si>
  <si>
    <t>4909955001 - Udlæg fra div. regninger</t>
  </si>
  <si>
    <t>Udlæg</t>
  </si>
  <si>
    <t>0023 - Overarbejde ifm arrangementer</t>
  </si>
  <si>
    <t>7212055003 - Indtægter - overarbejde</t>
  </si>
  <si>
    <t>17220 - KEjd Arrangement &amp; Admin Totalt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</si>
</sst>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333399"/>
      <name val="Arial"/>
      <family val="2"/>
    </font>
    <font>
      <sz val="9"/>
      <color indexed="8"/>
      <name val="Arial"/>
      <family val="2"/>
    </font>
    <font>
      <sz val="9"/>
      <color rgb="FF333366"/>
      <name val="Arial"/>
      <family val="2"/>
    </font>
    <font>
      <sz val="9"/>
      <color rgb="FF000000"/>
      <name val="Arial"/>
      <family val="2"/>
    </font>
    <font>
      <sz val="9"/>
      <color rgb="FF003366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sz val="9"/>
      <color rgb="FF000000"/>
      <name val="Arial"/>
      <family val="2"/>
    </font>
    <font>
      <b/>
      <sz val="9"/>
      <color indexed="8"/>
      <name val="Arial"/>
      <family val="2"/>
    </font>
    <font>
      <i/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7E7F7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rgb="FF97999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979991"/>
      </left>
      <right style="thin">
        <color rgb="FF000000"/>
      </right>
      <top style="thin">
        <color indexed="64"/>
      </top>
      <bottom/>
      <diagonal/>
    </border>
    <border>
      <left style="medium">
        <color rgb="FF979991"/>
      </left>
      <right style="thin">
        <color indexed="64"/>
      </right>
      <top style="thin">
        <color indexed="64"/>
      </top>
      <bottom/>
      <diagonal/>
    </border>
    <border>
      <left style="thin">
        <color rgb="FF979991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979991"/>
      </left>
      <right/>
      <top style="medium">
        <color indexed="64"/>
      </top>
      <bottom/>
      <diagonal/>
    </border>
    <border>
      <left style="thin">
        <color rgb="FF97999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97999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indexed="64"/>
      </right>
      <top style="thin">
        <color rgb="FF979991"/>
      </top>
      <bottom/>
      <diagonal/>
    </border>
    <border>
      <left style="thin">
        <color indexed="64"/>
      </left>
      <right style="medium">
        <color indexed="64"/>
      </right>
      <top style="thin">
        <color rgb="FF97999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979991"/>
      </left>
      <right/>
      <top/>
      <bottom/>
      <diagonal/>
    </border>
    <border>
      <left/>
      <right/>
      <top style="thin">
        <color rgb="FF97999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79991"/>
      </top>
      <bottom style="medium">
        <color indexed="64"/>
      </bottom>
      <diagonal/>
    </border>
    <border>
      <left style="thin">
        <color rgb="FF979991"/>
      </left>
      <right/>
      <top style="thin">
        <color rgb="FF979991"/>
      </top>
      <bottom style="medium">
        <color indexed="64"/>
      </bottom>
      <diagonal/>
    </border>
    <border>
      <left style="thin">
        <color rgb="FF979991"/>
      </left>
      <right style="thin">
        <color indexed="64"/>
      </right>
      <top style="thin">
        <color rgb="FF97999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97999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979991"/>
      </left>
      <right style="medium">
        <color indexed="64"/>
      </right>
      <top style="medium">
        <color indexed="64"/>
      </top>
      <bottom/>
      <diagonal/>
    </border>
    <border>
      <left style="thin">
        <color rgb="FF979991"/>
      </left>
      <right style="medium">
        <color indexed="64"/>
      </right>
      <top style="thin">
        <color rgb="FF97999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rgb="FF979991"/>
      </top>
      <bottom style="medium">
        <color indexed="64"/>
      </bottom>
      <diagonal/>
    </border>
    <border>
      <left style="thin">
        <color rgb="FF979991"/>
      </left>
      <right style="medium">
        <color indexed="64"/>
      </right>
      <top style="thin">
        <color rgb="FF97999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rgb="FF979991"/>
      </top>
      <bottom/>
      <diagonal/>
    </border>
    <border>
      <left style="medium">
        <color indexed="64"/>
      </left>
      <right style="thin">
        <color indexed="64"/>
      </right>
      <top style="thin">
        <color rgb="FF97999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64">
    <xf numFmtId="0" fontId="0" fillId="0" borderId="0" xfId="0"/>
    <xf numFmtId="0" fontId="2" fillId="0" borderId="0" xfId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4" fillId="2" borderId="1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  <xf numFmtId="0" fontId="5" fillId="3" borderId="4" xfId="1" applyFont="1" applyFill="1" applyBorder="1" applyAlignment="1">
      <alignment wrapText="1"/>
    </xf>
    <xf numFmtId="0" fontId="5" fillId="3" borderId="5" xfId="1" applyFont="1" applyFill="1" applyBorder="1" applyAlignment="1">
      <alignment wrapText="1"/>
    </xf>
    <xf numFmtId="0" fontId="6" fillId="4" borderId="6" xfId="1" applyFont="1" applyFill="1" applyBorder="1" applyAlignment="1">
      <alignment wrapText="1"/>
    </xf>
    <xf numFmtId="0" fontId="6" fillId="4" borderId="2" xfId="1" applyFont="1" applyFill="1" applyBorder="1" applyAlignment="1">
      <alignment wrapText="1"/>
    </xf>
    <xf numFmtId="0" fontId="6" fillId="4" borderId="3" xfId="1" applyFont="1" applyFill="1" applyBorder="1" applyAlignment="1">
      <alignment wrapText="1"/>
    </xf>
    <xf numFmtId="0" fontId="5" fillId="4" borderId="7" xfId="1" applyFont="1" applyFill="1" applyBorder="1" applyAlignment="1">
      <alignment wrapText="1"/>
    </xf>
    <xf numFmtId="0" fontId="5" fillId="4" borderId="8" xfId="1" applyFont="1" applyFill="1" applyBorder="1" applyAlignment="1">
      <alignment wrapText="1"/>
    </xf>
    <xf numFmtId="0" fontId="5" fillId="4" borderId="9" xfId="1" applyFont="1" applyFill="1" applyBorder="1" applyAlignment="1">
      <alignment wrapText="1"/>
    </xf>
    <xf numFmtId="0" fontId="7" fillId="4" borderId="3" xfId="0" applyFont="1" applyFill="1" applyBorder="1" applyAlignment="1">
      <alignment horizontal="left" vertical="top" wrapText="1"/>
    </xf>
    <xf numFmtId="0" fontId="7" fillId="0" borderId="10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2" xfId="2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3" fontId="7" fillId="5" borderId="14" xfId="0" applyNumberFormat="1" applyFont="1" applyFill="1" applyBorder="1" applyAlignment="1">
      <alignment horizontal="right" vertical="top" wrapText="1"/>
    </xf>
    <xf numFmtId="3" fontId="7" fillId="6" borderId="15" xfId="0" applyNumberFormat="1" applyFont="1" applyFill="1" applyBorder="1" applyAlignment="1">
      <alignment horizontal="left" vertical="top" wrapText="1"/>
    </xf>
    <xf numFmtId="0" fontId="7" fillId="0" borderId="16" xfId="2" applyFont="1" applyBorder="1" applyAlignment="1">
      <alignment horizontal="left" vertical="top" wrapText="1"/>
    </xf>
    <xf numFmtId="0" fontId="7" fillId="0" borderId="17" xfId="2" applyFont="1" applyBorder="1" applyAlignment="1">
      <alignment horizontal="left" vertical="top" wrapText="1"/>
    </xf>
    <xf numFmtId="0" fontId="7" fillId="0" borderId="18" xfId="2" applyFont="1" applyBorder="1" applyAlignment="1">
      <alignment horizontal="left" vertical="top" wrapText="1"/>
    </xf>
    <xf numFmtId="3" fontId="7" fillId="0" borderId="19" xfId="0" applyNumberFormat="1" applyFont="1" applyBorder="1" applyAlignment="1">
      <alignment horizontal="right" vertical="top" wrapText="1"/>
    </xf>
    <xf numFmtId="3" fontId="7" fillId="5" borderId="20" xfId="0" applyNumberFormat="1" applyFont="1" applyFill="1" applyBorder="1" applyAlignment="1">
      <alignment horizontal="right" vertical="top" wrapText="1"/>
    </xf>
    <xf numFmtId="3" fontId="7" fillId="6" borderId="21" xfId="0" applyNumberFormat="1" applyFont="1" applyFill="1" applyBorder="1" applyAlignment="1">
      <alignment horizontal="left" vertical="top" wrapText="1"/>
    </xf>
    <xf numFmtId="0" fontId="7" fillId="7" borderId="18" xfId="2" applyFont="1" applyFill="1" applyBorder="1" applyAlignment="1">
      <alignment horizontal="left" vertical="top" wrapText="1"/>
    </xf>
    <xf numFmtId="3" fontId="7" fillId="7" borderId="19" xfId="0" applyNumberFormat="1" applyFont="1" applyFill="1" applyBorder="1" applyAlignment="1">
      <alignment horizontal="right" vertical="top" wrapText="1"/>
    </xf>
    <xf numFmtId="3" fontId="7" fillId="7" borderId="20" xfId="0" applyNumberFormat="1" applyFont="1" applyFill="1" applyBorder="1" applyAlignment="1">
      <alignment horizontal="right" vertical="top" wrapText="1"/>
    </xf>
    <xf numFmtId="3" fontId="7" fillId="7" borderId="21" xfId="0" applyNumberFormat="1" applyFont="1" applyFill="1" applyBorder="1" applyAlignment="1">
      <alignment horizontal="left" vertical="top" wrapText="1"/>
    </xf>
    <xf numFmtId="0" fontId="7" fillId="0" borderId="22" xfId="2" applyFont="1" applyBorder="1" applyAlignment="1">
      <alignment horizontal="left" vertical="top" wrapText="1"/>
    </xf>
    <xf numFmtId="0" fontId="7" fillId="0" borderId="23" xfId="2" applyFont="1" applyBorder="1" applyAlignment="1">
      <alignment horizontal="left" vertical="top" wrapText="1"/>
    </xf>
    <xf numFmtId="3" fontId="7" fillId="0" borderId="24" xfId="0" applyNumberFormat="1" applyFont="1" applyBorder="1" applyAlignment="1">
      <alignment horizontal="right" vertical="top" wrapText="1"/>
    </xf>
    <xf numFmtId="0" fontId="7" fillId="0" borderId="25" xfId="2" applyFont="1" applyBorder="1" applyAlignment="1">
      <alignment horizontal="left" vertical="top" wrapText="1"/>
    </xf>
    <xf numFmtId="0" fontId="7" fillId="0" borderId="26" xfId="2" applyFont="1" applyBorder="1" applyAlignment="1">
      <alignment horizontal="left" vertical="top" wrapText="1"/>
    </xf>
    <xf numFmtId="3" fontId="7" fillId="0" borderId="27" xfId="0" applyNumberFormat="1" applyFont="1" applyBorder="1" applyAlignment="1">
      <alignment horizontal="right" vertical="top" wrapText="1"/>
    </xf>
    <xf numFmtId="3" fontId="7" fillId="5" borderId="28" xfId="0" applyNumberFormat="1" applyFont="1" applyFill="1" applyBorder="1" applyAlignment="1">
      <alignment horizontal="right" vertical="top" wrapText="1"/>
    </xf>
    <xf numFmtId="3" fontId="7" fillId="6" borderId="29" xfId="0" applyNumberFormat="1" applyFont="1" applyFill="1" applyBorder="1" applyAlignment="1">
      <alignment horizontal="left" vertical="top" wrapText="1"/>
    </xf>
    <xf numFmtId="3" fontId="7" fillId="0" borderId="30" xfId="0" applyNumberFormat="1" applyFont="1" applyBorder="1" applyAlignment="1">
      <alignment horizontal="right" vertical="top" wrapText="1"/>
    </xf>
    <xf numFmtId="3" fontId="7" fillId="5" borderId="31" xfId="0" applyNumberFormat="1" applyFont="1" applyFill="1" applyBorder="1" applyAlignment="1">
      <alignment horizontal="right" vertical="top" wrapText="1"/>
    </xf>
    <xf numFmtId="3" fontId="7" fillId="6" borderId="11" xfId="0" applyNumberFormat="1" applyFont="1" applyFill="1" applyBorder="1" applyAlignment="1">
      <alignment horizontal="center" vertical="center" wrapText="1"/>
    </xf>
    <xf numFmtId="3" fontId="7" fillId="5" borderId="32" xfId="0" applyNumberFormat="1" applyFont="1" applyFill="1" applyBorder="1" applyAlignment="1">
      <alignment horizontal="right" vertical="top" wrapText="1"/>
    </xf>
    <xf numFmtId="3" fontId="7" fillId="6" borderId="17" xfId="0" applyNumberFormat="1" applyFont="1" applyFill="1" applyBorder="1" applyAlignment="1">
      <alignment horizontal="center" vertical="center" wrapText="1"/>
    </xf>
    <xf numFmtId="0" fontId="7" fillId="0" borderId="33" xfId="2" applyFont="1" applyBorder="1" applyAlignment="1">
      <alignment horizontal="left" vertical="top" wrapText="1"/>
    </xf>
    <xf numFmtId="3" fontId="7" fillId="0" borderId="34" xfId="0" applyNumberFormat="1" applyFont="1" applyBorder="1" applyAlignment="1">
      <alignment horizontal="right" vertical="top" wrapText="1"/>
    </xf>
    <xf numFmtId="3" fontId="7" fillId="5" borderId="35" xfId="0" applyNumberFormat="1" applyFont="1" applyFill="1" applyBorder="1" applyAlignment="1">
      <alignment horizontal="right" vertical="top" wrapText="1"/>
    </xf>
    <xf numFmtId="3" fontId="7" fillId="6" borderId="33" xfId="0" applyNumberFormat="1" applyFont="1" applyFill="1" applyBorder="1" applyAlignment="1">
      <alignment horizontal="center" vertical="center" wrapText="1"/>
    </xf>
    <xf numFmtId="0" fontId="7" fillId="0" borderId="36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37" xfId="2" applyFont="1" applyBorder="1" applyAlignment="1">
      <alignment horizontal="left" vertical="top" wrapText="1"/>
    </xf>
    <xf numFmtId="0" fontId="7" fillId="0" borderId="38" xfId="2" applyFont="1" applyBorder="1" applyAlignment="1">
      <alignment horizontal="left" vertical="top" wrapText="1"/>
    </xf>
    <xf numFmtId="0" fontId="7" fillId="0" borderId="39" xfId="2" applyFont="1" applyBorder="1" applyAlignment="1">
      <alignment horizontal="left" vertical="top" wrapText="1"/>
    </xf>
    <xf numFmtId="3" fontId="9" fillId="4" borderId="40" xfId="1" applyNumberFormat="1" applyFont="1" applyFill="1" applyBorder="1" applyAlignment="1">
      <alignment horizontal="right" vertical="top" wrapText="1"/>
    </xf>
    <xf numFmtId="3" fontId="9" fillId="4" borderId="41" xfId="1" applyNumberFormat="1" applyFont="1" applyFill="1" applyBorder="1" applyAlignment="1">
      <alignment horizontal="right" vertical="top" wrapText="1"/>
    </xf>
    <xf numFmtId="3" fontId="9" fillId="4" borderId="41" xfId="1" applyNumberFormat="1" applyFont="1" applyFill="1" applyBorder="1" applyAlignment="1">
      <alignment horizontal="left" vertical="top" wrapText="1"/>
    </xf>
    <xf numFmtId="3" fontId="3" fillId="0" borderId="0" xfId="0" applyNumberFormat="1" applyFont="1" applyBorder="1"/>
    <xf numFmtId="3" fontId="3" fillId="0" borderId="0" xfId="0" applyNumberFormat="1" applyFont="1" applyBorder="1" applyAlignment="1">
      <alignment horizontal="left" wrapText="1"/>
    </xf>
    <xf numFmtId="3" fontId="10" fillId="0" borderId="0" xfId="0" applyNumberFormat="1" applyFont="1" applyBorder="1" applyAlignment="1">
      <alignment horizontal="left" wrapText="1"/>
    </xf>
    <xf numFmtId="3" fontId="11" fillId="0" borderId="0" xfId="0" applyNumberFormat="1" applyFont="1" applyBorder="1" applyAlignment="1">
      <alignment horizontal="left" wrapText="1"/>
    </xf>
    <xf numFmtId="3" fontId="3" fillId="0" borderId="0" xfId="0" applyNumberFormat="1" applyFont="1"/>
    <xf numFmtId="3" fontId="3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0"/>
  <sheetViews>
    <sheetView tabSelected="1" workbookViewId="0">
      <selection activeCell="A14" sqref="A14"/>
    </sheetView>
  </sheetViews>
  <sheetFormatPr defaultRowHeight="12" outlineLevelCol="1"/>
  <cols>
    <col min="1" max="1" width="13.140625" style="3" customWidth="1"/>
    <col min="2" max="2" width="13.7109375" style="3" customWidth="1"/>
    <col min="3" max="3" width="39.140625" style="3" bestFit="1" customWidth="1"/>
    <col min="4" max="4" width="8.7109375" style="3" bestFit="1" customWidth="1" outlineLevel="1"/>
    <col min="5" max="15" width="9.28515625" style="3" bestFit="1" customWidth="1" outlineLevel="1"/>
    <col min="16" max="16" width="10.28515625" style="3" bestFit="1" customWidth="1" outlineLevel="1" collapsed="1"/>
    <col min="17" max="17" width="58" style="2" customWidth="1"/>
    <col min="18" max="16384" width="9.140625" style="3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24">
      <c r="A2" s="4" t="s">
        <v>0</v>
      </c>
      <c r="B2" s="5" t="s">
        <v>1</v>
      </c>
      <c r="C2" s="6" t="s">
        <v>2</v>
      </c>
      <c r="D2" s="7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1:17" ht="24.75" thickBot="1">
      <c r="A3" s="9" t="s">
        <v>0</v>
      </c>
      <c r="B3" s="10" t="s">
        <v>4</v>
      </c>
      <c r="C3" s="11" t="s">
        <v>5</v>
      </c>
      <c r="D3" s="12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4" t="s">
        <v>18</v>
      </c>
      <c r="Q3" s="15" t="s">
        <v>19</v>
      </c>
    </row>
    <row r="4" spans="1:17">
      <c r="A4" s="16" t="s">
        <v>20</v>
      </c>
      <c r="B4" s="17" t="s">
        <v>21</v>
      </c>
      <c r="C4" s="18" t="s">
        <v>22</v>
      </c>
      <c r="D4" s="19">
        <v>511689</v>
      </c>
      <c r="E4" s="19">
        <v>511689</v>
      </c>
      <c r="F4" s="19">
        <v>511689</v>
      </c>
      <c r="G4" s="19">
        <v>625590</v>
      </c>
      <c r="H4" s="19">
        <v>511690</v>
      </c>
      <c r="I4" s="19">
        <v>511690</v>
      </c>
      <c r="J4" s="19">
        <v>511690</v>
      </c>
      <c r="K4" s="19">
        <v>511690</v>
      </c>
      <c r="L4" s="19">
        <v>511689</v>
      </c>
      <c r="M4" s="19">
        <v>511689</v>
      </c>
      <c r="N4" s="19">
        <v>511689</v>
      </c>
      <c r="O4" s="19">
        <v>511689</v>
      </c>
      <c r="P4" s="20">
        <f>SUM(D4:O4)</f>
        <v>6254173</v>
      </c>
      <c r="Q4" s="21" t="s">
        <v>23</v>
      </c>
    </row>
    <row r="5" spans="1:17" ht="24">
      <c r="A5" s="22"/>
      <c r="B5" s="23"/>
      <c r="C5" s="24" t="s">
        <v>24</v>
      </c>
      <c r="D5" s="25">
        <v>2500</v>
      </c>
      <c r="E5" s="25">
        <v>2500</v>
      </c>
      <c r="F5" s="25">
        <v>2500</v>
      </c>
      <c r="G5" s="25">
        <v>2500</v>
      </c>
      <c r="H5" s="25">
        <v>2500</v>
      </c>
      <c r="I5" s="25">
        <v>2500</v>
      </c>
      <c r="J5" s="25">
        <v>2500</v>
      </c>
      <c r="K5" s="25">
        <v>2500</v>
      </c>
      <c r="L5" s="25">
        <v>2500</v>
      </c>
      <c r="M5" s="25">
        <v>2500</v>
      </c>
      <c r="N5" s="25">
        <v>2500</v>
      </c>
      <c r="O5" s="25">
        <v>2500</v>
      </c>
      <c r="P5" s="26">
        <f t="shared" ref="P5:P28" si="0">SUM(D5:O5)</f>
        <v>30000</v>
      </c>
      <c r="Q5" s="27" t="s">
        <v>25</v>
      </c>
    </row>
    <row r="6" spans="1:17">
      <c r="A6" s="22"/>
      <c r="B6" s="23"/>
      <c r="C6" s="24" t="s">
        <v>26</v>
      </c>
      <c r="D6" s="25">
        <v>2917</v>
      </c>
      <c r="E6" s="25">
        <v>2917</v>
      </c>
      <c r="F6" s="25">
        <v>2917</v>
      </c>
      <c r="G6" s="25">
        <v>2917</v>
      </c>
      <c r="H6" s="25">
        <v>2917</v>
      </c>
      <c r="I6" s="25">
        <v>2917</v>
      </c>
      <c r="J6" s="25">
        <v>2917</v>
      </c>
      <c r="K6" s="25">
        <v>2917</v>
      </c>
      <c r="L6" s="25">
        <v>2916</v>
      </c>
      <c r="M6" s="25">
        <v>2916</v>
      </c>
      <c r="N6" s="25">
        <v>2916</v>
      </c>
      <c r="O6" s="25">
        <v>2916</v>
      </c>
      <c r="P6" s="26">
        <f t="shared" si="0"/>
        <v>35000</v>
      </c>
      <c r="Q6" s="27" t="s">
        <v>27</v>
      </c>
    </row>
    <row r="7" spans="1:17">
      <c r="A7" s="22"/>
      <c r="B7" s="23"/>
      <c r="C7" s="24" t="s">
        <v>28</v>
      </c>
      <c r="D7" s="25"/>
      <c r="E7" s="25">
        <v>25000</v>
      </c>
      <c r="F7" s="25"/>
      <c r="G7" s="25"/>
      <c r="H7" s="25">
        <v>25000</v>
      </c>
      <c r="I7" s="25"/>
      <c r="J7" s="25"/>
      <c r="K7" s="25">
        <v>25000</v>
      </c>
      <c r="L7" s="25"/>
      <c r="M7" s="25"/>
      <c r="N7" s="25">
        <v>25000</v>
      </c>
      <c r="O7" s="25"/>
      <c r="P7" s="26">
        <f t="shared" si="0"/>
        <v>100000</v>
      </c>
      <c r="Q7" s="27" t="s">
        <v>29</v>
      </c>
    </row>
    <row r="8" spans="1:17">
      <c r="A8" s="22"/>
      <c r="B8" s="23"/>
      <c r="C8" s="24" t="s">
        <v>30</v>
      </c>
      <c r="D8" s="25"/>
      <c r="E8" s="25">
        <v>500</v>
      </c>
      <c r="F8" s="25"/>
      <c r="G8" s="25"/>
      <c r="H8" s="25">
        <v>500</v>
      </c>
      <c r="I8" s="25"/>
      <c r="J8" s="25"/>
      <c r="K8" s="25">
        <v>500</v>
      </c>
      <c r="L8" s="25"/>
      <c r="M8" s="25"/>
      <c r="N8" s="25">
        <v>500</v>
      </c>
      <c r="O8" s="25"/>
      <c r="P8" s="26">
        <f t="shared" si="0"/>
        <v>2000</v>
      </c>
      <c r="Q8" s="27" t="s">
        <v>31</v>
      </c>
    </row>
    <row r="9" spans="1:17">
      <c r="A9" s="22"/>
      <c r="B9" s="23"/>
      <c r="C9" s="24" t="s">
        <v>32</v>
      </c>
      <c r="D9" s="25"/>
      <c r="E9" s="25">
        <v>13750</v>
      </c>
      <c r="F9" s="25"/>
      <c r="G9" s="25"/>
      <c r="H9" s="25">
        <v>13750</v>
      </c>
      <c r="I9" s="25"/>
      <c r="J9" s="25"/>
      <c r="K9" s="25">
        <v>13750</v>
      </c>
      <c r="L9" s="25"/>
      <c r="M9" s="25"/>
      <c r="N9" s="25">
        <v>13750</v>
      </c>
      <c r="O9" s="25"/>
      <c r="P9" s="26">
        <f t="shared" si="0"/>
        <v>55000</v>
      </c>
      <c r="Q9" s="27" t="s">
        <v>33</v>
      </c>
    </row>
    <row r="10" spans="1:17" ht="24">
      <c r="A10" s="22"/>
      <c r="B10" s="23"/>
      <c r="C10" s="24" t="s">
        <v>34</v>
      </c>
      <c r="D10" s="25">
        <v>1250</v>
      </c>
      <c r="E10" s="25">
        <v>1250</v>
      </c>
      <c r="F10" s="25">
        <v>1250</v>
      </c>
      <c r="G10" s="25">
        <v>1250</v>
      </c>
      <c r="H10" s="25">
        <v>1250</v>
      </c>
      <c r="I10" s="25">
        <v>1250</v>
      </c>
      <c r="J10" s="25">
        <v>1250</v>
      </c>
      <c r="K10" s="25">
        <v>1250</v>
      </c>
      <c r="L10" s="25">
        <v>1250</v>
      </c>
      <c r="M10" s="25">
        <v>1250</v>
      </c>
      <c r="N10" s="25">
        <v>1250</v>
      </c>
      <c r="O10" s="25">
        <v>1250</v>
      </c>
      <c r="P10" s="26">
        <f t="shared" si="0"/>
        <v>15000</v>
      </c>
      <c r="Q10" s="27" t="s">
        <v>35</v>
      </c>
    </row>
    <row r="11" spans="1:17">
      <c r="A11" s="22"/>
      <c r="B11" s="23"/>
      <c r="C11" s="28" t="s">
        <v>36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>
        <f t="shared" si="0"/>
        <v>0</v>
      </c>
      <c r="Q11" s="31" t="s">
        <v>37</v>
      </c>
    </row>
    <row r="12" spans="1:17">
      <c r="A12" s="22"/>
      <c r="B12" s="32"/>
      <c r="C12" s="24" t="s">
        <v>38</v>
      </c>
      <c r="D12" s="25"/>
      <c r="E12" s="25">
        <v>2273</v>
      </c>
      <c r="F12" s="25">
        <v>2273</v>
      </c>
      <c r="G12" s="25">
        <v>2273</v>
      </c>
      <c r="H12" s="25">
        <v>2273</v>
      </c>
      <c r="I12" s="25">
        <v>2273</v>
      </c>
      <c r="J12" s="25">
        <v>2273</v>
      </c>
      <c r="K12" s="25">
        <v>2273</v>
      </c>
      <c r="L12" s="25">
        <v>2273</v>
      </c>
      <c r="M12" s="25">
        <v>2272</v>
      </c>
      <c r="N12" s="25">
        <v>2272</v>
      </c>
      <c r="O12" s="25">
        <v>2272</v>
      </c>
      <c r="P12" s="26">
        <f t="shared" si="0"/>
        <v>25000</v>
      </c>
      <c r="Q12" s="27" t="s">
        <v>39</v>
      </c>
    </row>
    <row r="13" spans="1:17" ht="24">
      <c r="A13" s="33"/>
      <c r="B13" s="32"/>
      <c r="C13" s="24" t="s">
        <v>40</v>
      </c>
      <c r="D13" s="25">
        <v>16667</v>
      </c>
      <c r="E13" s="25">
        <v>16667</v>
      </c>
      <c r="F13" s="25">
        <v>16667</v>
      </c>
      <c r="G13" s="25">
        <v>16667</v>
      </c>
      <c r="H13" s="25">
        <v>16667</v>
      </c>
      <c r="I13" s="25">
        <v>16667</v>
      </c>
      <c r="J13" s="25">
        <v>16667</v>
      </c>
      <c r="K13" s="25">
        <v>16667</v>
      </c>
      <c r="L13" s="25">
        <v>16666</v>
      </c>
      <c r="M13" s="25">
        <v>16666</v>
      </c>
      <c r="N13" s="25">
        <v>16666</v>
      </c>
      <c r="O13" s="25">
        <v>16666</v>
      </c>
      <c r="P13" s="26">
        <f t="shared" si="0"/>
        <v>200000</v>
      </c>
      <c r="Q13" s="27" t="s">
        <v>41</v>
      </c>
    </row>
    <row r="14" spans="1:17" ht="24">
      <c r="A14" s="33"/>
      <c r="B14" s="32"/>
      <c r="C14" s="24" t="s">
        <v>42</v>
      </c>
      <c r="D14" s="25">
        <v>16667</v>
      </c>
      <c r="E14" s="25">
        <v>16667</v>
      </c>
      <c r="F14" s="25">
        <v>16667</v>
      </c>
      <c r="G14" s="25">
        <v>16667</v>
      </c>
      <c r="H14" s="25">
        <v>16667</v>
      </c>
      <c r="I14" s="25">
        <v>16667</v>
      </c>
      <c r="J14" s="25">
        <v>16667</v>
      </c>
      <c r="K14" s="25">
        <v>16667</v>
      </c>
      <c r="L14" s="25">
        <v>16666</v>
      </c>
      <c r="M14" s="25">
        <v>16666</v>
      </c>
      <c r="N14" s="25">
        <v>16666</v>
      </c>
      <c r="O14" s="25">
        <v>16666</v>
      </c>
      <c r="P14" s="26">
        <f t="shared" si="0"/>
        <v>200000</v>
      </c>
      <c r="Q14" s="27" t="s">
        <v>43</v>
      </c>
    </row>
    <row r="15" spans="1:17">
      <c r="A15" s="33"/>
      <c r="B15" s="32"/>
      <c r="C15" s="24" t="s">
        <v>44</v>
      </c>
      <c r="D15" s="34"/>
      <c r="E15" s="25">
        <v>1667</v>
      </c>
      <c r="F15" s="25">
        <v>1667</v>
      </c>
      <c r="G15" s="25">
        <v>1667</v>
      </c>
      <c r="H15" s="25">
        <v>1667</v>
      </c>
      <c r="I15" s="25">
        <v>1667</v>
      </c>
      <c r="J15" s="25">
        <v>1667</v>
      </c>
      <c r="K15" s="25">
        <v>1667</v>
      </c>
      <c r="L15" s="25">
        <v>1667</v>
      </c>
      <c r="M15" s="25">
        <v>1666</v>
      </c>
      <c r="N15" s="25">
        <v>1666</v>
      </c>
      <c r="O15" s="25">
        <v>3332</v>
      </c>
      <c r="P15" s="26">
        <f t="shared" si="0"/>
        <v>20000</v>
      </c>
      <c r="Q15" s="27" t="s">
        <v>45</v>
      </c>
    </row>
    <row r="16" spans="1:17" ht="24">
      <c r="A16" s="33"/>
      <c r="B16" s="32"/>
      <c r="C16" s="28" t="s">
        <v>46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>
        <f t="shared" si="0"/>
        <v>0</v>
      </c>
      <c r="Q16" s="31" t="s">
        <v>37</v>
      </c>
    </row>
    <row r="17" spans="1:17" ht="24">
      <c r="A17" s="33"/>
      <c r="B17" s="32"/>
      <c r="C17" s="24" t="s">
        <v>47</v>
      </c>
      <c r="D17" s="25">
        <v>10000</v>
      </c>
      <c r="E17" s="25">
        <v>10000</v>
      </c>
      <c r="F17" s="25">
        <v>10000</v>
      </c>
      <c r="G17" s="25">
        <v>10000</v>
      </c>
      <c r="H17" s="25">
        <v>10000</v>
      </c>
      <c r="I17" s="25">
        <v>10000</v>
      </c>
      <c r="J17" s="25">
        <v>10000</v>
      </c>
      <c r="K17" s="25">
        <v>10000</v>
      </c>
      <c r="L17" s="25">
        <v>10000</v>
      </c>
      <c r="M17" s="25">
        <v>10000</v>
      </c>
      <c r="N17" s="25">
        <v>10000</v>
      </c>
      <c r="O17" s="25">
        <v>10000</v>
      </c>
      <c r="P17" s="26">
        <f t="shared" si="0"/>
        <v>120000</v>
      </c>
      <c r="Q17" s="27" t="s">
        <v>48</v>
      </c>
    </row>
    <row r="18" spans="1:17">
      <c r="A18" s="33"/>
      <c r="B18" s="32"/>
      <c r="C18" s="24" t="s">
        <v>49</v>
      </c>
      <c r="D18" s="25"/>
      <c r="E18" s="25">
        <v>-12500</v>
      </c>
      <c r="F18" s="25">
        <v>-12500</v>
      </c>
      <c r="G18" s="25">
        <v>-12500</v>
      </c>
      <c r="H18" s="25">
        <v>-12500</v>
      </c>
      <c r="I18" s="25">
        <v>-12500</v>
      </c>
      <c r="J18" s="25">
        <v>-12500</v>
      </c>
      <c r="K18" s="25">
        <v>-12500</v>
      </c>
      <c r="L18" s="25">
        <v>-12500</v>
      </c>
      <c r="M18" s="25">
        <v>-12500</v>
      </c>
      <c r="N18" s="25">
        <v>-12500</v>
      </c>
      <c r="O18" s="25">
        <v>-25000</v>
      </c>
      <c r="P18" s="26">
        <f t="shared" si="0"/>
        <v>-150000</v>
      </c>
      <c r="Q18" s="27" t="s">
        <v>50</v>
      </c>
    </row>
    <row r="19" spans="1:17">
      <c r="A19" s="33"/>
      <c r="B19" s="32"/>
      <c r="C19" s="24" t="s">
        <v>51</v>
      </c>
      <c r="D19" s="34"/>
      <c r="E19" s="25">
        <v>-6250</v>
      </c>
      <c r="F19" s="25">
        <v>-6250</v>
      </c>
      <c r="G19" s="25">
        <v>-6250</v>
      </c>
      <c r="H19" s="25">
        <v>-6250</v>
      </c>
      <c r="I19" s="25">
        <v>-6250</v>
      </c>
      <c r="J19" s="25">
        <v>-6250</v>
      </c>
      <c r="K19" s="25">
        <v>-6250</v>
      </c>
      <c r="L19" s="25">
        <v>-6250</v>
      </c>
      <c r="M19" s="25">
        <v>-6250</v>
      </c>
      <c r="N19" s="25">
        <v>-6250</v>
      </c>
      <c r="O19" s="25">
        <v>-12500</v>
      </c>
      <c r="P19" s="26">
        <f t="shared" si="0"/>
        <v>-75000</v>
      </c>
      <c r="Q19" s="27" t="s">
        <v>52</v>
      </c>
    </row>
    <row r="20" spans="1:17">
      <c r="A20" s="33"/>
      <c r="B20" s="32"/>
      <c r="C20" s="24" t="s">
        <v>53</v>
      </c>
      <c r="D20" s="34"/>
      <c r="E20" s="25">
        <v>2500</v>
      </c>
      <c r="F20" s="25">
        <v>2500</v>
      </c>
      <c r="G20" s="25">
        <v>2500</v>
      </c>
      <c r="H20" s="25">
        <v>2500</v>
      </c>
      <c r="I20" s="25">
        <v>2500</v>
      </c>
      <c r="J20" s="25">
        <v>2500</v>
      </c>
      <c r="K20" s="25">
        <v>2500</v>
      </c>
      <c r="L20" s="25">
        <v>2500</v>
      </c>
      <c r="M20" s="25">
        <v>2500</v>
      </c>
      <c r="N20" s="25">
        <v>2500</v>
      </c>
      <c r="O20" s="25">
        <v>5000</v>
      </c>
      <c r="P20" s="26">
        <f t="shared" si="0"/>
        <v>30000</v>
      </c>
      <c r="Q20" s="27" t="s">
        <v>54</v>
      </c>
    </row>
    <row r="21" spans="1:17" ht="24">
      <c r="A21" s="33"/>
      <c r="B21" s="32"/>
      <c r="C21" s="24" t="s">
        <v>55</v>
      </c>
      <c r="D21" s="34"/>
      <c r="E21" s="25">
        <v>-233334</v>
      </c>
      <c r="F21" s="25">
        <v>-233334</v>
      </c>
      <c r="G21" s="25">
        <v>-233334</v>
      </c>
      <c r="H21" s="25">
        <v>-233334</v>
      </c>
      <c r="I21" s="25">
        <v>-233333</v>
      </c>
      <c r="J21" s="25">
        <v>-233333</v>
      </c>
      <c r="K21" s="25">
        <v>-233333</v>
      </c>
      <c r="L21" s="25">
        <v>-233333</v>
      </c>
      <c r="M21" s="25">
        <v>-233333</v>
      </c>
      <c r="N21" s="25">
        <v>-233333</v>
      </c>
      <c r="O21" s="25">
        <v>-466666</v>
      </c>
      <c r="P21" s="26">
        <f t="shared" si="0"/>
        <v>-2800000</v>
      </c>
      <c r="Q21" s="27" t="s">
        <v>56</v>
      </c>
    </row>
    <row r="22" spans="1:17">
      <c r="A22" s="33"/>
      <c r="B22" s="32"/>
      <c r="C22" s="24" t="s">
        <v>57</v>
      </c>
      <c r="D22" s="34"/>
      <c r="E22" s="25"/>
      <c r="F22" s="25">
        <v>87500</v>
      </c>
      <c r="G22" s="25"/>
      <c r="H22" s="25"/>
      <c r="I22" s="25">
        <v>87500</v>
      </c>
      <c r="J22" s="25"/>
      <c r="K22" s="25"/>
      <c r="L22" s="25">
        <v>87500</v>
      </c>
      <c r="M22" s="25"/>
      <c r="N22" s="25"/>
      <c r="O22" s="25">
        <v>87500</v>
      </c>
      <c r="P22" s="26">
        <f t="shared" si="0"/>
        <v>350000</v>
      </c>
      <c r="Q22" s="27" t="s">
        <v>58</v>
      </c>
    </row>
    <row r="23" spans="1:17">
      <c r="A23" s="33"/>
      <c r="B23" s="32"/>
      <c r="C23" s="24" t="s">
        <v>59</v>
      </c>
      <c r="D23" s="25">
        <v>425000</v>
      </c>
      <c r="E23" s="25">
        <v>425000</v>
      </c>
      <c r="F23" s="25">
        <v>425000</v>
      </c>
      <c r="G23" s="25">
        <v>425000</v>
      </c>
      <c r="H23" s="25">
        <v>425000</v>
      </c>
      <c r="I23" s="25">
        <v>425000</v>
      </c>
      <c r="J23" s="25">
        <v>425000</v>
      </c>
      <c r="K23" s="25">
        <v>425000</v>
      </c>
      <c r="L23" s="25">
        <v>425000</v>
      </c>
      <c r="M23" s="25">
        <v>425000</v>
      </c>
      <c r="N23" s="25">
        <v>425000</v>
      </c>
      <c r="O23" s="25">
        <v>425000</v>
      </c>
      <c r="P23" s="26">
        <f t="shared" si="0"/>
        <v>5100000</v>
      </c>
      <c r="Q23" s="27" t="s">
        <v>60</v>
      </c>
    </row>
    <row r="24" spans="1:17" ht="24">
      <c r="A24" s="33"/>
      <c r="B24" s="32"/>
      <c r="C24" s="24" t="s">
        <v>61</v>
      </c>
      <c r="D24" s="34"/>
      <c r="E24" s="25"/>
      <c r="F24" s="25"/>
      <c r="G24" s="25"/>
      <c r="H24" s="25"/>
      <c r="I24" s="25">
        <v>647000</v>
      </c>
      <c r="J24" s="25"/>
      <c r="K24" s="25"/>
      <c r="L24" s="25"/>
      <c r="M24" s="25"/>
      <c r="N24" s="25"/>
      <c r="O24" s="25"/>
      <c r="P24" s="26">
        <f t="shared" si="0"/>
        <v>647000</v>
      </c>
      <c r="Q24" s="27" t="s">
        <v>62</v>
      </c>
    </row>
    <row r="25" spans="1:17" ht="12.75" thickBot="1">
      <c r="A25" s="33"/>
      <c r="B25" s="35"/>
      <c r="C25" s="36" t="s">
        <v>63</v>
      </c>
      <c r="D25" s="37"/>
      <c r="E25" s="37">
        <v>16667</v>
      </c>
      <c r="F25" s="37">
        <v>16667</v>
      </c>
      <c r="G25" s="37">
        <v>16667</v>
      </c>
      <c r="H25" s="37">
        <v>16667</v>
      </c>
      <c r="I25" s="37">
        <v>16667</v>
      </c>
      <c r="J25" s="37">
        <v>16667</v>
      </c>
      <c r="K25" s="37">
        <v>16667</v>
      </c>
      <c r="L25" s="37">
        <v>16667</v>
      </c>
      <c r="M25" s="37">
        <v>16666</v>
      </c>
      <c r="N25" s="37">
        <v>16666</v>
      </c>
      <c r="O25" s="37">
        <v>33332</v>
      </c>
      <c r="P25" s="38">
        <f t="shared" si="0"/>
        <v>200000</v>
      </c>
      <c r="Q25" s="39" t="s">
        <v>64</v>
      </c>
    </row>
    <row r="26" spans="1:17">
      <c r="A26" s="33"/>
      <c r="B26" s="17" t="s">
        <v>65</v>
      </c>
      <c r="C26" s="18" t="s">
        <v>24</v>
      </c>
      <c r="D26" s="40"/>
      <c r="E26" s="19"/>
      <c r="F26" s="19"/>
      <c r="G26" s="19"/>
      <c r="H26" s="19"/>
      <c r="I26" s="19"/>
      <c r="J26" s="19"/>
      <c r="K26" s="19"/>
      <c r="L26" s="19"/>
      <c r="M26" s="19">
        <v>20000</v>
      </c>
      <c r="N26" s="19">
        <v>20000</v>
      </c>
      <c r="O26" s="19">
        <v>100000</v>
      </c>
      <c r="P26" s="41">
        <f t="shared" si="0"/>
        <v>140000</v>
      </c>
      <c r="Q26" s="42" t="s">
        <v>66</v>
      </c>
    </row>
    <row r="27" spans="1:17" ht="24">
      <c r="A27" s="33"/>
      <c r="B27" s="23"/>
      <c r="C27" s="24" t="s">
        <v>34</v>
      </c>
      <c r="D27" s="3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>
        <v>25000</v>
      </c>
      <c r="P27" s="43">
        <f t="shared" si="0"/>
        <v>25000</v>
      </c>
      <c r="Q27" s="44"/>
    </row>
    <row r="28" spans="1:17" ht="24.75" thickBot="1">
      <c r="A28" s="33"/>
      <c r="B28" s="45"/>
      <c r="C28" s="36" t="s">
        <v>40</v>
      </c>
      <c r="D28" s="46"/>
      <c r="E28" s="37"/>
      <c r="F28" s="37"/>
      <c r="G28" s="37"/>
      <c r="H28" s="37"/>
      <c r="I28" s="37"/>
      <c r="J28" s="37"/>
      <c r="K28" s="37"/>
      <c r="L28" s="37"/>
      <c r="M28" s="37">
        <v>10000</v>
      </c>
      <c r="N28" s="37">
        <v>10000</v>
      </c>
      <c r="O28" s="37">
        <v>65000</v>
      </c>
      <c r="P28" s="47">
        <f t="shared" si="0"/>
        <v>85000</v>
      </c>
      <c r="Q28" s="48"/>
    </row>
    <row r="29" spans="1:17">
      <c r="A29" s="33"/>
      <c r="B29" s="17" t="s">
        <v>67</v>
      </c>
      <c r="C29" s="24" t="s">
        <v>68</v>
      </c>
      <c r="D29" s="25">
        <v>66667</v>
      </c>
      <c r="E29" s="25">
        <v>66667</v>
      </c>
      <c r="F29" s="25">
        <v>66667</v>
      </c>
      <c r="G29" s="25">
        <v>66667</v>
      </c>
      <c r="H29" s="25">
        <v>66667</v>
      </c>
      <c r="I29" s="25">
        <v>66667</v>
      </c>
      <c r="J29" s="25">
        <v>66667</v>
      </c>
      <c r="K29" s="25">
        <v>66667</v>
      </c>
      <c r="L29" s="25">
        <v>66666</v>
      </c>
      <c r="M29" s="25">
        <v>66666</v>
      </c>
      <c r="N29" s="25">
        <v>66666</v>
      </c>
      <c r="O29" s="25">
        <v>66666</v>
      </c>
      <c r="P29" s="43">
        <f>SUM(D29:O29)</f>
        <v>800000</v>
      </c>
      <c r="Q29" s="42" t="s">
        <v>69</v>
      </c>
    </row>
    <row r="30" spans="1:17" ht="24.75" thickBot="1">
      <c r="A30" s="33"/>
      <c r="B30" s="45"/>
      <c r="C30" s="24" t="s">
        <v>55</v>
      </c>
      <c r="D30" s="25">
        <v>-66667</v>
      </c>
      <c r="E30" s="25">
        <v>-66667</v>
      </c>
      <c r="F30" s="25">
        <v>-66667</v>
      </c>
      <c r="G30" s="25">
        <v>-66667</v>
      </c>
      <c r="H30" s="25">
        <v>-66667</v>
      </c>
      <c r="I30" s="25">
        <v>-66667</v>
      </c>
      <c r="J30" s="25">
        <v>-66667</v>
      </c>
      <c r="K30" s="25">
        <v>-66667</v>
      </c>
      <c r="L30" s="25">
        <v>-66666</v>
      </c>
      <c r="M30" s="25">
        <v>-66666</v>
      </c>
      <c r="N30" s="25">
        <v>-66666</v>
      </c>
      <c r="O30" s="25">
        <v>-66666</v>
      </c>
      <c r="P30" s="43">
        <f t="shared" ref="P30:P33" si="1">SUM(D30:O30)</f>
        <v>-800000</v>
      </c>
      <c r="Q30" s="48"/>
    </row>
    <row r="31" spans="1:17">
      <c r="A31" s="33"/>
      <c r="B31" s="49" t="s">
        <v>70</v>
      </c>
      <c r="C31" s="50" t="s">
        <v>22</v>
      </c>
      <c r="D31" s="19">
        <v>62500</v>
      </c>
      <c r="E31" s="19">
        <v>62500</v>
      </c>
      <c r="F31" s="19">
        <v>62500</v>
      </c>
      <c r="G31" s="19">
        <v>62500</v>
      </c>
      <c r="H31" s="19">
        <v>62500</v>
      </c>
      <c r="I31" s="19">
        <v>62500</v>
      </c>
      <c r="J31" s="19">
        <v>62500</v>
      </c>
      <c r="K31" s="19">
        <v>62500</v>
      </c>
      <c r="L31" s="19">
        <v>62500</v>
      </c>
      <c r="M31" s="19">
        <v>62500</v>
      </c>
      <c r="N31" s="19">
        <v>62500</v>
      </c>
      <c r="O31" s="19">
        <v>62500</v>
      </c>
      <c r="P31" s="41">
        <f t="shared" si="1"/>
        <v>750000</v>
      </c>
      <c r="Q31" s="42" t="s">
        <v>56</v>
      </c>
    </row>
    <row r="32" spans="1:17">
      <c r="A32" s="33"/>
      <c r="B32" s="51"/>
      <c r="C32" s="52" t="s">
        <v>71</v>
      </c>
      <c r="D32" s="25">
        <v>-25000</v>
      </c>
      <c r="E32" s="25">
        <v>-25000</v>
      </c>
      <c r="F32" s="25">
        <v>-25000</v>
      </c>
      <c r="G32" s="25">
        <v>-25000</v>
      </c>
      <c r="H32" s="25">
        <v>-25000</v>
      </c>
      <c r="I32" s="25">
        <v>-25000</v>
      </c>
      <c r="J32" s="25">
        <v>-25000</v>
      </c>
      <c r="K32" s="25">
        <v>-25000</v>
      </c>
      <c r="L32" s="25">
        <v>-25000</v>
      </c>
      <c r="M32" s="25">
        <v>-25000</v>
      </c>
      <c r="N32" s="25">
        <v>-25000</v>
      </c>
      <c r="O32" s="25">
        <v>-25000</v>
      </c>
      <c r="P32" s="43">
        <f t="shared" si="1"/>
        <v>-300000</v>
      </c>
      <c r="Q32" s="44"/>
    </row>
    <row r="33" spans="1:33" ht="24.75" thickBot="1">
      <c r="A33" s="33"/>
      <c r="B33" s="35"/>
      <c r="C33" s="53" t="s">
        <v>55</v>
      </c>
      <c r="D33" s="37">
        <v>-58334</v>
      </c>
      <c r="E33" s="37">
        <v>-58334</v>
      </c>
      <c r="F33" s="37">
        <v>-58334</v>
      </c>
      <c r="G33" s="37">
        <v>-58334</v>
      </c>
      <c r="H33" s="37">
        <v>-58333</v>
      </c>
      <c r="I33" s="37">
        <v>-58333</v>
      </c>
      <c r="J33" s="37">
        <v>-58333</v>
      </c>
      <c r="K33" s="37">
        <v>-58333</v>
      </c>
      <c r="L33" s="37">
        <v>-58333</v>
      </c>
      <c r="M33" s="37">
        <v>-58333</v>
      </c>
      <c r="N33" s="37">
        <v>-58333</v>
      </c>
      <c r="O33" s="37">
        <v>-58333</v>
      </c>
      <c r="P33" s="47">
        <f t="shared" si="1"/>
        <v>-700000</v>
      </c>
      <c r="Q33" s="48"/>
    </row>
    <row r="34" spans="1:33" ht="36">
      <c r="A34" s="54" t="s">
        <v>72</v>
      </c>
      <c r="B34" s="55"/>
      <c r="C34" s="55"/>
      <c r="D34" s="55">
        <f t="shared" ref="D34:O34" si="2">SUM(D4:D33)</f>
        <v>965856</v>
      </c>
      <c r="E34" s="55">
        <f t="shared" si="2"/>
        <v>776129</v>
      </c>
      <c r="F34" s="55">
        <f t="shared" si="2"/>
        <v>824379</v>
      </c>
      <c r="G34" s="55">
        <f t="shared" si="2"/>
        <v>850780</v>
      </c>
      <c r="H34" s="55">
        <f t="shared" si="2"/>
        <v>776131</v>
      </c>
      <c r="I34" s="55">
        <f t="shared" si="2"/>
        <v>1471382</v>
      </c>
      <c r="J34" s="55">
        <f t="shared" si="2"/>
        <v>736882</v>
      </c>
      <c r="K34" s="55">
        <f t="shared" si="2"/>
        <v>776132</v>
      </c>
      <c r="L34" s="55">
        <f t="shared" si="2"/>
        <v>824378</v>
      </c>
      <c r="M34" s="55">
        <f t="shared" si="2"/>
        <v>766875</v>
      </c>
      <c r="N34" s="55">
        <f t="shared" si="2"/>
        <v>806125</v>
      </c>
      <c r="O34" s="55">
        <f t="shared" si="2"/>
        <v>783124</v>
      </c>
      <c r="P34" s="55">
        <f>SUM(P4:P33)</f>
        <v>10358173</v>
      </c>
      <c r="Q34" s="56"/>
    </row>
    <row r="35" spans="1:33"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8"/>
    </row>
    <row r="36" spans="1:33"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9"/>
    </row>
    <row r="37" spans="1:33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60"/>
    </row>
    <row r="38" spans="1:33"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8"/>
    </row>
    <row r="39" spans="1:33"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/>
    </row>
    <row r="40" spans="1:33"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2"/>
    </row>
    <row r="41" spans="1:33"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2"/>
    </row>
    <row r="42" spans="1:33"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2"/>
    </row>
    <row r="43" spans="1:33" s="63" customFormat="1">
      <c r="A43" s="3"/>
      <c r="B43" s="3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s="63" customFormat="1">
      <c r="A44" s="3"/>
      <c r="B44" s="3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s="63" customFormat="1">
      <c r="A45" s="3"/>
      <c r="B45" s="3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s="63" customFormat="1">
      <c r="A46" s="3"/>
      <c r="B46" s="3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s="63" customFormat="1">
      <c r="A47" s="3"/>
      <c r="B47" s="3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s="63" customFormat="1">
      <c r="A48" s="3"/>
      <c r="B48" s="3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s="63" customFormat="1">
      <c r="A49" s="3"/>
      <c r="B49" s="3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s="63" customFormat="1">
      <c r="A50" s="3"/>
      <c r="B50" s="3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s="63" customFormat="1">
      <c r="A51" s="3"/>
      <c r="B51" s="3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s="63" customFormat="1">
      <c r="A52" s="3"/>
      <c r="B52" s="3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s="63" customFormat="1">
      <c r="A53" s="3"/>
      <c r="B53" s="3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s="63" customFormat="1">
      <c r="A54" s="3"/>
      <c r="B54" s="3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s="63" customFormat="1">
      <c r="A55" s="3"/>
      <c r="B55" s="3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s="63" customFormat="1">
      <c r="A56" s="3"/>
      <c r="B56" s="3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s="63" customFormat="1">
      <c r="A57" s="3"/>
      <c r="B57" s="3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s="63" customFormat="1">
      <c r="A58" s="3"/>
      <c r="B58" s="3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s="63" customFormat="1">
      <c r="A59" s="3"/>
      <c r="B59" s="3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s="63" customFormat="1">
      <c r="A60" s="3"/>
      <c r="B60" s="3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s="63" customFormat="1">
      <c r="A61" s="3"/>
      <c r="B61" s="3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s="63" customFormat="1">
      <c r="A62" s="3"/>
      <c r="B62" s="3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s="63" customFormat="1">
      <c r="A63" s="3"/>
      <c r="B63" s="3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s="63" customFormat="1">
      <c r="A64" s="3"/>
      <c r="B64" s="3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s="63" customFormat="1">
      <c r="A65" s="3"/>
      <c r="B65" s="3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s="63" customFormat="1">
      <c r="A66" s="3"/>
      <c r="B66" s="3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s="63" customFormat="1">
      <c r="A67" s="3"/>
      <c r="B67" s="3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s="63" customFormat="1">
      <c r="A68" s="3"/>
      <c r="B68" s="3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s="63" customFormat="1">
      <c r="A69" s="3"/>
      <c r="B69" s="3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s="63" customFormat="1">
      <c r="A70" s="3"/>
      <c r="B70" s="3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</sheetData>
  <mergeCells count="10">
    <mergeCell ref="B29:B30"/>
    <mergeCell ref="Q29:Q30"/>
    <mergeCell ref="B31:B32"/>
    <mergeCell ref="Q31:Q33"/>
    <mergeCell ref="A1:P1"/>
    <mergeCell ref="D2:P2"/>
    <mergeCell ref="A4:A12"/>
    <mergeCell ref="B4:B11"/>
    <mergeCell ref="B26:B28"/>
    <mergeCell ref="Q26:Q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0" sqref="E30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7" ma:contentTypeDescription="" ma:contentTypeScope="" ma:versionID="322abaa8745c58af29abb8312104868a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1b739c844c19ffbccf538c52953af47e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KUNDER\RÅDHUSSERVICE\Betjent\_Rådhusvagten\Vagtplaner\Regnskab og statistik\Regnskab 2016\17220 Fest og Adm. - Konti og forbrug 2016.xlsx</MigrationPath>
    <MigrationDirectoryID xmlns="0dd46b0f-e2c7-4a31-a61e-54a1e81a6d74">011B58AB1AC90015BB89C59E58DA0D81D58C94E8</MigrationDirectoryID>
    <MigrationOriginalDate xmlns="0dd46b0f-e2c7-4a31-a61e-54a1e81a6d74" xsi:nil="true"/>
  </documentManagement>
</p:properties>
</file>

<file path=customXml/item4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Props1.xml><?xml version="1.0" encoding="utf-8"?>
<ds:datastoreItem xmlns:ds="http://schemas.openxmlformats.org/officeDocument/2006/customXml" ds:itemID="{99CE2EDB-E711-483A-AD27-493FD2CC51D2}"/>
</file>

<file path=customXml/itemProps2.xml><?xml version="1.0" encoding="utf-8"?>
<ds:datastoreItem xmlns:ds="http://schemas.openxmlformats.org/officeDocument/2006/customXml" ds:itemID="{69C6D572-4213-48CA-9432-F7477230A79A}"/>
</file>

<file path=customXml/itemProps3.xml><?xml version="1.0" encoding="utf-8"?>
<ds:datastoreItem xmlns:ds="http://schemas.openxmlformats.org/officeDocument/2006/customXml" ds:itemID="{ED07E62A-1355-45E0-A068-35235BE33C28}"/>
</file>

<file path=customXml/itemProps4.xml><?xml version="1.0" encoding="utf-8"?>
<ds:datastoreItem xmlns:ds="http://schemas.openxmlformats.org/officeDocument/2006/customXml" ds:itemID="{4DBBFEF8-4562-4C5F-8363-E61DB668E4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Budget 2016</vt:lpstr>
      <vt:lpstr>Januar</vt:lpstr>
      <vt:lpstr>Februar</vt:lpstr>
    </vt:vector>
  </TitlesOfParts>
  <Company>Københavns Kommune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Larsen</dc:creator>
  <cp:lastModifiedBy>Per Larsen</cp:lastModifiedBy>
  <dcterms:created xsi:type="dcterms:W3CDTF">2015-10-01T12:32:28Z</dcterms:created>
  <dcterms:modified xsi:type="dcterms:W3CDTF">2016-02-01T13:11:48Z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</Properties>
</file>