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xr:revisionPtr revIDLastSave="0" documentId="11_926A6B4949118077BB4A3A285A73516906967556" xr6:coauthVersionLast="47" xr6:coauthVersionMax="47" xr10:uidLastSave="{00000000-0000-0000-0000-000000000000}"/>
  <bookViews>
    <workbookView xWindow="0" yWindow="45" windowWidth="19155" windowHeight="11820" xr2:uid="{00000000-000D-0000-FFFF-FFFF00000000}"/>
  </bookViews>
  <sheets>
    <sheet name="Budget 2016" sheetId="1" r:id="rId1"/>
    <sheet name="Januar" sheetId="2" r:id="rId2"/>
    <sheet name="Februar" sheetId="3" r:id="rId3"/>
  </sheets>
  <calcPr calcId="125725"/>
</workbook>
</file>

<file path=xl/calcChain.xml><?xml version="1.0" encoding="utf-8"?>
<calcChain xmlns="http://schemas.openxmlformats.org/spreadsheetml/2006/main">
  <c r="O20" i="1" l="1"/>
  <c r="N20" i="1"/>
  <c r="M20" i="1"/>
  <c r="L20" i="1"/>
  <c r="K20" i="1"/>
  <c r="J20" i="1"/>
  <c r="I20" i="1"/>
  <c r="H20" i="1"/>
  <c r="G20" i="1"/>
  <c r="F20" i="1"/>
  <c r="E20" i="1"/>
  <c r="D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20" i="1" s="1"/>
</calcChain>
</file>

<file path=xl/sharedStrings.xml><?xml version="1.0" encoding="utf-8"?>
<sst xmlns="http://schemas.openxmlformats.org/spreadsheetml/2006/main" count="57" uniqueCount="55">
  <si>
    <t>2016b - Opfølgning på drift + område</t>
  </si>
  <si>
    <t>Organisation</t>
  </si>
  <si>
    <t>Område nr. og navn</t>
  </si>
  <si>
    <t>Standardkonto nr. og navn</t>
  </si>
  <si>
    <t>Budgettal</t>
  </si>
  <si>
    <t>Område</t>
  </si>
  <si>
    <t>Standardkonto Underopdeling</t>
  </si>
  <si>
    <t>Budget 01</t>
  </si>
  <si>
    <t>Budget 02</t>
  </si>
  <si>
    <t>Budget 03</t>
  </si>
  <si>
    <t>Budget 04</t>
  </si>
  <si>
    <t>Budget 05</t>
  </si>
  <si>
    <t>Budget 06</t>
  </si>
  <si>
    <t>Budget 07</t>
  </si>
  <si>
    <t>Budget 08</t>
  </si>
  <si>
    <t>Budget 09</t>
  </si>
  <si>
    <t>Budget 10</t>
  </si>
  <si>
    <t>Budget 11</t>
  </si>
  <si>
    <t>Budget 12</t>
  </si>
  <si>
    <t>Budget 2016</t>
  </si>
  <si>
    <t>Bemærkninger/grundlag/forudsætninger</t>
  </si>
  <si>
    <t>17120 - KEjd Teknisk Service</t>
  </si>
  <si>
    <t>0000 - Uspecificeret</t>
  </si>
  <si>
    <t>1000100000 - OPUS løn</t>
  </si>
  <si>
    <t>13 medarbejdere. Se lønark - inkl. løneftersyn. Feriegodtgørelse i April.</t>
  </si>
  <si>
    <t>0016 - Rådhusafdelingen</t>
  </si>
  <si>
    <t>2909900000 - Øvrige varekøb</t>
  </si>
  <si>
    <t>Diverse indkøb + udskiftning af udstillingsplader</t>
  </si>
  <si>
    <t>2911600000 - Værktøj</t>
  </si>
  <si>
    <t>Værktøj</t>
  </si>
  <si>
    <t>2911800000 - Arbejdstøj</t>
  </si>
  <si>
    <t>1.000 kr. per medarb + sko og udendørstøj</t>
  </si>
  <si>
    <t>2912100000 - Vejmaterialer</t>
  </si>
  <si>
    <t>Til vejsalt mm</t>
  </si>
  <si>
    <t>4009900000 - Øvrige tjenesteydelser uden moms</t>
  </si>
  <si>
    <t>Primært til lægeerklæringer. Alt til juletræet er flyttet til 17220</t>
  </si>
  <si>
    <t>4510400000 - Vedligeholdelse af materiel</t>
  </si>
  <si>
    <t>Vedligeholdelse af material</t>
  </si>
  <si>
    <t>4909900000 - Øvrige tjenesteydelser med moms</t>
  </si>
  <si>
    <t>Udlæg til eksterne leverandører, lokaleleje hos Dupont</t>
  </si>
  <si>
    <t>4911400000 - Kurser og konferencer med moms</t>
  </si>
  <si>
    <t>Lovpligtige LAUS kurser</t>
  </si>
  <si>
    <t>7209900000 - Øvrige salg af produkter og ydelser</t>
  </si>
  <si>
    <t>Arbejdsløn og leje af lokaler, eksterne</t>
  </si>
  <si>
    <t>9840000000 - Intern - Overførte tjenesteydelser</t>
  </si>
  <si>
    <t>Betalingsopgaver udført med eksterne leverandører</t>
  </si>
  <si>
    <t>9845000001 - Intern - Basishusleje</t>
  </si>
  <si>
    <t>EA</t>
  </si>
  <si>
    <t>9845000009 - Intern - driftsudgifter</t>
  </si>
  <si>
    <t>9845500000 - Intern - Rengøring</t>
  </si>
  <si>
    <t>Rengøring</t>
  </si>
  <si>
    <t>9870000000 - Intern - Indtægter</t>
  </si>
  <si>
    <t>Opgaver med egne medarbejdere</t>
  </si>
  <si>
    <t>17120 - KEjd Teknisk Service Totalt</t>
  </si>
  <si>
    <t>APV - ny udsugning Vester voldgade 82, skal søges fra konto 200 til større uforudsete udgifter i Jens Svanes afdeling - kontakt Stella Bülow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</si>
</sst>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333399"/>
      <name val="Arial"/>
      <family val="2"/>
    </font>
    <font>
      <sz val="9"/>
      <color indexed="8"/>
      <name val="Arial"/>
      <family val="2"/>
    </font>
    <font>
      <sz val="8"/>
      <color rgb="FF333366"/>
      <name val="Tahoma"/>
      <family val="2"/>
    </font>
    <font>
      <sz val="8"/>
      <color rgb="FF000000"/>
      <name val="Tahoma"/>
      <family val="2"/>
    </font>
    <font>
      <sz val="8"/>
      <color indexed="8"/>
      <name val="Arial"/>
      <family val="2"/>
    </font>
    <font>
      <sz val="8"/>
      <color rgb="FF003366"/>
      <name val="Tahoma"/>
      <family val="2"/>
    </font>
    <font>
      <sz val="8"/>
      <color theme="1"/>
      <name val="Calibri"/>
      <family val="2"/>
    </font>
    <font>
      <b/>
      <sz val="8"/>
      <color rgb="FF000000"/>
      <name val="Tahoma"/>
      <family val="2"/>
    </font>
    <font>
      <b/>
      <sz val="8"/>
      <color theme="1"/>
      <name val="Calibri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7E7F7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EF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6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979991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979991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979991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979991"/>
      </right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medium">
        <color rgb="FF979991"/>
      </left>
      <right style="thin">
        <color rgb="FF000000"/>
      </right>
      <top style="medium">
        <color rgb="FF97999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979991"/>
      </top>
      <bottom/>
      <diagonal/>
    </border>
    <border>
      <left style="thin">
        <color indexed="64"/>
      </left>
      <right style="medium">
        <color rgb="FF979991"/>
      </right>
      <top/>
      <bottom/>
      <diagonal/>
    </border>
    <border>
      <left style="medium">
        <color rgb="FF979991"/>
      </left>
      <right style="medium">
        <color rgb="FF979991"/>
      </right>
      <top/>
      <bottom/>
      <diagonal/>
    </border>
    <border>
      <left style="thin">
        <color indexed="64"/>
      </left>
      <right style="medium">
        <color rgb="FF979991"/>
      </right>
      <top/>
      <bottom style="thin">
        <color indexed="64"/>
      </bottom>
      <diagonal/>
    </border>
    <border>
      <left style="medium">
        <color rgb="FF979991"/>
      </left>
      <right style="medium">
        <color rgb="FF97999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97999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3" fillId="0" borderId="0" xfId="0" applyFont="1" applyBorder="1"/>
    <xf numFmtId="0" fontId="4" fillId="2" borderId="1" xfId="1" applyFont="1" applyFill="1" applyBorder="1" applyAlignment="1">
      <alignment wrapText="1"/>
    </xf>
    <xf numFmtId="0" fontId="4" fillId="2" borderId="2" xfId="1" applyFont="1" applyFill="1" applyBorder="1" applyAlignment="1">
      <alignment wrapText="1"/>
    </xf>
    <xf numFmtId="0" fontId="4" fillId="2" borderId="3" xfId="1" applyFont="1" applyFill="1" applyBorder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7" fillId="4" borderId="7" xfId="1" applyFont="1" applyFill="1" applyBorder="1" applyAlignment="1">
      <alignment wrapText="1"/>
    </xf>
    <xf numFmtId="0" fontId="7" fillId="4" borderId="8" xfId="1" applyFont="1" applyFill="1" applyBorder="1" applyAlignment="1">
      <alignment wrapText="1"/>
    </xf>
    <xf numFmtId="0" fontId="5" fillId="4" borderId="8" xfId="1" applyFont="1" applyFill="1" applyBorder="1" applyAlignment="1">
      <alignment wrapText="1"/>
    </xf>
    <xf numFmtId="0" fontId="8" fillId="5" borderId="9" xfId="0" applyFont="1" applyFill="1" applyBorder="1" applyAlignment="1">
      <alignment horizontal="left" vertical="top" wrapText="1"/>
    </xf>
    <xf numFmtId="49" fontId="5" fillId="6" borderId="10" xfId="2" applyNumberFormat="1" applyFont="1" applyFill="1" applyBorder="1" applyAlignment="1">
      <alignment horizontal="left" vertical="top" wrapText="1"/>
    </xf>
    <xf numFmtId="49" fontId="5" fillId="6" borderId="11" xfId="2" applyNumberFormat="1" applyFont="1" applyFill="1" applyBorder="1" applyAlignment="1">
      <alignment horizontal="left" vertical="top" wrapText="1"/>
    </xf>
    <xf numFmtId="49" fontId="5" fillId="6" borderId="12" xfId="2" applyNumberFormat="1" applyFont="1" applyFill="1" applyBorder="1" applyAlignment="1">
      <alignment horizontal="left" vertical="top" wrapText="1"/>
    </xf>
    <xf numFmtId="3" fontId="5" fillId="6" borderId="12" xfId="2" applyNumberFormat="1" applyFont="1" applyFill="1" applyBorder="1" applyAlignment="1">
      <alignment horizontal="right" vertical="top" wrapText="1"/>
    </xf>
    <xf numFmtId="3" fontId="5" fillId="7" borderId="12" xfId="2" applyNumberFormat="1" applyFont="1" applyFill="1" applyBorder="1" applyAlignment="1">
      <alignment horizontal="right" vertical="top" wrapText="1"/>
    </xf>
    <xf numFmtId="3" fontId="8" fillId="8" borderId="13" xfId="0" applyNumberFormat="1" applyFont="1" applyFill="1" applyBorder="1" applyAlignment="1">
      <alignment horizontal="left" vertical="top" wrapText="1"/>
    </xf>
    <xf numFmtId="49" fontId="5" fillId="6" borderId="14" xfId="2" applyNumberFormat="1" applyFont="1" applyFill="1" applyBorder="1" applyAlignment="1">
      <alignment horizontal="left" vertical="top" wrapText="1"/>
    </xf>
    <xf numFmtId="49" fontId="5" fillId="6" borderId="15" xfId="2" applyNumberFormat="1" applyFont="1" applyFill="1" applyBorder="1" applyAlignment="1">
      <alignment vertical="top" wrapText="1"/>
    </xf>
    <xf numFmtId="49" fontId="9" fillId="6" borderId="14" xfId="2" applyNumberFormat="1" applyFont="1" applyFill="1" applyBorder="1" applyAlignment="1">
      <alignment horizontal="left" vertical="top" wrapText="1"/>
    </xf>
    <xf numFmtId="49" fontId="9" fillId="6" borderId="16" xfId="2" applyNumberFormat="1" applyFont="1" applyFill="1" applyBorder="1" applyAlignment="1">
      <alignment horizontal="left" vertical="top" wrapText="1"/>
    </xf>
    <xf numFmtId="49" fontId="9" fillId="6" borderId="17" xfId="2" applyNumberFormat="1" applyFont="1" applyFill="1" applyBorder="1" applyAlignment="1">
      <alignment horizontal="left" vertical="top" wrapText="1"/>
    </xf>
    <xf numFmtId="49" fontId="9" fillId="0" borderId="12" xfId="2" applyNumberFormat="1" applyFont="1" applyFill="1" applyBorder="1" applyAlignment="1">
      <alignment horizontal="left" vertical="top" wrapText="1"/>
    </xf>
    <xf numFmtId="3" fontId="9" fillId="0" borderId="12" xfId="2" applyNumberFormat="1" applyFont="1" applyFill="1" applyBorder="1" applyAlignment="1">
      <alignment horizontal="right" vertical="top" wrapText="1"/>
    </xf>
    <xf numFmtId="3" fontId="10" fillId="0" borderId="18" xfId="0" applyNumberFormat="1" applyFont="1" applyFill="1" applyBorder="1" applyAlignment="1">
      <alignment horizontal="left" vertical="top" wrapText="1"/>
    </xf>
    <xf numFmtId="0" fontId="11" fillId="0" borderId="0" xfId="0" applyFont="1"/>
    <xf numFmtId="0" fontId="12" fillId="0" borderId="19" xfId="0" applyFont="1" applyBorder="1"/>
    <xf numFmtId="0" fontId="6" fillId="0" borderId="20" xfId="0" applyFont="1" applyBorder="1"/>
    <xf numFmtId="0" fontId="6" fillId="0" borderId="21" xfId="0" applyFont="1" applyBorder="1" applyAlignment="1">
      <alignment wrapText="1"/>
    </xf>
    <xf numFmtId="0" fontId="13" fillId="0" borderId="22" xfId="0" applyFont="1" applyBorder="1"/>
    <xf numFmtId="0" fontId="6" fillId="0" borderId="23" xfId="0" applyFont="1" applyBorder="1"/>
    <xf numFmtId="0" fontId="6" fillId="0" borderId="24" xfId="0" applyFont="1" applyBorder="1" applyAlignment="1">
      <alignment wrapText="1"/>
    </xf>
    <xf numFmtId="0" fontId="2" fillId="0" borderId="0" xfId="1" applyFont="1" applyAlignment="1">
      <alignment horizontal="left" wrapText="1"/>
    </xf>
    <xf numFmtId="0" fontId="5" fillId="3" borderId="4" xfId="1" applyFont="1" applyFill="1" applyBorder="1" applyAlignment="1">
      <alignment wrapText="1"/>
    </xf>
    <xf numFmtId="0" fontId="5" fillId="3" borderId="5" xfId="1" applyFont="1" applyFill="1" applyBorder="1" applyAlignment="1">
      <alignment wrapText="1"/>
    </xf>
    <xf numFmtId="0" fontId="5" fillId="3" borderId="6" xfId="1" applyFont="1" applyFill="1" applyBorder="1" applyAlignment="1">
      <alignment wrapText="1"/>
    </xf>
    <xf numFmtId="49" fontId="5" fillId="6" borderId="15" xfId="2" applyNumberFormat="1" applyFont="1" applyFill="1" applyBorder="1" applyAlignment="1">
      <alignment horizontal="left" vertical="top" wrapText="1"/>
    </xf>
  </cellXfs>
  <cellStyles count="3">
    <cellStyle name="Normal" xfId="0" builtinId="0"/>
    <cellStyle name="Normal 4" xfId="1" xr:uid="{00000000-0005-0000-0000-000001000000}"/>
    <cellStyle name="Normal 7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sqref="A1:XFD1048576"/>
    </sheetView>
  </sheetViews>
  <sheetFormatPr defaultColWidth="11.85546875" defaultRowHeight="11.25"/>
  <cols>
    <col min="1" max="2" width="11.85546875" style="6"/>
    <col min="3" max="3" width="38.85546875" style="6" customWidth="1"/>
    <col min="4" max="14" width="9" style="6" bestFit="1" customWidth="1"/>
    <col min="15" max="15" width="9.5703125" style="6" bestFit="1" customWidth="1"/>
    <col min="16" max="16" width="11.85546875" style="6"/>
    <col min="17" max="17" width="54.85546875" style="5" customWidth="1"/>
    <col min="18" max="16384" width="11.85546875" style="6"/>
  </cols>
  <sheetData>
    <row r="1" spans="1:17" s="1" customFormat="1" ht="12.7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3" spans="1:17" ht="21.75" customHeight="1">
      <c r="A3" s="2" t="s">
        <v>1</v>
      </c>
      <c r="B3" s="3" t="s">
        <v>2</v>
      </c>
      <c r="C3" s="4" t="s">
        <v>3</v>
      </c>
      <c r="D3" s="33" t="s">
        <v>4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5"/>
    </row>
    <row r="4" spans="1:17" ht="12" thickBot="1">
      <c r="A4" s="7" t="s">
        <v>1</v>
      </c>
      <c r="B4" s="8" t="s">
        <v>5</v>
      </c>
      <c r="C4" s="8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10" t="s">
        <v>20</v>
      </c>
    </row>
    <row r="5" spans="1:17" ht="21.75" thickBot="1">
      <c r="A5" s="11" t="s">
        <v>21</v>
      </c>
      <c r="B5" s="12" t="s">
        <v>22</v>
      </c>
      <c r="C5" s="13" t="s">
        <v>23</v>
      </c>
      <c r="D5" s="14">
        <v>451890</v>
      </c>
      <c r="E5" s="14">
        <v>451890</v>
      </c>
      <c r="F5" s="14">
        <v>451890</v>
      </c>
      <c r="G5" s="14">
        <v>555890</v>
      </c>
      <c r="H5" s="14">
        <v>451890</v>
      </c>
      <c r="I5" s="14">
        <v>451890</v>
      </c>
      <c r="J5" s="14">
        <v>451890</v>
      </c>
      <c r="K5" s="14">
        <v>451890</v>
      </c>
      <c r="L5" s="14">
        <v>451890</v>
      </c>
      <c r="M5" s="14">
        <v>451890</v>
      </c>
      <c r="N5" s="14">
        <v>451890</v>
      </c>
      <c r="O5" s="14">
        <v>451890</v>
      </c>
      <c r="P5" s="15">
        <f>SUM(D5:O5)</f>
        <v>5526680</v>
      </c>
      <c r="Q5" s="16" t="s">
        <v>24</v>
      </c>
    </row>
    <row r="6" spans="1:17" ht="12" thickBot="1">
      <c r="A6" s="17"/>
      <c r="B6" s="36" t="s">
        <v>25</v>
      </c>
      <c r="C6" s="13" t="s">
        <v>26</v>
      </c>
      <c r="D6" s="14">
        <v>29167</v>
      </c>
      <c r="E6" s="14">
        <v>29167</v>
      </c>
      <c r="F6" s="14">
        <v>29167</v>
      </c>
      <c r="G6" s="14">
        <v>29167</v>
      </c>
      <c r="H6" s="14">
        <v>29167</v>
      </c>
      <c r="I6" s="14">
        <v>29167</v>
      </c>
      <c r="J6" s="14">
        <v>29167</v>
      </c>
      <c r="K6" s="14">
        <v>29167</v>
      </c>
      <c r="L6" s="14">
        <v>29166</v>
      </c>
      <c r="M6" s="14">
        <v>29166</v>
      </c>
      <c r="N6" s="14">
        <v>29166</v>
      </c>
      <c r="O6" s="14">
        <v>29166</v>
      </c>
      <c r="P6" s="15">
        <f t="shared" ref="P6:P19" si="0">SUM(D6:O6)</f>
        <v>350000</v>
      </c>
      <c r="Q6" s="16" t="s">
        <v>27</v>
      </c>
    </row>
    <row r="7" spans="1:17" ht="12" thickBot="1">
      <c r="A7" s="17"/>
      <c r="B7" s="36"/>
      <c r="C7" s="13" t="s">
        <v>28</v>
      </c>
      <c r="D7" s="14">
        <v>3750</v>
      </c>
      <c r="E7" s="14">
        <v>3750</v>
      </c>
      <c r="F7" s="14">
        <v>3750</v>
      </c>
      <c r="G7" s="14">
        <v>3750</v>
      </c>
      <c r="H7" s="14">
        <v>3750</v>
      </c>
      <c r="I7" s="14">
        <v>3750</v>
      </c>
      <c r="J7" s="14">
        <v>3750</v>
      </c>
      <c r="K7" s="14">
        <v>3750</v>
      </c>
      <c r="L7" s="14">
        <v>3750</v>
      </c>
      <c r="M7" s="14">
        <v>3750</v>
      </c>
      <c r="N7" s="14">
        <v>3750</v>
      </c>
      <c r="O7" s="14">
        <v>3750</v>
      </c>
      <c r="P7" s="15">
        <f t="shared" si="0"/>
        <v>45000</v>
      </c>
      <c r="Q7" s="16" t="s">
        <v>29</v>
      </c>
    </row>
    <row r="8" spans="1:17" ht="12" thickBot="1">
      <c r="A8" s="17"/>
      <c r="B8" s="36"/>
      <c r="C8" s="13" t="s">
        <v>30</v>
      </c>
      <c r="D8" s="14">
        <v>0</v>
      </c>
      <c r="E8" s="14">
        <v>6250</v>
      </c>
      <c r="F8" s="14">
        <v>0</v>
      </c>
      <c r="G8" s="14">
        <v>0</v>
      </c>
      <c r="H8" s="14">
        <v>6250</v>
      </c>
      <c r="I8" s="14">
        <v>0</v>
      </c>
      <c r="J8" s="14">
        <v>0</v>
      </c>
      <c r="K8" s="14">
        <v>6250</v>
      </c>
      <c r="L8" s="14">
        <v>0</v>
      </c>
      <c r="M8" s="14">
        <v>0</v>
      </c>
      <c r="N8" s="14">
        <v>6250</v>
      </c>
      <c r="O8" s="14">
        <v>0</v>
      </c>
      <c r="P8" s="15">
        <f t="shared" si="0"/>
        <v>25000</v>
      </c>
      <c r="Q8" s="16" t="s">
        <v>31</v>
      </c>
    </row>
    <row r="9" spans="1:17" ht="12" thickBot="1">
      <c r="A9" s="17"/>
      <c r="B9" s="36"/>
      <c r="C9" s="13" t="s">
        <v>32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10000</v>
      </c>
      <c r="O9" s="14">
        <v>10000</v>
      </c>
      <c r="P9" s="15">
        <f t="shared" si="0"/>
        <v>20000</v>
      </c>
      <c r="Q9" s="16" t="s">
        <v>33</v>
      </c>
    </row>
    <row r="10" spans="1:17" ht="12" thickBot="1">
      <c r="A10" s="17"/>
      <c r="B10" s="18"/>
      <c r="C10" s="13" t="s">
        <v>34</v>
      </c>
      <c r="D10" s="14">
        <v>0</v>
      </c>
      <c r="E10" s="14">
        <v>1250</v>
      </c>
      <c r="F10" s="14">
        <v>0</v>
      </c>
      <c r="G10" s="14">
        <v>0</v>
      </c>
      <c r="H10" s="14">
        <v>1250</v>
      </c>
      <c r="I10" s="14">
        <v>0</v>
      </c>
      <c r="J10" s="14">
        <v>0</v>
      </c>
      <c r="K10" s="14">
        <v>1250</v>
      </c>
      <c r="L10" s="14">
        <v>0</v>
      </c>
      <c r="M10" s="14">
        <v>0</v>
      </c>
      <c r="N10" s="14">
        <v>1250</v>
      </c>
      <c r="O10" s="14">
        <v>0</v>
      </c>
      <c r="P10" s="15">
        <f t="shared" si="0"/>
        <v>5000</v>
      </c>
      <c r="Q10" s="16" t="s">
        <v>35</v>
      </c>
    </row>
    <row r="11" spans="1:17" ht="12" thickBot="1">
      <c r="A11" s="17"/>
      <c r="B11" s="18"/>
      <c r="C11" s="13" t="s">
        <v>36</v>
      </c>
      <c r="D11" s="14">
        <v>0</v>
      </c>
      <c r="E11" s="14">
        <v>5000</v>
      </c>
      <c r="F11" s="14">
        <v>0</v>
      </c>
      <c r="G11" s="14">
        <v>0</v>
      </c>
      <c r="H11" s="14">
        <v>5000</v>
      </c>
      <c r="I11" s="14">
        <v>0</v>
      </c>
      <c r="J11" s="14">
        <v>0</v>
      </c>
      <c r="K11" s="14">
        <v>5000</v>
      </c>
      <c r="L11" s="14">
        <v>0</v>
      </c>
      <c r="M11" s="14">
        <v>0</v>
      </c>
      <c r="N11" s="14">
        <v>5000</v>
      </c>
      <c r="O11" s="14">
        <v>0</v>
      </c>
      <c r="P11" s="15">
        <f t="shared" si="0"/>
        <v>20000</v>
      </c>
      <c r="Q11" s="16" t="s">
        <v>37</v>
      </c>
    </row>
    <row r="12" spans="1:17" ht="12" thickBot="1">
      <c r="A12" s="17"/>
      <c r="B12" s="18"/>
      <c r="C12" s="13" t="s">
        <v>38</v>
      </c>
      <c r="D12" s="14">
        <v>45834</v>
      </c>
      <c r="E12" s="14">
        <v>45834</v>
      </c>
      <c r="F12" s="14">
        <v>45834</v>
      </c>
      <c r="G12" s="14">
        <v>45834</v>
      </c>
      <c r="H12" s="14">
        <v>45833</v>
      </c>
      <c r="I12" s="14">
        <v>45833</v>
      </c>
      <c r="J12" s="14">
        <v>45833</v>
      </c>
      <c r="K12" s="14">
        <v>45833</v>
      </c>
      <c r="L12" s="14">
        <v>45833</v>
      </c>
      <c r="M12" s="14">
        <v>45833</v>
      </c>
      <c r="N12" s="14">
        <v>45833</v>
      </c>
      <c r="O12" s="14">
        <v>45833</v>
      </c>
      <c r="P12" s="15">
        <f t="shared" si="0"/>
        <v>550000</v>
      </c>
      <c r="Q12" s="16" t="s">
        <v>39</v>
      </c>
    </row>
    <row r="13" spans="1:17" ht="12" thickBot="1">
      <c r="A13" s="17"/>
      <c r="B13" s="18"/>
      <c r="C13" s="13" t="s">
        <v>40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10000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5">
        <f t="shared" si="0"/>
        <v>10000</v>
      </c>
      <c r="Q13" s="16" t="s">
        <v>41</v>
      </c>
    </row>
    <row r="14" spans="1:17" ht="12" thickBot="1">
      <c r="A14" s="17"/>
      <c r="B14" s="18"/>
      <c r="C14" s="13" t="s">
        <v>42</v>
      </c>
      <c r="D14" s="14">
        <v>-20834</v>
      </c>
      <c r="E14" s="14">
        <v>-20834</v>
      </c>
      <c r="F14" s="14">
        <v>-20834</v>
      </c>
      <c r="G14" s="14">
        <v>-20834</v>
      </c>
      <c r="H14" s="14">
        <v>-20833</v>
      </c>
      <c r="I14" s="14">
        <v>-20833</v>
      </c>
      <c r="J14" s="14">
        <v>-20833</v>
      </c>
      <c r="K14" s="14">
        <v>-20833</v>
      </c>
      <c r="L14" s="14">
        <v>-20833</v>
      </c>
      <c r="M14" s="14">
        <v>-20833</v>
      </c>
      <c r="N14" s="14">
        <v>-20833</v>
      </c>
      <c r="O14" s="14">
        <v>-20833</v>
      </c>
      <c r="P14" s="15">
        <f t="shared" si="0"/>
        <v>-250000</v>
      </c>
      <c r="Q14" s="16" t="s">
        <v>43</v>
      </c>
    </row>
    <row r="15" spans="1:17" ht="12" thickBot="1">
      <c r="A15" s="17"/>
      <c r="B15" s="18"/>
      <c r="C15" s="13" t="s">
        <v>44</v>
      </c>
      <c r="D15" s="14">
        <v>0</v>
      </c>
      <c r="E15" s="14">
        <v>-12500</v>
      </c>
      <c r="F15" s="14">
        <v>-12500</v>
      </c>
      <c r="G15" s="14">
        <v>-12500</v>
      </c>
      <c r="H15" s="14">
        <v>-12500</v>
      </c>
      <c r="I15" s="14">
        <v>-12500</v>
      </c>
      <c r="J15" s="14">
        <v>-12500</v>
      </c>
      <c r="K15" s="14">
        <v>-12500</v>
      </c>
      <c r="L15" s="14">
        <v>-12500</v>
      </c>
      <c r="M15" s="14">
        <v>-12500</v>
      </c>
      <c r="N15" s="14">
        <v>-12500</v>
      </c>
      <c r="O15" s="14">
        <v>-25000</v>
      </c>
      <c r="P15" s="15">
        <f t="shared" si="0"/>
        <v>-150000</v>
      </c>
      <c r="Q15" s="16" t="s">
        <v>45</v>
      </c>
    </row>
    <row r="16" spans="1:17" ht="12" thickBot="1">
      <c r="A16" s="19"/>
      <c r="B16" s="18"/>
      <c r="C16" s="13" t="s">
        <v>46</v>
      </c>
      <c r="D16" s="14">
        <v>23000</v>
      </c>
      <c r="E16" s="14">
        <v>23000</v>
      </c>
      <c r="F16" s="14">
        <v>23000</v>
      </c>
      <c r="G16" s="14">
        <v>23000</v>
      </c>
      <c r="H16" s="14">
        <v>23000</v>
      </c>
      <c r="I16" s="14">
        <v>23000</v>
      </c>
      <c r="J16" s="14">
        <v>23000</v>
      </c>
      <c r="K16" s="14">
        <v>23000</v>
      </c>
      <c r="L16" s="14">
        <v>23000</v>
      </c>
      <c r="M16" s="14">
        <v>23000</v>
      </c>
      <c r="N16" s="14">
        <v>23000</v>
      </c>
      <c r="O16" s="14">
        <v>23000</v>
      </c>
      <c r="P16" s="15">
        <f t="shared" si="0"/>
        <v>276000</v>
      </c>
      <c r="Q16" s="16" t="s">
        <v>47</v>
      </c>
    </row>
    <row r="17" spans="1:17" ht="12" thickBot="1">
      <c r="A17" s="17"/>
      <c r="B17" s="18"/>
      <c r="C17" s="13" t="s">
        <v>48</v>
      </c>
      <c r="D17" s="14">
        <v>417</v>
      </c>
      <c r="E17" s="14">
        <v>417</v>
      </c>
      <c r="F17" s="14">
        <v>417</v>
      </c>
      <c r="G17" s="14">
        <v>417</v>
      </c>
      <c r="H17" s="14">
        <v>417</v>
      </c>
      <c r="I17" s="14">
        <v>417</v>
      </c>
      <c r="J17" s="14">
        <v>417</v>
      </c>
      <c r="K17" s="14">
        <v>417</v>
      </c>
      <c r="L17" s="14">
        <v>416</v>
      </c>
      <c r="M17" s="14">
        <v>416</v>
      </c>
      <c r="N17" s="14">
        <v>416</v>
      </c>
      <c r="O17" s="14">
        <v>416</v>
      </c>
      <c r="P17" s="15">
        <f t="shared" si="0"/>
        <v>5000</v>
      </c>
      <c r="Q17" s="16" t="s">
        <v>47</v>
      </c>
    </row>
    <row r="18" spans="1:17" ht="12" thickBot="1">
      <c r="A18" s="17"/>
      <c r="B18" s="18"/>
      <c r="C18" s="13" t="s">
        <v>49</v>
      </c>
      <c r="D18" s="14">
        <v>0</v>
      </c>
      <c r="E18" s="14">
        <v>11667</v>
      </c>
      <c r="F18" s="14">
        <v>11667</v>
      </c>
      <c r="G18" s="14">
        <v>11667</v>
      </c>
      <c r="H18" s="14">
        <v>11667</v>
      </c>
      <c r="I18" s="14">
        <v>11667</v>
      </c>
      <c r="J18" s="14">
        <v>11667</v>
      </c>
      <c r="K18" s="14">
        <v>11667</v>
      </c>
      <c r="L18" s="14">
        <v>11667</v>
      </c>
      <c r="M18" s="14">
        <v>11666</v>
      </c>
      <c r="N18" s="14">
        <v>11666</v>
      </c>
      <c r="O18" s="14">
        <v>23332</v>
      </c>
      <c r="P18" s="15">
        <f t="shared" si="0"/>
        <v>140000</v>
      </c>
      <c r="Q18" s="16" t="s">
        <v>50</v>
      </c>
    </row>
    <row r="19" spans="1:17" ht="12" thickBot="1">
      <c r="A19" s="17"/>
      <c r="B19" s="18"/>
      <c r="C19" s="13" t="s">
        <v>51</v>
      </c>
      <c r="D19" s="14">
        <v>0</v>
      </c>
      <c r="E19" s="14">
        <v>-70834</v>
      </c>
      <c r="F19" s="14">
        <v>-70834</v>
      </c>
      <c r="G19" s="14">
        <v>-70834</v>
      </c>
      <c r="H19" s="14">
        <v>-70834</v>
      </c>
      <c r="I19" s="14">
        <v>-70833</v>
      </c>
      <c r="J19" s="14">
        <v>-70833</v>
      </c>
      <c r="K19" s="14">
        <v>-70833</v>
      </c>
      <c r="L19" s="14">
        <v>-70833</v>
      </c>
      <c r="M19" s="14">
        <v>-70833</v>
      </c>
      <c r="N19" s="14">
        <v>-70833</v>
      </c>
      <c r="O19" s="14">
        <v>-141666</v>
      </c>
      <c r="P19" s="15">
        <f t="shared" si="0"/>
        <v>-850000</v>
      </c>
      <c r="Q19" s="16" t="s">
        <v>52</v>
      </c>
    </row>
    <row r="20" spans="1:17" s="25" customFormat="1" ht="11.25" customHeight="1">
      <c r="A20" s="20" t="s">
        <v>53</v>
      </c>
      <c r="B20" s="21"/>
      <c r="C20" s="22"/>
      <c r="D20" s="23">
        <f>SUM(D5:D19)</f>
        <v>533224</v>
      </c>
      <c r="E20" s="23">
        <f t="shared" ref="E20:O20" si="1">SUM(E5:E19)</f>
        <v>474057</v>
      </c>
      <c r="F20" s="23">
        <f t="shared" si="1"/>
        <v>461557</v>
      </c>
      <c r="G20" s="23">
        <f t="shared" si="1"/>
        <v>565557</v>
      </c>
      <c r="H20" s="23">
        <f t="shared" si="1"/>
        <v>474057</v>
      </c>
      <c r="I20" s="23">
        <f t="shared" si="1"/>
        <v>471558</v>
      </c>
      <c r="J20" s="23">
        <f t="shared" si="1"/>
        <v>461558</v>
      </c>
      <c r="K20" s="23">
        <f t="shared" si="1"/>
        <v>474058</v>
      </c>
      <c r="L20" s="23">
        <f t="shared" si="1"/>
        <v>461556</v>
      </c>
      <c r="M20" s="23">
        <f t="shared" si="1"/>
        <v>461555</v>
      </c>
      <c r="N20" s="23">
        <f t="shared" si="1"/>
        <v>484055</v>
      </c>
      <c r="O20" s="23">
        <f t="shared" si="1"/>
        <v>399888</v>
      </c>
      <c r="P20" s="23">
        <f>SUM(P5:P19)</f>
        <v>5722680</v>
      </c>
      <c r="Q20" s="24"/>
    </row>
    <row r="21" spans="1:17" ht="11.25" customHeight="1"/>
    <row r="22" spans="1:17" ht="15">
      <c r="C22" s="26" t="s">
        <v>54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8"/>
    </row>
    <row r="23" spans="1:17" ht="15">
      <c r="C23" s="2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1"/>
    </row>
  </sheetData>
  <mergeCells count="3">
    <mergeCell ref="A1:Q1"/>
    <mergeCell ref="D3:P3"/>
    <mergeCell ref="B6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igreringsDokument" ma:contentTypeID="0x010100B015E2879F2C3E49A84E4FBA662FB26A0046F37DEC036D284BBEE537A85881DFA0" ma:contentTypeVersion="8" ma:contentTypeDescription="" ma:contentTypeScope="" ma:versionID="204b4f41741311cf3d4604c45a43f42c">
  <xsd:schema xmlns:xsd="http://www.w3.org/2001/XMLSchema" xmlns:xs="http://www.w3.org/2001/XMLSchema" xmlns:p="http://schemas.microsoft.com/office/2006/metadata/properties" xmlns:ns2="0dd46b0f-e2c7-4a31-a61e-54a1e81a6d74" targetNamespace="http://schemas.microsoft.com/office/2006/metadata/properties" ma:root="true" ma:fieldsID="5e25330f2461cae1f360396c77e972dd" ns2:_="">
    <xsd:import namespace="0dd46b0f-e2c7-4a31-a61e-54a1e81a6d74"/>
    <xsd:element name="properties">
      <xsd:complexType>
        <xsd:sequence>
          <xsd:element name="documentManagement">
            <xsd:complexType>
              <xsd:all>
                <xsd:element ref="ns2:MigrationPath" minOccurs="0"/>
                <xsd:element ref="ns2:MigrationDirectoryID" minOccurs="0"/>
                <xsd:element ref="ns2:MigrationOriginalDate" minOccurs="0"/>
                <xsd:element ref="ns2:j2c2601e249f4d2993f2fcc4fe83f7c1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46b0f-e2c7-4a31-a61e-54a1e81a6d74" elementFormDefault="qualified">
    <xsd:import namespace="http://schemas.microsoft.com/office/2006/documentManagement/types"/>
    <xsd:import namespace="http://schemas.microsoft.com/office/infopath/2007/PartnerControls"/>
    <xsd:element name="MigrationPath" ma:index="8" nillable="true" ma:displayName="Migreringssti" ma:internalName="MigrationPath" ma:readOnly="false">
      <xsd:simpleType>
        <xsd:restriction base="dms:Text">
          <xsd:maxLength value="255"/>
        </xsd:restriction>
      </xsd:simpleType>
    </xsd:element>
    <xsd:element name="MigrationDirectoryID" ma:index="9" nillable="true" ma:displayName="MigreringsFolderId" ma:internalName="MigrationDirectoryID" ma:readOnly="false">
      <xsd:simpleType>
        <xsd:restriction base="dms:Text">
          <xsd:maxLength value="255"/>
        </xsd:restriction>
      </xsd:simpleType>
    </xsd:element>
    <xsd:element name="MigrationOriginalDate" ma:index="10" nillable="true" ma:displayName="Original dato" ma:description="The modified date from the file system" ma:format="DateTime" ma:internalName="MigrationOriginalDate">
      <xsd:simpleType>
        <xsd:restriction base="dms:DateTime"/>
      </xsd:simpleType>
    </xsd:element>
    <xsd:element name="j2c2601e249f4d2993f2fcc4fe83f7c1" ma:index="11" nillable="true" ma:taxonomy="true" ma:internalName="j2c2601e249f4d2993f2fcc4fe83f7c1" ma:taxonomyFieldName="Sensitivity" ma:displayName="Sensitivity" ma:default="" ma:fieldId="{32c2601e-249f-4d29-93f2-fcc4fe83f7c1}" ma:sspId="e6a412d2-aea5-45d9-add9-4615ec186553" ma:termSetId="2400aab3-62fb-4893-836f-46f56c17e615" ma:anchorId="a96bf159-1ff9-48c6-9318-7ab65633f375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adb61e6-50f3-4f94-b9a9-c9b4ea046575}" ma:internalName="TaxCatchAll" ma:showField="CatchAllData" ma:web="45c24c4d-4de2-4a11-996b-ad1b02b5a5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adb61e6-50f3-4f94-b9a9-c9b4ea046575}" ma:internalName="TaxCatchAllLabel" ma:readOnly="true" ma:showField="CatchAllDataLabel" ma:web="45c24c4d-4de2-4a11-996b-ad1b02b5a5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6a412d2-aea5-45d9-add9-4615ec186553" ContentTypeId="0x010100B015E2879F2C3E49A84E4FBA662FB26A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Path xmlns="0dd46b0f-e2c7-4a31-a61e-54a1e81a6d74">\\kk-dfs.kk.dk\of$\KEjd\SERVICE &amp; KUNDER\RÅDHUSSERVICE\Betjent\_Rådhusvagten\Vagtplaner\Regnskab og statistik\Regnskab 2016\17120 Maskinhus - Konti og forbrug 2016.xlsx</MigrationPath>
    <MigrationDirectoryID xmlns="0dd46b0f-e2c7-4a31-a61e-54a1e81a6d74">011B58AB1AC90015BB89C59E58DA0D81D58C94E8</MigrationDirectoryID>
    <MigrationOriginalDate xmlns="0dd46b0f-e2c7-4a31-a61e-54a1e81a6d74" xsi:nil="true"/>
    <TaxCatchAll xmlns="0dd46b0f-e2c7-4a31-a61e-54a1e81a6d74"/>
    <j2c2601e249f4d2993f2fcc4fe83f7c1 xmlns="0dd46b0f-e2c7-4a31-a61e-54a1e81a6d74">
      <Terms xmlns="http://schemas.microsoft.com/office/infopath/2007/PartnerControls"/>
    </j2c2601e249f4d2993f2fcc4fe83f7c1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8C92B-3520-4534-ADA7-A1C377B35A1F}"/>
</file>

<file path=customXml/itemProps2.xml><?xml version="1.0" encoding="utf-8"?>
<ds:datastoreItem xmlns:ds="http://schemas.openxmlformats.org/officeDocument/2006/customXml" ds:itemID="{8394EFDD-2967-44F7-AAED-D94B57973511}"/>
</file>

<file path=customXml/itemProps3.xml><?xml version="1.0" encoding="utf-8"?>
<ds:datastoreItem xmlns:ds="http://schemas.openxmlformats.org/officeDocument/2006/customXml" ds:itemID="{826D1D58-0F62-4AF7-BAEB-AB756327305F}"/>
</file>

<file path=customXml/itemProps4.xml><?xml version="1.0" encoding="utf-8"?>
<ds:datastoreItem xmlns:ds="http://schemas.openxmlformats.org/officeDocument/2006/customXml" ds:itemID="{CEDBC2E1-BD78-4118-B44F-F234152E1F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Københavns Kommune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 Larsen</dc:creator>
  <cp:keywords/>
  <dc:description/>
  <cp:lastModifiedBy>Nick Lorentzen</cp:lastModifiedBy>
  <cp:revision/>
  <dcterms:created xsi:type="dcterms:W3CDTF">2015-10-01T12:32:28Z</dcterms:created>
  <dcterms:modified xsi:type="dcterms:W3CDTF">2021-09-02T08:03:39Z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0x010100B015E2879F2C3E49A84E4FBA662FB26A0046F37DEC036D284BBEE537A85881DFA0</vt:lpwstr>
  </property>
  <property fmtid="{D5CDD505-2E9C-101B-9397-08002B2CF9AE}" pid="3" name="Order">
    <vt:r8>100</vt:r8>
  </property>
  <property fmtid="{D5CDD505-2E9C-101B-9397-08002B2CF9AE}" pid="4" name="Sensitivity">
    <vt:lpwstr/>
  </property>
</Properties>
</file>