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820"/>
  </bookViews>
  <sheets>
    <sheet name="Budget 2016" sheetId="1" r:id="rId1"/>
    <sheet name="Januar" sheetId="2" r:id="rId2"/>
    <sheet name="Februar" sheetId="4" r:id="rId3"/>
  </sheets>
  <calcPr calcId="125725"/>
</workbook>
</file>

<file path=xl/calcChain.xml><?xml version="1.0" encoding="utf-8"?>
<calcChain xmlns="http://schemas.openxmlformats.org/spreadsheetml/2006/main">
  <c r="O31" i="1"/>
  <c r="N31"/>
  <c r="M31"/>
  <c r="L31"/>
  <c r="K31"/>
  <c r="J31"/>
  <c r="I31"/>
  <c r="H31"/>
  <c r="G31"/>
  <c r="F31"/>
  <c r="E31"/>
  <c r="D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P9"/>
  <c r="P8"/>
  <c r="P7"/>
  <c r="P31" s="1"/>
  <c r="P6"/>
  <c r="P5"/>
</calcChain>
</file>

<file path=xl/sharedStrings.xml><?xml version="1.0" encoding="utf-8"?>
<sst xmlns="http://schemas.openxmlformats.org/spreadsheetml/2006/main" count="79" uniqueCount="68">
  <si>
    <t>17210 - Kejd Post &amp; Scanning - Budget 2016</t>
  </si>
  <si>
    <t>Organisation</t>
  </si>
  <si>
    <t>Område nr. og navn</t>
  </si>
  <si>
    <t>Standardkonto nr. og navn</t>
  </si>
  <si>
    <t>Budgettal</t>
  </si>
  <si>
    <t>Område</t>
  </si>
  <si>
    <t>Standardkonto Underopdeling</t>
  </si>
  <si>
    <t>Budget 01</t>
  </si>
  <si>
    <t>Budget 02</t>
  </si>
  <si>
    <t>Budget 03</t>
  </si>
  <si>
    <t>Budget 04</t>
  </si>
  <si>
    <t>Budget 05</t>
  </si>
  <si>
    <t>Budget 06</t>
  </si>
  <si>
    <t>Budget 07</t>
  </si>
  <si>
    <t>Budget 08</t>
  </si>
  <si>
    <t>Budget 09</t>
  </si>
  <si>
    <t>Budget 10</t>
  </si>
  <si>
    <t>Budget 11</t>
  </si>
  <si>
    <t>Budget 12</t>
  </si>
  <si>
    <t>Budget 2016</t>
  </si>
  <si>
    <t>Bemærkning/forudsætninger</t>
  </si>
  <si>
    <t>17210 - KEjd Post &amp; Scanning</t>
  </si>
  <si>
    <t>0000 - Løn</t>
  </si>
  <si>
    <t>1000100000 - OPUS løn (grænsesnit 1721004411)</t>
  </si>
  <si>
    <t>Samlet løn: Post: 1.574.800 - Skanning: 2.211.400 + samlet 10.383 i løneftersyn for 2016</t>
  </si>
  <si>
    <t>0022 -  Post</t>
  </si>
  <si>
    <t>2310100000 - Benzin</t>
  </si>
  <si>
    <t>Benzin</t>
  </si>
  <si>
    <t>2709900000 - Øvrige anskaffelser</t>
  </si>
  <si>
    <t>Ny bil</t>
  </si>
  <si>
    <t>2909900000 - Øvrige varekøb</t>
  </si>
  <si>
    <t>Diverse varekøb der ikke passer ind på en anden konto</t>
  </si>
  <si>
    <t>2911800000 - Arbejdstøj</t>
  </si>
  <si>
    <t>Arbejdstøj</t>
  </si>
  <si>
    <t>4009900000 - Øvrige tjenesteydelser uden moms</t>
  </si>
  <si>
    <t>P-abonnement (u. moms), leje af bil, grøn ejerafgift, vægtafgift</t>
  </si>
  <si>
    <t>4010400000 - Porto</t>
  </si>
  <si>
    <t>Porto - Post Danmark</t>
  </si>
  <si>
    <t>4516500000 - Servicekontrakter</t>
  </si>
  <si>
    <t>Serviceaftale bil (AutoNorden), servicekontrakt kaffemaskine, Post Danmark afhentning af breve</t>
  </si>
  <si>
    <t>4909900000 - Øvrige tjenesteydelser med moms</t>
  </si>
  <si>
    <t>P-abonnement (m.moms), rep af biler</t>
  </si>
  <si>
    <t>4910300000 - Fragt og varetransport</t>
  </si>
  <si>
    <t>Post Danmark - Pakkepost</t>
  </si>
  <si>
    <t>4911800000 - Leje/Leasing med moms</t>
  </si>
  <si>
    <t>Frankeringsmaskine, leje af bil</t>
  </si>
  <si>
    <t>7909900000 - Øvrige indtægter</t>
  </si>
  <si>
    <t>Pakkepost, frankering mv. for eksterne</t>
  </si>
  <si>
    <t>9820000000 - Intern - Overførte varekøb</t>
  </si>
  <si>
    <t>Interne varekøb</t>
  </si>
  <si>
    <t>9840000000 - Intern - Overførte tjenesteydelser</t>
  </si>
  <si>
    <t>Pakkepost intern, kørsel med varer, arrangementer</t>
  </si>
  <si>
    <t>9840500000 - Intern - IT-Ydelser</t>
  </si>
  <si>
    <t>Remedy</t>
  </si>
  <si>
    <t>9845000008 - Intern forsikringspræmie</t>
  </si>
  <si>
    <t>NY: Forsikring biler - kommer fra KS</t>
  </si>
  <si>
    <t>9845400000 - Intern - Betjentfunktioner og vagtordning</t>
  </si>
  <si>
    <t>Postkontrakter (eksklusiv postaftale med Teknisk service og eksklusiv indtægt for ½ Elisabeth)</t>
  </si>
  <si>
    <t>9870000000 - Intern - indtægter</t>
  </si>
  <si>
    <t>Frankering</t>
  </si>
  <si>
    <t>9845500000 - Intern - Rengøring</t>
  </si>
  <si>
    <t>Rengøring og kaffeautomat</t>
  </si>
  <si>
    <t>0023 - Skanning</t>
  </si>
  <si>
    <t>Bl.a. rensning af scanner (u.moms)</t>
  </si>
  <si>
    <t>Servicekontrakt scanner</t>
  </si>
  <si>
    <t>Bl.a. rensning af scanner (m.moms)</t>
  </si>
  <si>
    <t>Diverse interne varekøb</t>
  </si>
  <si>
    <t>Opkrævning til skannning og drift af skanningscentralen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</si>
</sst>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rgb="FF333399"/>
      <name val="Arial"/>
      <family val="2"/>
    </font>
    <font>
      <sz val="9"/>
      <color indexed="8"/>
      <name val="Arial"/>
      <family val="2"/>
    </font>
    <font>
      <sz val="9"/>
      <color rgb="FF333366"/>
      <name val="Arial"/>
      <family val="2"/>
    </font>
    <font>
      <sz val="9"/>
      <color rgb="FF000000"/>
      <name val="Arial"/>
      <family val="2"/>
    </font>
    <font>
      <sz val="9"/>
      <color rgb="FF003366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F7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CCC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medium">
        <color rgb="FF979991"/>
      </left>
      <right style="thin">
        <color rgb="FF000000"/>
      </right>
      <top style="thin">
        <color indexed="64"/>
      </top>
      <bottom/>
      <diagonal/>
    </border>
    <border>
      <left style="medium">
        <color rgb="FF979991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97999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979991"/>
      </left>
      <right/>
      <top style="medium">
        <color indexed="64"/>
      </top>
      <bottom style="medium">
        <color indexed="64"/>
      </bottom>
      <diagonal/>
    </border>
    <border>
      <left style="thin">
        <color rgb="FF97999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979991"/>
      </left>
      <right/>
      <top style="medium">
        <color indexed="64"/>
      </top>
      <bottom/>
      <diagonal/>
    </border>
    <border>
      <left style="thin">
        <color rgb="FF97999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indexed="64"/>
      </right>
      <top style="thin">
        <color rgb="FF979991"/>
      </top>
      <bottom/>
      <diagonal/>
    </border>
    <border>
      <left style="thin">
        <color indexed="64"/>
      </left>
      <right style="medium">
        <color indexed="64"/>
      </right>
      <top style="thin">
        <color rgb="FF97999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79991"/>
      </left>
      <right/>
      <top style="thin">
        <color rgb="FF979991"/>
      </top>
      <bottom style="medium">
        <color indexed="64"/>
      </bottom>
      <diagonal/>
    </border>
    <border>
      <left style="thin">
        <color rgb="FF979991"/>
      </left>
      <right style="thin">
        <color indexed="64"/>
      </right>
      <top style="thin">
        <color rgb="FF97999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97999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3" fillId="2" borderId="0" xfId="0" applyFont="1" applyFill="1"/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Fill="1"/>
    <xf numFmtId="0" fontId="6" fillId="3" borderId="1" xfId="1" applyFont="1" applyFill="1" applyBorder="1" applyAlignment="1">
      <alignment wrapText="1"/>
    </xf>
    <xf numFmtId="0" fontId="6" fillId="3" borderId="2" xfId="1" applyFont="1" applyFill="1" applyBorder="1" applyAlignment="1">
      <alignment wrapText="1"/>
    </xf>
    <xf numFmtId="0" fontId="5" fillId="0" borderId="5" xfId="0" applyFont="1" applyBorder="1" applyAlignment="1">
      <alignment horizontal="left" wrapText="1"/>
    </xf>
    <xf numFmtId="0" fontId="8" fillId="5" borderId="1" xfId="1" applyFont="1" applyFill="1" applyBorder="1" applyAlignment="1">
      <alignment wrapText="1"/>
    </xf>
    <xf numFmtId="0" fontId="8" fillId="5" borderId="2" xfId="1" applyFont="1" applyFill="1" applyBorder="1" applyAlignment="1">
      <alignment wrapText="1"/>
    </xf>
    <xf numFmtId="0" fontId="7" fillId="5" borderId="6" xfId="1" applyFont="1" applyFill="1" applyBorder="1" applyAlignment="1">
      <alignment wrapText="1"/>
    </xf>
    <xf numFmtId="0" fontId="7" fillId="5" borderId="7" xfId="1" applyFont="1" applyFill="1" applyBorder="1" applyAlignment="1">
      <alignment wrapText="1"/>
    </xf>
    <xf numFmtId="0" fontId="7" fillId="5" borderId="8" xfId="1" applyFont="1" applyFill="1" applyBorder="1" applyAlignment="1">
      <alignment wrapText="1"/>
    </xf>
    <xf numFmtId="0" fontId="9" fillId="5" borderId="2" xfId="0" applyFont="1" applyFill="1" applyBorder="1" applyAlignment="1">
      <alignment horizontal="left" vertical="top" wrapText="1"/>
    </xf>
    <xf numFmtId="0" fontId="9" fillId="6" borderId="10" xfId="0" applyFont="1" applyFill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3" fontId="9" fillId="0" borderId="11" xfId="0" applyNumberFormat="1" applyFont="1" applyBorder="1" applyAlignment="1">
      <alignment horizontal="right" vertical="top" wrapText="1"/>
    </xf>
    <xf numFmtId="3" fontId="9" fillId="7" borderId="12" xfId="0" applyNumberFormat="1" applyFont="1" applyFill="1" applyBorder="1" applyAlignment="1">
      <alignment horizontal="right" vertical="top" wrapText="1"/>
    </xf>
    <xf numFmtId="3" fontId="9" fillId="8" borderId="13" xfId="0" applyNumberFormat="1" applyFont="1" applyFill="1" applyBorder="1" applyAlignment="1">
      <alignment horizontal="left" vertical="top" wrapText="1"/>
    </xf>
    <xf numFmtId="0" fontId="9" fillId="9" borderId="15" xfId="0" applyFont="1" applyFill="1" applyBorder="1" applyAlignment="1">
      <alignment horizontal="left" vertical="top" wrapText="1"/>
    </xf>
    <xf numFmtId="0" fontId="9" fillId="0" borderId="16" xfId="0" applyFont="1" applyBorder="1" applyAlignment="1">
      <alignment horizontal="left" vertical="top" wrapText="1"/>
    </xf>
    <xf numFmtId="3" fontId="9" fillId="0" borderId="16" xfId="0" applyNumberFormat="1" applyFont="1" applyBorder="1" applyAlignment="1">
      <alignment horizontal="right" vertical="top" wrapText="1"/>
    </xf>
    <xf numFmtId="3" fontId="9" fillId="7" borderId="17" xfId="0" applyNumberFormat="1" applyFont="1" applyFill="1" applyBorder="1" applyAlignment="1">
      <alignment horizontal="right" vertical="top" wrapText="1"/>
    </xf>
    <xf numFmtId="3" fontId="9" fillId="8" borderId="18" xfId="0" applyNumberFormat="1" applyFont="1" applyFill="1" applyBorder="1" applyAlignment="1">
      <alignment horizontal="left" vertical="top" wrapText="1"/>
    </xf>
    <xf numFmtId="0" fontId="9" fillId="9" borderId="19" xfId="0" applyFont="1" applyFill="1" applyBorder="1" applyAlignment="1">
      <alignment horizontal="left" vertical="top" wrapText="1"/>
    </xf>
    <xf numFmtId="0" fontId="9" fillId="0" borderId="20" xfId="0" applyFont="1" applyBorder="1" applyAlignment="1">
      <alignment horizontal="left" vertical="top" wrapText="1"/>
    </xf>
    <xf numFmtId="3" fontId="9" fillId="0" borderId="20" xfId="0" applyNumberFormat="1" applyFont="1" applyBorder="1" applyAlignment="1">
      <alignment horizontal="right" vertical="top" wrapText="1"/>
    </xf>
    <xf numFmtId="3" fontId="9" fillId="7" borderId="21" xfId="0" applyNumberFormat="1" applyFont="1" applyFill="1" applyBorder="1" applyAlignment="1">
      <alignment horizontal="right" vertical="top" wrapText="1"/>
    </xf>
    <xf numFmtId="3" fontId="9" fillId="8" borderId="22" xfId="0" applyNumberFormat="1" applyFont="1" applyFill="1" applyBorder="1" applyAlignment="1">
      <alignment horizontal="left" vertical="top" wrapText="1"/>
    </xf>
    <xf numFmtId="0" fontId="9" fillId="9" borderId="23" xfId="0" applyFont="1" applyFill="1" applyBorder="1" applyAlignment="1">
      <alignment horizontal="left" vertical="top" wrapText="1"/>
    </xf>
    <xf numFmtId="0" fontId="9" fillId="0" borderId="24" xfId="0" applyFont="1" applyBorder="1" applyAlignment="1">
      <alignment horizontal="left" vertical="top" wrapText="1"/>
    </xf>
    <xf numFmtId="3" fontId="9" fillId="0" borderId="24" xfId="0" applyNumberFormat="1" applyFont="1" applyBorder="1" applyAlignment="1">
      <alignment horizontal="right" vertical="top" wrapText="1"/>
    </xf>
    <xf numFmtId="3" fontId="9" fillId="7" borderId="25" xfId="0" applyNumberFormat="1" applyFont="1" applyFill="1" applyBorder="1" applyAlignment="1">
      <alignment horizontal="right" vertical="top" wrapText="1"/>
    </xf>
    <xf numFmtId="3" fontId="9" fillId="8" borderId="26" xfId="0" applyNumberFormat="1" applyFont="1" applyFill="1" applyBorder="1" applyAlignment="1">
      <alignment horizontal="left" vertical="top" wrapText="1"/>
    </xf>
    <xf numFmtId="0" fontId="9" fillId="10" borderId="15" xfId="0" applyFont="1" applyFill="1" applyBorder="1" applyAlignment="1">
      <alignment horizontal="left" vertical="top" wrapText="1"/>
    </xf>
    <xf numFmtId="0" fontId="9" fillId="10" borderId="19" xfId="0" applyFont="1" applyFill="1" applyBorder="1" applyAlignment="1">
      <alignment horizontal="left" vertical="top" wrapText="1"/>
    </xf>
    <xf numFmtId="0" fontId="9" fillId="10" borderId="23" xfId="0" applyFont="1" applyFill="1" applyBorder="1" applyAlignment="1">
      <alignment horizontal="left" vertical="top" wrapText="1"/>
    </xf>
    <xf numFmtId="0" fontId="10" fillId="11" borderId="10" xfId="0" applyFont="1" applyFill="1" applyBorder="1" applyAlignment="1">
      <alignment horizontal="left" vertical="top" wrapText="1"/>
    </xf>
    <xf numFmtId="0" fontId="9" fillId="11" borderId="28" xfId="0" applyFont="1" applyFill="1" applyBorder="1" applyAlignment="1">
      <alignment horizontal="left" vertical="top" wrapText="1"/>
    </xf>
    <xf numFmtId="0" fontId="9" fillId="11" borderId="11" xfId="0" applyFont="1" applyFill="1" applyBorder="1" applyAlignment="1">
      <alignment horizontal="left" vertical="top" wrapText="1"/>
    </xf>
    <xf numFmtId="3" fontId="9" fillId="11" borderId="11" xfId="0" applyNumberFormat="1" applyFont="1" applyFill="1" applyBorder="1" applyAlignment="1">
      <alignment horizontal="right" vertical="top" wrapText="1"/>
    </xf>
    <xf numFmtId="3" fontId="10" fillId="11" borderId="12" xfId="0" applyNumberFormat="1" applyFont="1" applyFill="1" applyBorder="1" applyAlignment="1">
      <alignment horizontal="right" vertical="top" wrapText="1"/>
    </xf>
    <xf numFmtId="3" fontId="9" fillId="11" borderId="13" xfId="0" applyNumberFormat="1" applyFont="1" applyFill="1" applyBorder="1" applyAlignment="1">
      <alignment horizontal="left" vertical="top" wrapText="1"/>
    </xf>
    <xf numFmtId="0" fontId="5" fillId="0" borderId="0" xfId="0" applyFont="1"/>
    <xf numFmtId="3" fontId="5" fillId="0" borderId="0" xfId="0" applyNumberFormat="1" applyFont="1"/>
    <xf numFmtId="3" fontId="5" fillId="0" borderId="0" xfId="0" applyNumberFormat="1" applyFont="1" applyAlignment="1">
      <alignment horizontal="left" wrapText="1"/>
    </xf>
    <xf numFmtId="0" fontId="4" fillId="0" borderId="0" xfId="1" applyFont="1" applyAlignment="1">
      <alignment horizontal="left" wrapText="1"/>
    </xf>
    <xf numFmtId="0" fontId="7" fillId="4" borderId="3" xfId="1" applyFont="1" applyFill="1" applyBorder="1" applyAlignment="1">
      <alignment wrapText="1"/>
    </xf>
    <xf numFmtId="0" fontId="7" fillId="4" borderId="4" xfId="1" applyFont="1" applyFill="1" applyBorder="1" applyAlignment="1">
      <alignment wrapText="1"/>
    </xf>
    <xf numFmtId="0" fontId="9" fillId="0" borderId="9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center" vertical="top" wrapText="1"/>
    </xf>
    <xf numFmtId="0" fontId="9" fillId="0" borderId="27" xfId="0" applyFont="1" applyBorder="1" applyAlignment="1">
      <alignment horizontal="center" vertical="top" wrapText="1"/>
    </xf>
  </cellXfs>
  <cellStyles count="2">
    <cellStyle name="Normal" xfId="0" builtinId="0"/>
    <cellStyle name="Normal 4 10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>
      <selection activeCell="A5" sqref="A5:A30"/>
    </sheetView>
  </sheetViews>
  <sheetFormatPr defaultRowHeight="12" outlineLevelCol="1"/>
  <cols>
    <col min="1" max="1" width="15.28515625" style="45" bestFit="1" customWidth="1"/>
    <col min="2" max="2" width="10.42578125" style="45" bestFit="1" customWidth="1"/>
    <col min="3" max="3" width="37.42578125" style="45" customWidth="1"/>
    <col min="4" max="5" width="9" style="45" bestFit="1" customWidth="1" outlineLevel="1"/>
    <col min="6" max="7" width="9.42578125" style="45" bestFit="1" customWidth="1" outlineLevel="1"/>
    <col min="8" max="9" width="9" style="45" bestFit="1" customWidth="1" outlineLevel="1"/>
    <col min="10" max="11" width="9.42578125" style="45" bestFit="1" customWidth="1" outlineLevel="1"/>
    <col min="12" max="15" width="9" style="45" bestFit="1" customWidth="1" outlineLevel="1"/>
    <col min="16" max="16" width="11" style="45" bestFit="1" customWidth="1" outlineLevel="1" collapsed="1"/>
    <col min="17" max="17" width="50.42578125" style="5" bestFit="1" customWidth="1"/>
    <col min="18" max="16384" width="9.140625" style="6"/>
  </cols>
  <sheetData>
    <row r="1" spans="1:17" s="2" customFormat="1" ht="15.75">
      <c r="A1" s="1" t="s">
        <v>0</v>
      </c>
      <c r="O1" s="3"/>
      <c r="P1" s="4"/>
    </row>
    <row r="2" spans="1:17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7" ht="24">
      <c r="A3" s="7" t="s">
        <v>1</v>
      </c>
      <c r="B3" s="7" t="s">
        <v>2</v>
      </c>
      <c r="C3" s="8" t="s">
        <v>3</v>
      </c>
      <c r="D3" s="49" t="s">
        <v>4</v>
      </c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50"/>
      <c r="Q3" s="9"/>
    </row>
    <row r="4" spans="1:17" ht="12.75" thickBot="1">
      <c r="A4" s="10" t="s">
        <v>1</v>
      </c>
      <c r="B4" s="10" t="s">
        <v>5</v>
      </c>
      <c r="C4" s="11" t="s">
        <v>6</v>
      </c>
      <c r="D4" s="12" t="s">
        <v>7</v>
      </c>
      <c r="E4" s="13" t="s">
        <v>8</v>
      </c>
      <c r="F4" s="13" t="s">
        <v>9</v>
      </c>
      <c r="G4" s="13" t="s">
        <v>10</v>
      </c>
      <c r="H4" s="13" t="s">
        <v>11</v>
      </c>
      <c r="I4" s="13" t="s">
        <v>12</v>
      </c>
      <c r="J4" s="13" t="s">
        <v>13</v>
      </c>
      <c r="K4" s="13" t="s">
        <v>14</v>
      </c>
      <c r="L4" s="13" t="s">
        <v>15</v>
      </c>
      <c r="M4" s="13" t="s">
        <v>16</v>
      </c>
      <c r="N4" s="13" t="s">
        <v>17</v>
      </c>
      <c r="O4" s="13" t="s">
        <v>18</v>
      </c>
      <c r="P4" s="14" t="s">
        <v>19</v>
      </c>
      <c r="Q4" s="15" t="s">
        <v>20</v>
      </c>
    </row>
    <row r="5" spans="1:17" ht="24.75" thickBot="1">
      <c r="A5" s="51" t="s">
        <v>21</v>
      </c>
      <c r="B5" s="16" t="s">
        <v>22</v>
      </c>
      <c r="C5" s="17" t="s">
        <v>23</v>
      </c>
      <c r="D5" s="18">
        <v>310765</v>
      </c>
      <c r="E5" s="18">
        <v>310766</v>
      </c>
      <c r="F5" s="18">
        <v>310766</v>
      </c>
      <c r="G5" s="18">
        <v>378166</v>
      </c>
      <c r="H5" s="18">
        <v>310765</v>
      </c>
      <c r="I5" s="18">
        <v>310765</v>
      </c>
      <c r="J5" s="18">
        <v>310765</v>
      </c>
      <c r="K5" s="18">
        <v>310765</v>
      </c>
      <c r="L5" s="18">
        <v>310765</v>
      </c>
      <c r="M5" s="18">
        <v>310765</v>
      </c>
      <c r="N5" s="18">
        <v>310765</v>
      </c>
      <c r="O5" s="18">
        <v>310765</v>
      </c>
      <c r="P5" s="19">
        <f>SUM(D5:O5)</f>
        <v>3796583</v>
      </c>
      <c r="Q5" s="20" t="s">
        <v>24</v>
      </c>
    </row>
    <row r="6" spans="1:17">
      <c r="A6" s="52"/>
      <c r="B6" s="21" t="s">
        <v>25</v>
      </c>
      <c r="C6" s="22" t="s">
        <v>26</v>
      </c>
      <c r="D6" s="23">
        <v>5000</v>
      </c>
      <c r="E6" s="23">
        <v>5000</v>
      </c>
      <c r="F6" s="23">
        <v>5000</v>
      </c>
      <c r="G6" s="23">
        <v>5000</v>
      </c>
      <c r="H6" s="23">
        <v>5000</v>
      </c>
      <c r="I6" s="23">
        <v>5000</v>
      </c>
      <c r="J6" s="23">
        <v>5000</v>
      </c>
      <c r="K6" s="23">
        <v>5000</v>
      </c>
      <c r="L6" s="23">
        <v>5000</v>
      </c>
      <c r="M6" s="23">
        <v>5000</v>
      </c>
      <c r="N6" s="23">
        <v>5000</v>
      </c>
      <c r="O6" s="23">
        <v>5000</v>
      </c>
      <c r="P6" s="24">
        <f t="shared" ref="P6:P30" si="0">SUM(D6:O6)</f>
        <v>60000</v>
      </c>
      <c r="Q6" s="25" t="s">
        <v>27</v>
      </c>
    </row>
    <row r="7" spans="1:17">
      <c r="A7" s="52"/>
      <c r="B7" s="26"/>
      <c r="C7" s="27" t="s">
        <v>28</v>
      </c>
      <c r="D7" s="28"/>
      <c r="E7" s="28"/>
      <c r="F7" s="28"/>
      <c r="G7" s="28"/>
      <c r="H7" s="28"/>
      <c r="I7" s="28">
        <v>200000</v>
      </c>
      <c r="J7" s="28"/>
      <c r="K7" s="28"/>
      <c r="L7" s="28"/>
      <c r="M7" s="28"/>
      <c r="N7" s="28"/>
      <c r="O7" s="28"/>
      <c r="P7" s="29">
        <f t="shared" si="0"/>
        <v>200000</v>
      </c>
      <c r="Q7" s="30" t="s">
        <v>29</v>
      </c>
    </row>
    <row r="8" spans="1:17">
      <c r="A8" s="52"/>
      <c r="B8" s="26"/>
      <c r="C8" s="27" t="s">
        <v>30</v>
      </c>
      <c r="D8" s="28">
        <v>5000</v>
      </c>
      <c r="E8" s="28">
        <v>5000</v>
      </c>
      <c r="F8" s="28">
        <v>5000</v>
      </c>
      <c r="G8" s="28">
        <v>5000</v>
      </c>
      <c r="H8" s="28">
        <v>5000</v>
      </c>
      <c r="I8" s="28">
        <v>5000</v>
      </c>
      <c r="J8" s="28">
        <v>5000</v>
      </c>
      <c r="K8" s="28">
        <v>5000</v>
      </c>
      <c r="L8" s="28">
        <v>5000</v>
      </c>
      <c r="M8" s="28">
        <v>5000</v>
      </c>
      <c r="N8" s="28">
        <v>5000</v>
      </c>
      <c r="O8" s="28">
        <v>5000</v>
      </c>
      <c r="P8" s="29">
        <f t="shared" si="0"/>
        <v>60000</v>
      </c>
      <c r="Q8" s="30" t="s">
        <v>31</v>
      </c>
    </row>
    <row r="9" spans="1:17">
      <c r="A9" s="52"/>
      <c r="B9" s="26"/>
      <c r="C9" s="27" t="s">
        <v>32</v>
      </c>
      <c r="D9" s="28"/>
      <c r="E9" s="28">
        <v>10000</v>
      </c>
      <c r="F9" s="28"/>
      <c r="G9" s="28"/>
      <c r="H9" s="28">
        <v>10000</v>
      </c>
      <c r="I9" s="28"/>
      <c r="J9" s="28"/>
      <c r="K9" s="28">
        <v>10000</v>
      </c>
      <c r="L9" s="28"/>
      <c r="M9" s="28"/>
      <c r="N9" s="28">
        <v>10000</v>
      </c>
      <c r="O9" s="28"/>
      <c r="P9" s="29">
        <f t="shared" si="0"/>
        <v>40000</v>
      </c>
      <c r="Q9" s="30" t="s">
        <v>33</v>
      </c>
    </row>
    <row r="10" spans="1:17" ht="24">
      <c r="A10" s="52"/>
      <c r="B10" s="26"/>
      <c r="C10" s="27" t="s">
        <v>34</v>
      </c>
      <c r="D10" s="28">
        <v>3334</v>
      </c>
      <c r="E10" s="28">
        <v>3334</v>
      </c>
      <c r="F10" s="28">
        <v>3334</v>
      </c>
      <c r="G10" s="28">
        <v>3334</v>
      </c>
      <c r="H10" s="28">
        <v>3333</v>
      </c>
      <c r="I10" s="28">
        <v>3333</v>
      </c>
      <c r="J10" s="28">
        <v>3333</v>
      </c>
      <c r="K10" s="28">
        <v>3333</v>
      </c>
      <c r="L10" s="28">
        <v>3333</v>
      </c>
      <c r="M10" s="28">
        <v>3333</v>
      </c>
      <c r="N10" s="28">
        <v>3333</v>
      </c>
      <c r="O10" s="28">
        <v>3333</v>
      </c>
      <c r="P10" s="29">
        <f t="shared" si="0"/>
        <v>40000</v>
      </c>
      <c r="Q10" s="30" t="s">
        <v>35</v>
      </c>
    </row>
    <row r="11" spans="1:17">
      <c r="A11" s="52"/>
      <c r="B11" s="26"/>
      <c r="C11" s="27" t="s">
        <v>36</v>
      </c>
      <c r="D11" s="28">
        <v>150000</v>
      </c>
      <c r="E11" s="28">
        <v>150000</v>
      </c>
      <c r="F11" s="28">
        <v>150000</v>
      </c>
      <c r="G11" s="28">
        <v>150000</v>
      </c>
      <c r="H11" s="28">
        <v>150000</v>
      </c>
      <c r="I11" s="28">
        <v>150000</v>
      </c>
      <c r="J11" s="28">
        <v>150000</v>
      </c>
      <c r="K11" s="28">
        <v>150000</v>
      </c>
      <c r="L11" s="28">
        <v>150000</v>
      </c>
      <c r="M11" s="28">
        <v>150000</v>
      </c>
      <c r="N11" s="28">
        <v>150000</v>
      </c>
      <c r="O11" s="28">
        <v>150000</v>
      </c>
      <c r="P11" s="29">
        <f t="shared" si="0"/>
        <v>1800000</v>
      </c>
      <c r="Q11" s="30" t="s">
        <v>37</v>
      </c>
    </row>
    <row r="12" spans="1:17" ht="24">
      <c r="A12" s="52"/>
      <c r="B12" s="26"/>
      <c r="C12" s="27" t="s">
        <v>38</v>
      </c>
      <c r="D12" s="28"/>
      <c r="E12" s="28">
        <v>20000</v>
      </c>
      <c r="F12" s="28"/>
      <c r="G12" s="28"/>
      <c r="H12" s="28">
        <v>20000</v>
      </c>
      <c r="I12" s="28"/>
      <c r="J12" s="28"/>
      <c r="K12" s="28">
        <v>20000</v>
      </c>
      <c r="L12" s="28"/>
      <c r="M12" s="28"/>
      <c r="N12" s="28">
        <v>20000</v>
      </c>
      <c r="O12" s="28"/>
      <c r="P12" s="29">
        <f t="shared" si="0"/>
        <v>80000</v>
      </c>
      <c r="Q12" s="30" t="s">
        <v>39</v>
      </c>
    </row>
    <row r="13" spans="1:17" ht="24">
      <c r="A13" s="52"/>
      <c r="B13" s="26"/>
      <c r="C13" s="27" t="s">
        <v>40</v>
      </c>
      <c r="D13" s="28">
        <v>16667</v>
      </c>
      <c r="E13" s="28">
        <v>16667</v>
      </c>
      <c r="F13" s="28">
        <v>16667</v>
      </c>
      <c r="G13" s="28">
        <v>16667</v>
      </c>
      <c r="H13" s="28">
        <v>16667</v>
      </c>
      <c r="I13" s="28">
        <v>16667</v>
      </c>
      <c r="J13" s="28">
        <v>16667</v>
      </c>
      <c r="K13" s="28">
        <v>16667</v>
      </c>
      <c r="L13" s="28">
        <v>16666</v>
      </c>
      <c r="M13" s="28">
        <v>16666</v>
      </c>
      <c r="N13" s="28">
        <v>16666</v>
      </c>
      <c r="O13" s="28">
        <v>16666</v>
      </c>
      <c r="P13" s="29">
        <f t="shared" si="0"/>
        <v>200000</v>
      </c>
      <c r="Q13" s="30" t="s">
        <v>41</v>
      </c>
    </row>
    <row r="14" spans="1:17">
      <c r="A14" s="52"/>
      <c r="B14" s="26"/>
      <c r="C14" s="27" t="s">
        <v>42</v>
      </c>
      <c r="D14" s="28">
        <v>5000</v>
      </c>
      <c r="E14" s="28">
        <v>5000</v>
      </c>
      <c r="F14" s="28">
        <v>5000</v>
      </c>
      <c r="G14" s="28">
        <v>5000</v>
      </c>
      <c r="H14" s="28">
        <v>5000</v>
      </c>
      <c r="I14" s="28">
        <v>5000</v>
      </c>
      <c r="J14" s="28">
        <v>5000</v>
      </c>
      <c r="K14" s="28">
        <v>5000</v>
      </c>
      <c r="L14" s="28">
        <v>5000</v>
      </c>
      <c r="M14" s="28">
        <v>5000</v>
      </c>
      <c r="N14" s="28">
        <v>5000</v>
      </c>
      <c r="O14" s="28">
        <v>5000</v>
      </c>
      <c r="P14" s="29">
        <f t="shared" si="0"/>
        <v>60000</v>
      </c>
      <c r="Q14" s="30" t="s">
        <v>43</v>
      </c>
    </row>
    <row r="15" spans="1:17">
      <c r="A15" s="52"/>
      <c r="B15" s="26"/>
      <c r="C15" s="27" t="s">
        <v>44</v>
      </c>
      <c r="D15" s="28">
        <v>30000</v>
      </c>
      <c r="E15" s="28"/>
      <c r="F15" s="28"/>
      <c r="G15" s="28">
        <v>30000</v>
      </c>
      <c r="H15" s="28"/>
      <c r="I15" s="28"/>
      <c r="J15" s="28">
        <v>30000</v>
      </c>
      <c r="K15" s="28"/>
      <c r="L15" s="28"/>
      <c r="M15" s="28">
        <v>30000</v>
      </c>
      <c r="N15" s="28"/>
      <c r="O15" s="28"/>
      <c r="P15" s="29">
        <f t="shared" si="0"/>
        <v>120000</v>
      </c>
      <c r="Q15" s="30" t="s">
        <v>45</v>
      </c>
    </row>
    <row r="16" spans="1:17">
      <c r="A16" s="52"/>
      <c r="B16" s="26"/>
      <c r="C16" s="27" t="s">
        <v>46</v>
      </c>
      <c r="D16" s="28">
        <v>-6667</v>
      </c>
      <c r="E16" s="28">
        <v>-6667</v>
      </c>
      <c r="F16" s="28">
        <v>-6667</v>
      </c>
      <c r="G16" s="28">
        <v>-6667</v>
      </c>
      <c r="H16" s="28">
        <v>-6667</v>
      </c>
      <c r="I16" s="28">
        <v>-6667</v>
      </c>
      <c r="J16" s="28">
        <v>-6667</v>
      </c>
      <c r="K16" s="28">
        <v>-6667</v>
      </c>
      <c r="L16" s="28">
        <v>-6666</v>
      </c>
      <c r="M16" s="28">
        <v>-6666</v>
      </c>
      <c r="N16" s="28">
        <v>-6666</v>
      </c>
      <c r="O16" s="28">
        <v>-6666</v>
      </c>
      <c r="P16" s="29">
        <f t="shared" si="0"/>
        <v>-80000</v>
      </c>
      <c r="Q16" s="30" t="s">
        <v>47</v>
      </c>
    </row>
    <row r="17" spans="1:17">
      <c r="A17" s="52"/>
      <c r="B17" s="26"/>
      <c r="C17" s="27" t="s">
        <v>48</v>
      </c>
      <c r="D17" s="28"/>
      <c r="E17" s="28"/>
      <c r="F17" s="28"/>
      <c r="G17" s="28"/>
      <c r="H17" s="28"/>
      <c r="I17" s="28">
        <v>2000</v>
      </c>
      <c r="J17" s="28"/>
      <c r="K17" s="28"/>
      <c r="L17" s="28"/>
      <c r="M17" s="28"/>
      <c r="N17" s="28"/>
      <c r="O17" s="28"/>
      <c r="P17" s="29">
        <f t="shared" si="0"/>
        <v>2000</v>
      </c>
      <c r="Q17" s="30" t="s">
        <v>49</v>
      </c>
    </row>
    <row r="18" spans="1:17" ht="24">
      <c r="A18" s="52"/>
      <c r="B18" s="26"/>
      <c r="C18" s="27" t="s">
        <v>50</v>
      </c>
      <c r="D18" s="28"/>
      <c r="E18" s="28">
        <v>-11364</v>
      </c>
      <c r="F18" s="28">
        <v>-11364</v>
      </c>
      <c r="G18" s="28">
        <v>-11364</v>
      </c>
      <c r="H18" s="28">
        <v>-11364</v>
      </c>
      <c r="I18" s="28">
        <v>-11364</v>
      </c>
      <c r="J18" s="28">
        <v>-11364</v>
      </c>
      <c r="K18" s="28">
        <v>-11364</v>
      </c>
      <c r="L18" s="28">
        <v>-11363</v>
      </c>
      <c r="M18" s="28">
        <v>-11363</v>
      </c>
      <c r="N18" s="28">
        <v>-11363</v>
      </c>
      <c r="O18" s="28">
        <v>-11363</v>
      </c>
      <c r="P18" s="29">
        <f t="shared" si="0"/>
        <v>-125000</v>
      </c>
      <c r="Q18" s="30" t="s">
        <v>51</v>
      </c>
    </row>
    <row r="19" spans="1:17">
      <c r="A19" s="52"/>
      <c r="B19" s="26"/>
      <c r="C19" s="27" t="s">
        <v>52</v>
      </c>
      <c r="D19" s="28"/>
      <c r="E19" s="28"/>
      <c r="F19" s="28"/>
      <c r="G19" s="28">
        <v>1000</v>
      </c>
      <c r="H19" s="28"/>
      <c r="I19" s="28"/>
      <c r="J19" s="28"/>
      <c r="K19" s="28"/>
      <c r="L19" s="28">
        <v>1000</v>
      </c>
      <c r="M19" s="28"/>
      <c r="N19" s="28"/>
      <c r="O19" s="28"/>
      <c r="P19" s="29">
        <f t="shared" si="0"/>
        <v>2000</v>
      </c>
      <c r="Q19" s="30" t="s">
        <v>53</v>
      </c>
    </row>
    <row r="20" spans="1:17">
      <c r="A20" s="52"/>
      <c r="B20" s="26"/>
      <c r="C20" s="27" t="s">
        <v>54</v>
      </c>
      <c r="D20" s="28"/>
      <c r="E20" s="28"/>
      <c r="F20" s="28"/>
      <c r="G20" s="28">
        <v>40000</v>
      </c>
      <c r="H20" s="28"/>
      <c r="I20" s="28"/>
      <c r="J20" s="28"/>
      <c r="K20" s="28"/>
      <c r="L20" s="28"/>
      <c r="M20" s="28"/>
      <c r="N20" s="28"/>
      <c r="O20" s="28"/>
      <c r="P20" s="29">
        <f t="shared" si="0"/>
        <v>40000</v>
      </c>
      <c r="Q20" s="30" t="s">
        <v>55</v>
      </c>
    </row>
    <row r="21" spans="1:17" ht="24">
      <c r="A21" s="52"/>
      <c r="B21" s="26"/>
      <c r="C21" s="27" t="s">
        <v>56</v>
      </c>
      <c r="D21" s="28"/>
      <c r="E21" s="28"/>
      <c r="F21" s="28">
        <v>-1138000</v>
      </c>
      <c r="G21" s="28">
        <v>-1422500</v>
      </c>
      <c r="H21" s="28">
        <v>-284500</v>
      </c>
      <c r="I21" s="28"/>
      <c r="J21" s="28"/>
      <c r="K21" s="28"/>
      <c r="L21" s="28"/>
      <c r="M21" s="28"/>
      <c r="N21" s="28"/>
      <c r="O21" s="28"/>
      <c r="P21" s="29">
        <f t="shared" si="0"/>
        <v>-2845000</v>
      </c>
      <c r="Q21" s="30" t="s">
        <v>57</v>
      </c>
    </row>
    <row r="22" spans="1:17">
      <c r="A22" s="52"/>
      <c r="B22" s="26"/>
      <c r="C22" s="27" t="s">
        <v>58</v>
      </c>
      <c r="D22" s="28"/>
      <c r="E22" s="28">
        <v>-166667</v>
      </c>
      <c r="F22" s="28">
        <v>-166667</v>
      </c>
      <c r="G22" s="28">
        <v>-166667</v>
      </c>
      <c r="H22" s="28">
        <v>-166667</v>
      </c>
      <c r="I22" s="28">
        <v>-166667</v>
      </c>
      <c r="J22" s="28">
        <v>-166667</v>
      </c>
      <c r="K22" s="28">
        <v>-166667</v>
      </c>
      <c r="L22" s="28">
        <v>-166667</v>
      </c>
      <c r="M22" s="28">
        <v>-166666</v>
      </c>
      <c r="N22" s="28">
        <v>-166666</v>
      </c>
      <c r="O22" s="28">
        <v>-333332</v>
      </c>
      <c r="P22" s="29">
        <f t="shared" si="0"/>
        <v>-2000000</v>
      </c>
      <c r="Q22" s="30" t="s">
        <v>59</v>
      </c>
    </row>
    <row r="23" spans="1:17" ht="12.75" thickBot="1">
      <c r="A23" s="52"/>
      <c r="B23" s="31"/>
      <c r="C23" s="32" t="s">
        <v>60</v>
      </c>
      <c r="D23" s="33"/>
      <c r="E23" s="33">
        <v>10834</v>
      </c>
      <c r="F23" s="33">
        <v>10834</v>
      </c>
      <c r="G23" s="33">
        <v>10834</v>
      </c>
      <c r="H23" s="33">
        <v>10834</v>
      </c>
      <c r="I23" s="33">
        <v>10833</v>
      </c>
      <c r="J23" s="33">
        <v>10833</v>
      </c>
      <c r="K23" s="33">
        <v>10833</v>
      </c>
      <c r="L23" s="33">
        <v>10833</v>
      </c>
      <c r="M23" s="33">
        <v>10833</v>
      </c>
      <c r="N23" s="33">
        <v>10833</v>
      </c>
      <c r="O23" s="33">
        <v>21666</v>
      </c>
      <c r="P23" s="34">
        <f t="shared" si="0"/>
        <v>130000</v>
      </c>
      <c r="Q23" s="35" t="s">
        <v>61</v>
      </c>
    </row>
    <row r="24" spans="1:17" ht="24">
      <c r="A24" s="52"/>
      <c r="B24" s="36" t="s">
        <v>62</v>
      </c>
      <c r="C24" s="22" t="s">
        <v>30</v>
      </c>
      <c r="D24" s="23">
        <v>417</v>
      </c>
      <c r="E24" s="23">
        <v>417</v>
      </c>
      <c r="F24" s="23">
        <v>417</v>
      </c>
      <c r="G24" s="23">
        <v>417</v>
      </c>
      <c r="H24" s="23">
        <v>417</v>
      </c>
      <c r="I24" s="23">
        <v>417</v>
      </c>
      <c r="J24" s="23">
        <v>417</v>
      </c>
      <c r="K24" s="23">
        <v>417</v>
      </c>
      <c r="L24" s="23">
        <v>416</v>
      </c>
      <c r="M24" s="23">
        <v>416</v>
      </c>
      <c r="N24" s="23">
        <v>416</v>
      </c>
      <c r="O24" s="23">
        <v>416</v>
      </c>
      <c r="P24" s="24">
        <f t="shared" si="0"/>
        <v>5000</v>
      </c>
      <c r="Q24" s="25" t="s">
        <v>31</v>
      </c>
    </row>
    <row r="25" spans="1:17">
      <c r="A25" s="52"/>
      <c r="B25" s="37"/>
      <c r="C25" s="27" t="s">
        <v>32</v>
      </c>
      <c r="D25" s="28"/>
      <c r="E25" s="28">
        <v>1750</v>
      </c>
      <c r="F25" s="28"/>
      <c r="G25" s="28"/>
      <c r="H25" s="28">
        <v>1750</v>
      </c>
      <c r="I25" s="28"/>
      <c r="J25" s="28"/>
      <c r="K25" s="28">
        <v>1750</v>
      </c>
      <c r="L25" s="28"/>
      <c r="M25" s="28"/>
      <c r="N25" s="28">
        <v>1750</v>
      </c>
      <c r="O25" s="28"/>
      <c r="P25" s="29">
        <f t="shared" si="0"/>
        <v>7000</v>
      </c>
      <c r="Q25" s="30" t="s">
        <v>33</v>
      </c>
    </row>
    <row r="26" spans="1:17" ht="24">
      <c r="A26" s="52"/>
      <c r="B26" s="37"/>
      <c r="C26" s="27" t="s">
        <v>34</v>
      </c>
      <c r="D26" s="28"/>
      <c r="E26" s="28"/>
      <c r="F26" s="28">
        <v>2500</v>
      </c>
      <c r="G26" s="28"/>
      <c r="H26" s="28"/>
      <c r="I26" s="28"/>
      <c r="J26" s="28"/>
      <c r="K26" s="28"/>
      <c r="L26" s="28">
        <v>2500</v>
      </c>
      <c r="M26" s="28"/>
      <c r="N26" s="28"/>
      <c r="O26" s="28"/>
      <c r="P26" s="29">
        <f t="shared" si="0"/>
        <v>5000</v>
      </c>
      <c r="Q26" s="30" t="s">
        <v>63</v>
      </c>
    </row>
    <row r="27" spans="1:17">
      <c r="A27" s="52"/>
      <c r="B27" s="37"/>
      <c r="C27" s="27" t="s">
        <v>38</v>
      </c>
      <c r="D27" s="28"/>
      <c r="E27" s="28"/>
      <c r="F27" s="28">
        <v>12500</v>
      </c>
      <c r="G27" s="28"/>
      <c r="H27" s="28"/>
      <c r="I27" s="28"/>
      <c r="J27" s="28"/>
      <c r="K27" s="28"/>
      <c r="L27" s="28">
        <v>12500</v>
      </c>
      <c r="M27" s="28"/>
      <c r="N27" s="28"/>
      <c r="O27" s="28"/>
      <c r="P27" s="29">
        <f t="shared" si="0"/>
        <v>25000</v>
      </c>
      <c r="Q27" s="30" t="s">
        <v>64</v>
      </c>
    </row>
    <row r="28" spans="1:17" ht="24">
      <c r="A28" s="52"/>
      <c r="B28" s="37"/>
      <c r="C28" s="27" t="s">
        <v>40</v>
      </c>
      <c r="D28" s="28"/>
      <c r="E28" s="28"/>
      <c r="F28" s="28">
        <v>5000</v>
      </c>
      <c r="G28" s="28"/>
      <c r="H28" s="28"/>
      <c r="I28" s="28"/>
      <c r="J28" s="28"/>
      <c r="K28" s="28"/>
      <c r="L28" s="28">
        <v>5000</v>
      </c>
      <c r="M28" s="28"/>
      <c r="N28" s="28"/>
      <c r="O28" s="28"/>
      <c r="P28" s="29">
        <f t="shared" si="0"/>
        <v>10000</v>
      </c>
      <c r="Q28" s="30" t="s">
        <v>65</v>
      </c>
    </row>
    <row r="29" spans="1:17">
      <c r="A29" s="52"/>
      <c r="B29" s="37"/>
      <c r="C29" s="27" t="s">
        <v>48</v>
      </c>
      <c r="D29" s="28"/>
      <c r="E29" s="28">
        <v>2500</v>
      </c>
      <c r="F29" s="28"/>
      <c r="G29" s="28"/>
      <c r="H29" s="28">
        <v>2500</v>
      </c>
      <c r="I29" s="28"/>
      <c r="J29" s="28"/>
      <c r="K29" s="28">
        <v>2500</v>
      </c>
      <c r="L29" s="28"/>
      <c r="M29" s="28"/>
      <c r="N29" s="28">
        <v>2500</v>
      </c>
      <c r="O29" s="28"/>
      <c r="P29" s="29">
        <f t="shared" si="0"/>
        <v>10000</v>
      </c>
      <c r="Q29" s="30" t="s">
        <v>66</v>
      </c>
    </row>
    <row r="30" spans="1:17" ht="24.75" thickBot="1">
      <c r="A30" s="53"/>
      <c r="B30" s="38"/>
      <c r="C30" s="32" t="s">
        <v>50</v>
      </c>
      <c r="D30" s="33"/>
      <c r="E30" s="33"/>
      <c r="F30" s="33"/>
      <c r="G30" s="33"/>
      <c r="H30" s="33"/>
      <c r="I30" s="33"/>
      <c r="J30" s="33">
        <v>-1200000</v>
      </c>
      <c r="K30" s="33">
        <v>-1500000</v>
      </c>
      <c r="L30" s="33">
        <v>-300000</v>
      </c>
      <c r="M30" s="33"/>
      <c r="N30" s="33"/>
      <c r="O30" s="33"/>
      <c r="P30" s="34">
        <f t="shared" si="0"/>
        <v>-3000000</v>
      </c>
      <c r="Q30" s="35" t="s">
        <v>67</v>
      </c>
    </row>
    <row r="31" spans="1:17" ht="24.75" thickBot="1">
      <c r="A31" s="39" t="s">
        <v>21</v>
      </c>
      <c r="B31" s="40"/>
      <c r="C31" s="41"/>
      <c r="D31" s="42">
        <f t="shared" ref="D31:O31" si="1">SUM(D5:D30)</f>
        <v>519516</v>
      </c>
      <c r="E31" s="42">
        <f t="shared" si="1"/>
        <v>356570</v>
      </c>
      <c r="F31" s="42">
        <f t="shared" si="1"/>
        <v>-795680</v>
      </c>
      <c r="G31" s="42">
        <f t="shared" si="1"/>
        <v>-961780</v>
      </c>
      <c r="H31" s="42">
        <f t="shared" si="1"/>
        <v>72068</v>
      </c>
      <c r="I31" s="42">
        <f t="shared" si="1"/>
        <v>524317</v>
      </c>
      <c r="J31" s="42">
        <f t="shared" si="1"/>
        <v>-847683</v>
      </c>
      <c r="K31" s="42">
        <f t="shared" si="1"/>
        <v>-1143433</v>
      </c>
      <c r="L31" s="42">
        <f t="shared" si="1"/>
        <v>43317</v>
      </c>
      <c r="M31" s="42">
        <f t="shared" si="1"/>
        <v>352318</v>
      </c>
      <c r="N31" s="42">
        <f t="shared" si="1"/>
        <v>356568</v>
      </c>
      <c r="O31" s="42">
        <f t="shared" si="1"/>
        <v>166485</v>
      </c>
      <c r="P31" s="43">
        <f>SUM(P5:P30)</f>
        <v>-1357417</v>
      </c>
      <c r="Q31" s="44"/>
    </row>
    <row r="32" spans="1:17"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7"/>
    </row>
    <row r="33" spans="3:17"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7"/>
    </row>
    <row r="34" spans="3:17"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7"/>
    </row>
    <row r="35" spans="3:17"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7"/>
    </row>
    <row r="36" spans="3:17"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7"/>
    </row>
    <row r="37" spans="3:17"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7"/>
    </row>
    <row r="38" spans="3:17"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7"/>
    </row>
    <row r="39" spans="3:17"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7"/>
    </row>
    <row r="40" spans="3:17"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7"/>
    </row>
    <row r="41" spans="3:17"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7"/>
    </row>
    <row r="42" spans="3:17"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7"/>
    </row>
    <row r="43" spans="3:17"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7"/>
    </row>
    <row r="44" spans="3:17"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7"/>
    </row>
    <row r="45" spans="3:17"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7"/>
    </row>
    <row r="46" spans="3:17"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7"/>
    </row>
    <row r="47" spans="3:17"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7"/>
    </row>
  </sheetData>
  <mergeCells count="3">
    <mergeCell ref="A2:P2"/>
    <mergeCell ref="D3:P3"/>
    <mergeCell ref="A5:A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37" sqref="E37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MigreringsDokument" ma:contentTypeID="0x010100B015E2879F2C3E49A84E4FBA662FB26A0046F37DEC036D284BBEE537A85881DFA0" ma:contentTypeVersion="7" ma:contentTypeDescription="" ma:contentTypeScope="" ma:versionID="322abaa8745c58af29abb8312104868a">
  <xsd:schema xmlns:xsd="http://www.w3.org/2001/XMLSchema" xmlns:xs="http://www.w3.org/2001/XMLSchema" xmlns:p="http://schemas.microsoft.com/office/2006/metadata/properties" xmlns:ns2="0dd46b0f-e2c7-4a31-a61e-54a1e81a6d74" targetNamespace="http://schemas.microsoft.com/office/2006/metadata/properties" ma:root="true" ma:fieldsID="1b739c844c19ffbccf538c52953af47e" ns2:_="">
    <xsd:import namespace="0dd46b0f-e2c7-4a31-a61e-54a1e81a6d74"/>
    <xsd:element name="properties">
      <xsd:complexType>
        <xsd:sequence>
          <xsd:element name="documentManagement">
            <xsd:complexType>
              <xsd:all>
                <xsd:element ref="ns2:MigrationPath" minOccurs="0"/>
                <xsd:element ref="ns2:MigrationDirectoryID" minOccurs="0"/>
                <xsd:element ref="ns2:MigrationOriginal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46b0f-e2c7-4a31-a61e-54a1e81a6d74" elementFormDefault="qualified">
    <xsd:import namespace="http://schemas.microsoft.com/office/2006/documentManagement/types"/>
    <xsd:import namespace="http://schemas.microsoft.com/office/infopath/2007/PartnerControls"/>
    <xsd:element name="MigrationPath" ma:index="8" nillable="true" ma:displayName="Migreringssti" ma:internalName="MigrationPath" ma:readOnly="false">
      <xsd:simpleType>
        <xsd:restriction base="dms:Text">
          <xsd:maxLength value="255"/>
        </xsd:restriction>
      </xsd:simpleType>
    </xsd:element>
    <xsd:element name="MigrationDirectoryID" ma:index="9" nillable="true" ma:displayName="MigreringsFolderId" ma:internalName="MigrationDirectoryID" ma:readOnly="false">
      <xsd:simpleType>
        <xsd:restriction base="dms:Text">
          <xsd:maxLength value="255"/>
        </xsd:restriction>
      </xsd:simpleType>
    </xsd:element>
    <xsd:element name="MigrationOriginalDate" ma:index="10" nillable="true" ma:displayName="Original dato" ma:description="The modified date from the file system" ma:format="DateTime" ma:internalName="MigrationOriginalDat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Path xmlns="0dd46b0f-e2c7-4a31-a61e-54a1e81a6d74">\\kk-dfs.kk.dk\of$\KEjd\SERVICE &amp; KUNDER\RÅDHUSSERVICE\Betjent\_Rådhusvagten\Vagtplaner\Regnskab og statistik\Regnskab 2016\17210 Post og Skanning - Konti og forbrug 2016.xlsx</MigrationPath>
    <MigrationDirectoryID xmlns="0dd46b0f-e2c7-4a31-a61e-54a1e81a6d74">011B58AB1AC90015BB89C59E58DA0D81D58C94E8</MigrationDirectoryID>
    <MigrationOriginalDate xmlns="0dd46b0f-e2c7-4a31-a61e-54a1e81a6d74" xsi:nil="true"/>
  </documentManagement>
</p:properties>
</file>

<file path=customXml/item4.xml><?xml version="1.0" encoding="utf-8"?>
<?mso-contentType ?>
<SharedContentType xmlns="Microsoft.SharePoint.Taxonomy.ContentTypeSync" SourceId="e6a412d2-aea5-45d9-add9-4615ec186553" ContentTypeId="0x010100B015E2879F2C3E49A84E4FBA662FB26A" PreviousValue="false"/>
</file>

<file path=customXml/itemProps1.xml><?xml version="1.0" encoding="utf-8"?>
<ds:datastoreItem xmlns:ds="http://schemas.openxmlformats.org/officeDocument/2006/customXml" ds:itemID="{7FE0E6F3-CEE2-4DEF-B53C-B7E379E87F2F}"/>
</file>

<file path=customXml/itemProps2.xml><?xml version="1.0" encoding="utf-8"?>
<ds:datastoreItem xmlns:ds="http://schemas.openxmlformats.org/officeDocument/2006/customXml" ds:itemID="{FA3B4E6D-1E7E-4D48-8355-82A49D854282}"/>
</file>

<file path=customXml/itemProps3.xml><?xml version="1.0" encoding="utf-8"?>
<ds:datastoreItem xmlns:ds="http://schemas.openxmlformats.org/officeDocument/2006/customXml" ds:itemID="{E76F6065-9AB4-4D18-AE46-BD6E0C250A92}"/>
</file>

<file path=customXml/itemProps4.xml><?xml version="1.0" encoding="utf-8"?>
<ds:datastoreItem xmlns:ds="http://schemas.openxmlformats.org/officeDocument/2006/customXml" ds:itemID="{00AAFB5C-94B6-49F2-B55F-CAC43FF129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Budget 2016</vt:lpstr>
      <vt:lpstr>Januar</vt:lpstr>
      <vt:lpstr>Februar</vt:lpstr>
    </vt:vector>
  </TitlesOfParts>
  <Company>Københavns Kommune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 Larsen</dc:creator>
  <cp:lastModifiedBy>Per Larsen</cp:lastModifiedBy>
  <dcterms:created xsi:type="dcterms:W3CDTF">2015-10-01T12:32:28Z</dcterms:created>
  <dcterms:modified xsi:type="dcterms:W3CDTF">2016-02-01T13:06:58Z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0x010100B015E2879F2C3E49A84E4FBA662FB26A0046F37DEC036D284BBEE537A85881DFA0</vt:lpwstr>
  </property>
  <property fmtid="{D5CDD505-2E9C-101B-9397-08002B2CF9AE}" pid="3" name="Order">
    <vt:r8>100</vt:r8>
  </property>
</Properties>
</file>